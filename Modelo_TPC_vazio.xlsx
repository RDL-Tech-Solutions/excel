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78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'Monitoramento'!$A$1:$AK$190</definedName>
    <definedName name="_xlnm.Print_Area" localSheetId="2">'Consol Mensal'!$A$1:$AA$75</definedName>
    <definedName name="_xlnm.Print_Area" localSheetId="5">'Config'!$A$1:$R$15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[$-416]d;@"/>
    <numFmt numFmtId="173" formatCode="[&gt;=1000]#,##0;#,##0.0"/>
    <numFmt numFmtId="174" formatCode="&quot;▲ &quot;0%;&quot;▼ &quot;0%;&quot;= 0%&quot;"/>
  </numFmts>
  <fonts count="32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i/>
      <sz val="8"/>
      <color rgb="FF7F7F7F"/>
      <name val="Calibri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5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7F7F7F"/>
      </left>
      <right style="medium">
        <color rgb="FF000000"/>
      </right>
      <top style="medium">
        <color rgb="FF000000"/>
      </top>
      <bottom/>
      <diagonal/>
    </border>
    <border>
      <left style="hair">
        <color rgb="FF7F7F7F"/>
      </left>
      <right style="medium">
        <color rgb="FF000000"/>
      </right>
      <top style="hair">
        <color rgb="FF7F7F7F"/>
      </top>
      <bottom/>
      <diagonal/>
    </border>
    <border>
      <left style="hair">
        <color rgb="FF7F7F7F"/>
      </left>
      <right style="medium">
        <color rgb="FF000000"/>
      </right>
      <top style="hair">
        <color rgb="FF7F7F7F"/>
      </top>
      <bottom style="medium">
        <color rgb="FF000000"/>
      </bottom>
      <diagonal/>
    </border>
  </borders>
  <cellStyleXfs count="1">
    <xf numFmtId="0" fontId="0" fillId="0" borderId="0"/>
  </cellStyleXfs>
  <cellXfs count="502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3" fillId="0" borderId="0" xfId="0" applyNumberFormat="1" applyFont="1" applyFill="1" applyBorder="1" applyAlignment="1">
      <alignment horizontal="left" vertical="center"/>
    </xf>
    <xf numFmtId="0" fontId="5" fillId="3" borderId="5" xfId="0" applyNumberFormat="1" applyFont="1" applyFill="1" applyBorder="1" applyAlignment="1">
      <alignment horizontal="left" vertical="center" indent="1"/>
    </xf>
    <xf numFmtId="3" fontId="6" fillId="8" borderId="5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left" vertical="center" indent="1"/>
    </xf>
    <xf numFmtId="0" fontId="5" fillId="5" borderId="5" xfId="0" applyNumberFormat="1" applyFont="1" applyFill="1" applyBorder="1" applyAlignment="1">
      <alignment horizontal="left" vertical="center" indent="1"/>
    </xf>
    <xf numFmtId="9" fontId="6" fillId="8" borderId="5" xfId="0" applyNumberFormat="1" applyFont="1" applyFill="1" applyBorder="1" applyAlignment="1">
      <alignment horizontal="center" vertical="center"/>
    </xf>
    <xf numFmtId="0" fontId="5" fillId="6" borderId="5" xfId="0" applyNumberFormat="1" applyFont="1" applyFill="1" applyBorder="1" applyAlignment="1">
      <alignment horizontal="left" vertical="center" indent="1"/>
    </xf>
    <xf numFmtId="0" fontId="7" fillId="0" borderId="0" xfId="0" applyNumberFormat="1" applyFont="1" applyFill="1" applyBorder="1" applyAlignment="1">
      <alignment horizontal="left" vertical="center"/>
    </xf>
    <xf numFmtId="0" fontId="8" fillId="0" borderId="0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3" fontId="8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3" fontId="9" fillId="0" borderId="0" xfId="0" applyNumberFormat="1" applyFont="1" applyFill="1" applyBorder="1" applyAlignment="1">
      <alignment horizontal="center" vertical="center"/>
    </xf>
    <xf numFmtId="9" fontId="6" fillId="8" borderId="0" xfId="0" applyNumberFormat="1" applyFont="1" applyFill="1" applyBorder="1" applyAlignment="1">
      <alignment horizontal="left" vertical="center"/>
    </xf>
    <xf numFmtId="164" fontId="9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" fontId="8" fillId="0" borderId="0" xfId="0" applyNumberFormat="1" applyFont="1" applyFill="1" applyBorder="1" applyAlignment="1">
      <alignment horizontal="left" vertical="center"/>
    </xf>
    <xf numFmtId="0" fontId="11" fillId="7" borderId="0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 applyAlignment="1">
      <alignment horizontal="left" vertical="center"/>
    </xf>
    <xf numFmtId="3" fontId="6" fillId="8" borderId="0" xfId="0" applyNumberFormat="1" applyFont="1" applyFill="1" applyBorder="1" applyAlignment="1">
      <alignment horizontal="left" vertical="center"/>
    </xf>
    <xf numFmtId="0" fontId="12" fillId="0" borderId="0" xfId="0" applyNumberFormat="1" applyFont="1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left" vertical="center"/>
    </xf>
    <xf numFmtId="3" fontId="13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 applyAlignment="1">
      <alignment horizontal="center" vertical="center"/>
    </xf>
    <xf numFmtId="4" fontId="9" fillId="0" borderId="0" xfId="0" applyNumberFormat="1" applyFont="1" applyFill="1" applyBorder="1" applyAlignment="1">
      <alignment horizontal="center" vertical="center"/>
    </xf>
    <xf numFmtId="166" fontId="9" fillId="0" borderId="0" xfId="0" applyNumberFormat="1" applyFont="1" applyFill="1" applyBorder="1" applyAlignment="1">
      <alignment horizontal="center" vertical="center"/>
    </xf>
    <xf numFmtId="167" fontId="9" fillId="0" borderId="0" xfId="0" applyNumberFormat="1" applyFont="1" applyFill="1" applyBorder="1" applyAlignment="1">
      <alignment horizontal="center" vertical="center"/>
    </xf>
    <xf numFmtId="9" fontId="9" fillId="0" borderId="0" xfId="0" applyNumberFormat="1" applyFont="1" applyFill="1" applyBorder="1" applyAlignment="1">
      <alignment horizontal="center" vertical="center"/>
    </xf>
    <xf numFmtId="0" fontId="5" fillId="9" borderId="6" xfId="0" applyNumberFormat="1" applyFont="1" applyFill="1" applyBorder="1" applyAlignment="1">
      <alignment horizontal="left" vertical="center"/>
    </xf>
    <xf numFmtId="0" fontId="5" fillId="9" borderId="0" xfId="0" applyNumberFormat="1" applyFont="1" applyFill="1" applyBorder="1" applyAlignment="1">
      <alignment horizontal="left" vertical="center"/>
    </xf>
    <xf numFmtId="3" fontId="5" fillId="9" borderId="6" xfId="0" applyNumberFormat="1" applyFont="1" applyFill="1" applyBorder="1" applyAlignment="1">
      <alignment horizontal="center" vertical="center"/>
    </xf>
    <xf numFmtId="168" fontId="9" fillId="9" borderId="0" xfId="0" applyNumberFormat="1" applyFont="1" applyFill="1" applyBorder="1" applyAlignment="1">
      <alignment horizontal="center" vertical="center"/>
    </xf>
    <xf numFmtId="3" fontId="9" fillId="9" borderId="0" xfId="0" applyNumberFormat="1" applyFont="1" applyFill="1" applyBorder="1" applyAlignment="1">
      <alignment horizontal="center" vertical="center"/>
    </xf>
    <xf numFmtId="167" fontId="9" fillId="9" borderId="0" xfId="0" applyNumberFormat="1" applyFont="1" applyFill="1" applyBorder="1" applyAlignment="1">
      <alignment horizontal="center" vertical="center"/>
    </xf>
    <xf numFmtId="9" fontId="9" fillId="9" borderId="0" xfId="0" applyNumberFormat="1" applyFont="1" applyFill="1" applyBorder="1" applyAlignment="1">
      <alignment horizontal="center" vertical="center"/>
    </xf>
    <xf numFmtId="0" fontId="9" fillId="9" borderId="0" xfId="0" applyNumberFormat="1" applyFont="1" applyFill="1" applyBorder="1" applyAlignment="1">
      <alignment horizontal="center" vertical="center"/>
    </xf>
    <xf numFmtId="168" fontId="5" fillId="9" borderId="6" xfId="0" applyNumberFormat="1" applyFont="1" applyFill="1" applyBorder="1" applyAlignment="1">
      <alignment horizontal="center" vertical="center"/>
    </xf>
    <xf numFmtId="167" fontId="5" fillId="9" borderId="6" xfId="0" applyNumberFormat="1" applyFont="1" applyFill="1" applyBorder="1" applyAlignment="1">
      <alignment horizontal="center" vertical="center"/>
    </xf>
    <xf numFmtId="168" fontId="9" fillId="0" borderId="0" xfId="0" applyNumberFormat="1" applyFont="1" applyFill="1" applyBorder="1" applyAlignment="1">
      <alignment horizontal="center" vertical="center"/>
    </xf>
    <xf numFmtId="3" fontId="5" fillId="0" borderId="0" xfId="0" applyNumberFormat="1" applyFont="1" applyFill="1" applyBorder="1" applyAlignment="1">
      <alignment horizontal="center" vertical="center"/>
    </xf>
    <xf numFmtId="168" fontId="5" fillId="0" borderId="0" xfId="0" applyNumberFormat="1" applyFont="1" applyFill="1" applyBorder="1" applyAlignment="1">
      <alignment horizontal="center" vertical="center"/>
    </xf>
    <xf numFmtId="9" fontId="5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left" vertical="center"/>
    </xf>
    <xf numFmtId="0" fontId="14" fillId="10" borderId="7" xfId="0" applyNumberFormat="1" applyFont="1" applyFill="1" applyBorder="1" applyAlignment="1">
      <alignment horizontal="left" vertical="center" indent="1"/>
    </xf>
    <xf numFmtId="0" fontId="14" fillId="10" borderId="8" xfId="0" applyNumberFormat="1" applyFont="1" applyFill="1" applyBorder="1" applyAlignment="1">
      <alignment horizontal="left" vertical="center" indent="1"/>
    </xf>
    <xf numFmtId="0" fontId="14" fillId="10" borderId="9" xfId="0" applyNumberFormat="1" applyFont="1" applyFill="1" applyBorder="1" applyAlignment="1">
      <alignment horizontal="left" vertical="center" indent="1"/>
    </xf>
    <xf numFmtId="0" fontId="4" fillId="0" borderId="0" xfId="0" applyNumberFormat="1" applyFont="1" applyFill="1" applyBorder="1" applyAlignment="1">
      <alignment horizontal="left" vertical="top" wrapText="1"/>
    </xf>
    <xf numFmtId="0" fontId="2" fillId="11" borderId="0" xfId="0" applyNumberFormat="1" applyFont="1" applyFill="1" applyBorder="1" applyAlignment="1">
      <alignment horizontal="center" vertical="center" wrapText="1"/>
    </xf>
    <xf numFmtId="0" fontId="15" fillId="0" borderId="0" xfId="0" applyNumberFormat="1" applyFont="1" applyFill="1" applyBorder="1" applyAlignment="1">
      <alignment horizontal="left" vertical="center"/>
    </xf>
    <xf numFmtId="0" fontId="16" fillId="8" borderId="0" xfId="0" applyNumberFormat="1" applyFont="1" applyFill="1" applyBorder="1" applyAlignment="1">
      <alignment horizontal="left" vertical="center"/>
    </xf>
    <xf numFmtId="0" fontId="16" fillId="8" borderId="0" xfId="0" applyNumberFormat="1" applyFont="1" applyFill="1" applyBorder="1" applyAlignment="1">
      <alignment horizontal="center" vertical="center"/>
    </xf>
    <xf numFmtId="0" fontId="17" fillId="0" borderId="0" xfId="0" applyNumberFormat="1" applyFont="1" applyFill="1" applyBorder="1" applyAlignment="1">
      <alignment horizontal="center" vertical="center"/>
    </xf>
    <xf numFmtId="0" fontId="8" fillId="12" borderId="5" xfId="0" applyNumberFormat="1" applyFont="1" applyFill="1" applyBorder="1" applyAlignment="1">
      <alignment horizontal="left" vertical="center"/>
    </xf>
    <xf numFmtId="0" fontId="16" fillId="8" borderId="5" xfId="0" applyNumberFormat="1" applyFont="1" applyFill="1" applyBorder="1" applyAlignment="1">
      <alignment horizontal="left" vertical="center"/>
    </xf>
    <xf numFmtId="0" fontId="8" fillId="13" borderId="5" xfId="0" applyNumberFormat="1" applyFont="1" applyFill="1" applyBorder="1" applyAlignment="1">
      <alignment horizontal="left" vertical="center"/>
    </xf>
    <xf numFmtId="1" fontId="13" fillId="0" borderId="0" xfId="0" applyNumberFormat="1" applyFont="1" applyFill="1" applyBorder="1" applyAlignment="1">
      <alignment horizontal="center" vertical="center"/>
    </xf>
    <xf numFmtId="0" fontId="13" fillId="8" borderId="0" xfId="0" applyNumberFormat="1" applyFont="1" applyFill="1" applyBorder="1" applyAlignment="1">
      <alignment horizontal="left" vertical="center"/>
    </xf>
    <xf numFmtId="0" fontId="13" fillId="0" borderId="0" xfId="0" applyNumberFormat="1" applyFont="1" applyFill="1" applyBorder="1" applyAlignment="1">
      <alignment horizontal="center" vertical="center"/>
    </xf>
    <xf numFmtId="0" fontId="0" fillId="14" borderId="10" xfId="0" applyNumberFormat="1" applyFont="1" applyFill="1" applyBorder="1" applyAlignment="1">
      <alignment horizontal="center" vertical="center"/>
    </xf>
    <xf numFmtId="0" fontId="0" fillId="10" borderId="10" xfId="0" applyNumberFormat="1" applyFont="1" applyFill="1" applyBorder="1" applyAlignment="1">
      <alignment horizontal="center" vertical="center"/>
    </xf>
    <xf numFmtId="0" fontId="18" fillId="10" borderId="10" xfId="0" applyNumberFormat="1" applyFont="1" applyFill="1" applyBorder="1" applyAlignment="1">
      <alignment horizontal="center" vertical="center"/>
    </xf>
    <xf numFmtId="0" fontId="19" fillId="0" borderId="0" xfId="0" applyNumberFormat="1" applyFont="1" applyFill="1" applyBorder="1" applyAlignment="1">
      <alignment horizontal="right" vertical="center" indent="1"/>
    </xf>
    <xf numFmtId="0" fontId="20" fillId="8" borderId="11" xfId="0" applyNumberFormat="1" applyFont="1" applyFill="1" applyBorder="1" applyAlignment="1" applyProtection="1">
      <alignment horizontal="center" vertical="center"/>
      <protection locked="0"/>
    </xf>
    <xf numFmtId="0" fontId="20" fillId="8" borderId="12" xfId="0" applyNumberFormat="1" applyFont="1" applyFill="1" applyBorder="1" applyAlignment="1" applyProtection="1">
      <alignment horizontal="center" vertical="center"/>
      <protection locked="0"/>
    </xf>
    <xf numFmtId="0" fontId="20" fillId="8" borderId="13" xfId="0" applyNumberFormat="1" applyFont="1" applyFill="1" applyBorder="1" applyAlignment="1" applyProtection="1">
      <alignment horizontal="center" vertical="center"/>
      <protection locked="0"/>
    </xf>
    <xf numFmtId="164" fontId="21" fillId="8" borderId="11" xfId="0" applyNumberFormat="1" applyFont="1" applyFill="1" applyBorder="1" applyAlignment="1" applyProtection="1">
      <alignment horizontal="center" vertical="center"/>
      <protection locked="0"/>
    </xf>
    <xf numFmtId="164" fontId="21" fillId="8" borderId="12" xfId="0" applyNumberFormat="1" applyFont="1" applyFill="1" applyBorder="1" applyAlignment="1" applyProtection="1">
      <alignment horizontal="center" vertical="center"/>
      <protection locked="0"/>
    </xf>
    <xf numFmtId="164" fontId="21" fillId="8" borderId="13" xfId="0" applyNumberFormat="1" applyFont="1" applyFill="1" applyBorder="1" applyAlignment="1" applyProtection="1">
      <alignment horizontal="center" vertical="center"/>
      <protection locked="0"/>
    </xf>
    <xf numFmtId="0" fontId="22" fillId="0" borderId="0" xfId="0" applyNumberFormat="1" applyFont="1" applyFill="1" applyBorder="1" applyAlignment="1">
      <alignment horizontal="center" vertical="center"/>
    </xf>
    <xf numFmtId="0" fontId="23" fillId="0" borderId="0" xfId="0" applyNumberFormat="1" applyFont="1" applyFill="1" applyBorder="1" applyAlignment="1">
      <alignment horizontal="right" vertical="center"/>
    </xf>
    <xf numFmtId="0" fontId="0" fillId="13" borderId="14" xfId="0" applyNumberFormat="1" applyFont="1" applyFill="1" applyBorder="1" applyAlignment="1">
      <alignment horizontal="center" vertical="center"/>
    </xf>
    <xf numFmtId="0" fontId="0" fillId="13" borderId="0" xfId="0" applyNumberFormat="1" applyFont="1" applyFill="1" applyBorder="1" applyAlignment="1">
      <alignment horizontal="center" vertical="center"/>
    </xf>
    <xf numFmtId="0" fontId="0" fillId="13" borderId="15" xfId="0" applyNumberFormat="1" applyFont="1" applyFill="1" applyBorder="1" applyAlignment="1">
      <alignment horizontal="center" vertical="center"/>
    </xf>
    <xf numFmtId="0" fontId="0" fillId="13" borderId="16" xfId="0" applyNumberFormat="1" applyFont="1" applyFill="1" applyBorder="1" applyAlignment="1">
      <alignment horizontal="center" vertical="center"/>
    </xf>
    <xf numFmtId="0" fontId="0" fillId="13" borderId="17" xfId="0" applyNumberFormat="1" applyFont="1" applyFill="1" applyBorder="1" applyAlignment="1">
      <alignment horizontal="center" vertical="center"/>
    </xf>
    <xf numFmtId="0" fontId="0" fillId="13" borderId="18" xfId="0" applyNumberFormat="1" applyFont="1" applyFill="1" applyBorder="1" applyAlignment="1">
      <alignment horizontal="center" vertical="center"/>
    </xf>
    <xf numFmtId="0" fontId="0" fillId="3" borderId="19" xfId="0" applyNumberFormat="1" applyFont="1" applyFill="1" applyBorder="1" applyAlignment="1">
      <alignment horizontal="center" vertical="center"/>
    </xf>
    <xf numFmtId="0" fontId="24" fillId="3" borderId="19" xfId="0" applyNumberFormat="1" applyFont="1" applyFill="1" applyBorder="1" applyAlignment="1">
      <alignment horizontal="center" vertical="center" wrapText="1"/>
    </xf>
    <xf numFmtId="3" fontId="25" fillId="13" borderId="0" xfId="0" applyNumberFormat="1" applyFont="1" applyFill="1" applyBorder="1" applyAlignment="1">
      <alignment horizontal="center" vertical="center"/>
    </xf>
    <xf numFmtId="0" fontId="26" fillId="13" borderId="0" xfId="0" applyNumberFormat="1" applyFont="1" applyFill="1" applyBorder="1" applyAlignment="1">
      <alignment horizontal="center" vertical="center"/>
    </xf>
    <xf numFmtId="0" fontId="27" fillId="13" borderId="0" xfId="0" applyNumberFormat="1" applyFont="1" applyFill="1" applyBorder="1" applyAlignment="1">
      <alignment horizontal="center" vertical="center" wrapText="1"/>
    </xf>
    <xf numFmtId="169" fontId="28" fillId="13" borderId="17" xfId="0" applyNumberFormat="1" applyFont="1" applyFill="1" applyBorder="1" applyAlignment="1">
      <alignment horizontal="center" vertical="center"/>
    </xf>
    <xf numFmtId="0" fontId="0" fillId="4" borderId="19" xfId="0" applyNumberFormat="1" applyFont="1" applyFill="1" applyBorder="1" applyAlignment="1">
      <alignment horizontal="center" vertical="center"/>
    </xf>
    <xf numFmtId="0" fontId="24" fillId="4" borderId="19" xfId="0" applyNumberFormat="1" applyFont="1" applyFill="1" applyBorder="1" applyAlignment="1">
      <alignment horizontal="center" vertical="center" wrapText="1"/>
    </xf>
    <xf numFmtId="0" fontId="0" fillId="5" borderId="19" xfId="0" applyNumberFormat="1" applyFont="1" applyFill="1" applyBorder="1" applyAlignment="1">
      <alignment horizontal="center" vertical="center"/>
    </xf>
    <xf numFmtId="0" fontId="24" fillId="5" borderId="19" xfId="0" applyNumberFormat="1" applyFont="1" applyFill="1" applyBorder="1" applyAlignment="1">
      <alignment horizontal="center" vertical="center" wrapText="1"/>
    </xf>
    <xf numFmtId="0" fontId="29" fillId="13" borderId="20" xfId="0" applyNumberFormat="1" applyFont="1" applyFill="1" applyBorder="1" applyAlignment="1">
      <alignment horizontal="left" vertical="center" indent="1"/>
    </xf>
    <xf numFmtId="3" fontId="24" fillId="13" borderId="20" xfId="0" applyNumberFormat="1" applyFont="1" applyFill="1" applyBorder="1" applyAlignment="1">
      <alignment horizontal="right" vertical="center" indent="1"/>
    </xf>
    <xf numFmtId="0" fontId="29" fillId="13" borderId="0" xfId="0" applyNumberFormat="1" applyFont="1" applyFill="1" applyBorder="1" applyAlignment="1">
      <alignment horizontal="left" vertical="center" indent="1"/>
    </xf>
    <xf numFmtId="3" fontId="24" fillId="13" borderId="0" xfId="0" applyNumberFormat="1" applyFont="1" applyFill="1" applyBorder="1" applyAlignment="1">
      <alignment horizontal="right" vertical="center" indent="1"/>
    </xf>
    <xf numFmtId="170" fontId="24" fillId="13" borderId="20" xfId="0" applyNumberFormat="1" applyFont="1" applyFill="1" applyBorder="1" applyAlignment="1">
      <alignment horizontal="right" vertical="center" indent="1"/>
    </xf>
    <xf numFmtId="167" fontId="24" fillId="13" borderId="20" xfId="0" applyNumberFormat="1" applyFont="1" applyFill="1" applyBorder="1" applyAlignment="1">
      <alignment horizontal="right" vertical="center" indent="1"/>
    </xf>
    <xf numFmtId="171" fontId="24" fillId="13" borderId="20" xfId="0" applyNumberFormat="1" applyFont="1" applyFill="1" applyBorder="1" applyAlignment="1">
      <alignment horizontal="right" vertical="center" indent="1"/>
    </xf>
    <xf numFmtId="0" fontId="26" fillId="13" borderId="0" xfId="0" applyNumberFormat="1" applyFont="1" applyFill="1" applyBorder="1" applyAlignment="1">
      <alignment horizontal="center" vertical="center" wrapText="1"/>
    </xf>
    <xf numFmtId="0" fontId="0" fillId="6" borderId="19" xfId="0" applyNumberFormat="1" applyFont="1" applyFill="1" applyBorder="1" applyAlignment="1">
      <alignment horizontal="center" vertical="center"/>
    </xf>
    <xf numFmtId="0" fontId="24" fillId="6" borderId="19" xfId="0" applyNumberFormat="1" applyFont="1" applyFill="1" applyBorder="1" applyAlignment="1">
      <alignment horizontal="center" vertical="center" wrapText="1"/>
    </xf>
    <xf numFmtId="0" fontId="24" fillId="13" borderId="0" xfId="0" applyNumberFormat="1" applyFont="1" applyFill="1" applyBorder="1" applyAlignment="1">
      <alignment horizontal="right" vertical="center" indent="1"/>
    </xf>
    <xf numFmtId="0" fontId="30" fillId="0" borderId="0" xfId="0" applyNumberFormat="1" applyFont="1" applyFill="1" applyBorder="1" applyAlignment="1">
      <alignment horizontal="left" vertical="center"/>
    </xf>
    <xf numFmtId="0" fontId="14" fillId="10" borderId="10" xfId="0" applyNumberFormat="1" applyFont="1" applyFill="1" applyBorder="1" applyAlignment="1">
      <alignment horizontal="center" vertical="center"/>
    </xf>
    <xf numFmtId="0" fontId="14" fillId="10" borderId="10" xfId="0" applyNumberFormat="1" applyFont="1" applyFill="1" applyBorder="1" applyAlignment="1" applyProtection="1">
      <alignment horizontal="right" vertical="center" indent="1"/>
      <protection locked="0"/>
    </xf>
    <xf numFmtId="0" fontId="8" fillId="0" borderId="21" xfId="0" applyNumberFormat="1" applyFont="1" applyFill="1" applyBorder="1" applyAlignment="1">
      <alignment horizontal="center" vertical="center"/>
    </xf>
    <xf numFmtId="0" fontId="8" fillId="0" borderId="22" xfId="0" applyNumberFormat="1" applyFont="1" applyFill="1" applyBorder="1" applyAlignment="1">
      <alignment horizontal="center" vertical="center"/>
    </xf>
    <xf numFmtId="0" fontId="8" fillId="2" borderId="23" xfId="0" applyNumberFormat="1" applyFont="1" applyFill="1" applyBorder="1" applyAlignment="1">
      <alignment horizontal="center" vertical="center"/>
    </xf>
    <xf numFmtId="0" fontId="8" fillId="2" borderId="24" xfId="0" applyNumberFormat="1" applyFont="1" applyFill="1" applyBorder="1" applyAlignment="1">
      <alignment horizontal="center" vertical="center"/>
    </xf>
    <xf numFmtId="0" fontId="8" fillId="2" borderId="25" xfId="0" applyNumberFormat="1" applyFont="1" applyFill="1" applyBorder="1" applyAlignment="1">
      <alignment horizontal="center" vertical="center"/>
    </xf>
    <xf numFmtId="0" fontId="8" fillId="2" borderId="26" xfId="0" applyNumberFormat="1" applyFont="1" applyFill="1" applyBorder="1" applyAlignment="1">
      <alignment horizontal="center" vertical="center"/>
    </xf>
    <xf numFmtId="0" fontId="8" fillId="2" borderId="21" xfId="0" applyNumberFormat="1" applyFont="1" applyFill="1" applyBorder="1" applyAlignment="1">
      <alignment horizontal="center" vertical="center"/>
    </xf>
    <xf numFmtId="0" fontId="8" fillId="2" borderId="22" xfId="0" applyNumberFormat="1" applyFont="1" applyFill="1" applyBorder="1" applyAlignment="1">
      <alignment horizontal="center" vertical="center"/>
    </xf>
    <xf numFmtId="0" fontId="31" fillId="15" borderId="7" xfId="0" applyNumberFormat="1" applyFont="1" applyFill="1" applyBorder="1" applyAlignment="1">
      <alignment horizontal="center" vertical="center"/>
    </xf>
    <xf numFmtId="0" fontId="31" fillId="15" borderId="8" xfId="0" applyNumberFormat="1" applyFont="1" applyFill="1" applyBorder="1" applyAlignment="1">
      <alignment horizontal="center" vertical="center"/>
    </xf>
    <xf numFmtId="0" fontId="31" fillId="15" borderId="9" xfId="0" applyNumberFormat="1" applyFont="1" applyFill="1" applyBorder="1" applyAlignment="1">
      <alignment horizontal="center" vertical="center"/>
    </xf>
    <xf numFmtId="0" fontId="8" fillId="15" borderId="21" xfId="0" applyNumberFormat="1" applyFont="1" applyFill="1" applyBorder="1" applyAlignment="1">
      <alignment horizontal="center" vertical="center"/>
    </xf>
    <xf numFmtId="0" fontId="8" fillId="15" borderId="22" xfId="0" applyNumberFormat="1" applyFont="1" applyFill="1" applyBorder="1" applyAlignment="1">
      <alignment horizontal="center" vertical="center"/>
    </xf>
    <xf numFmtId="172" fontId="0" fillId="16" borderId="27" xfId="0" applyNumberFormat="1" applyFont="1" applyFill="1" applyBorder="1" applyAlignment="1">
      <alignment horizontal="center" vertical="center"/>
    </xf>
    <xf numFmtId="172" fontId="0" fillId="16" borderId="28" xfId="0" applyNumberFormat="1" applyFont="1" applyFill="1" applyBorder="1" applyAlignment="1">
      <alignment horizontal="center" vertical="center"/>
    </xf>
    <xf numFmtId="172" fontId="0" fillId="16" borderId="29" xfId="0" applyNumberFormat="1" applyFont="1" applyFill="1" applyBorder="1" applyAlignment="1">
      <alignment horizontal="center" vertical="center"/>
    </xf>
    <xf numFmtId="0" fontId="8" fillId="3" borderId="24" xfId="0" applyNumberFormat="1" applyFont="1" applyFill="1" applyBorder="1" applyAlignment="1">
      <alignment horizontal="center" vertical="center"/>
    </xf>
    <xf numFmtId="3" fontId="8" fillId="3" borderId="21" xfId="0" applyNumberFormat="1" applyFont="1" applyFill="1" applyBorder="1" applyAlignment="1">
      <alignment horizontal="center" vertical="center"/>
    </xf>
    <xf numFmtId="0" fontId="0" fillId="3" borderId="30" xfId="0" applyNumberFormat="1" applyFont="1" applyFill="1" applyBorder="1" applyAlignment="1">
      <alignment horizontal="center" vertical="center"/>
    </xf>
    <xf numFmtId="3" fontId="0" fillId="3" borderId="31" xfId="0" applyNumberFormat="1" applyFont="1" applyFill="1" applyBorder="1" applyAlignment="1">
      <alignment horizontal="center" vertical="center"/>
    </xf>
    <xf numFmtId="3" fontId="0" fillId="3" borderId="32" xfId="0" applyNumberFormat="1" applyFont="1" applyFill="1" applyBorder="1" applyAlignment="1">
      <alignment horizontal="center" vertical="center"/>
    </xf>
    <xf numFmtId="3" fontId="0" fillId="3" borderId="33" xfId="0" applyNumberFormat="1" applyFont="1" applyFill="1" applyBorder="1" applyAlignment="1">
      <alignment horizontal="center" vertical="center"/>
    </xf>
    <xf numFmtId="3" fontId="8" fillId="3" borderId="34" xfId="0" applyNumberFormat="1" applyFont="1" applyFill="1" applyBorder="1" applyAlignment="1">
      <alignment horizontal="center" vertical="center"/>
    </xf>
    <xf numFmtId="0" fontId="8" fillId="3" borderId="26" xfId="0" applyNumberFormat="1" applyFont="1" applyFill="1" applyBorder="1" applyAlignment="1">
      <alignment horizontal="center" vertical="center"/>
    </xf>
    <xf numFmtId="3" fontId="8" fillId="3" borderId="22" xfId="0" applyNumberFormat="1" applyFont="1" applyFill="1" applyBorder="1" applyAlignment="1">
      <alignment horizontal="center" vertical="center"/>
    </xf>
    <xf numFmtId="0" fontId="0" fillId="3" borderId="10" xfId="0" applyNumberFormat="1" applyFont="1" applyFill="1" applyBorder="1" applyAlignment="1">
      <alignment horizontal="center" vertical="center"/>
    </xf>
    <xf numFmtId="3" fontId="0" fillId="3" borderId="35" xfId="0" applyNumberFormat="1" applyFont="1" applyFill="1" applyBorder="1" applyAlignment="1">
      <alignment horizontal="center" vertical="center"/>
    </xf>
    <xf numFmtId="3" fontId="0" fillId="3" borderId="36" xfId="0" applyNumberFormat="1" applyFont="1" applyFill="1" applyBorder="1" applyAlignment="1">
      <alignment horizontal="center" vertical="center"/>
    </xf>
    <xf numFmtId="3" fontId="0" fillId="3" borderId="37" xfId="0" applyNumberFormat="1" applyFont="1" applyFill="1" applyBorder="1" applyAlignment="1">
      <alignment horizontal="center" vertical="center"/>
    </xf>
    <xf numFmtId="0" fontId="8" fillId="4" borderId="24" xfId="0" applyNumberFormat="1" applyFont="1" applyFill="1" applyBorder="1" applyAlignment="1">
      <alignment horizontal="center" vertical="center"/>
    </xf>
    <xf numFmtId="3" fontId="8" fillId="4" borderId="21" xfId="0" applyNumberFormat="1" applyFont="1" applyFill="1" applyBorder="1" applyAlignment="1">
      <alignment horizontal="center" vertical="center"/>
    </xf>
    <xf numFmtId="0" fontId="0" fillId="4" borderId="30" xfId="0" applyNumberFormat="1" applyFont="1" applyFill="1" applyBorder="1" applyAlignment="1">
      <alignment horizontal="center" vertical="center"/>
    </xf>
    <xf numFmtId="3" fontId="0" fillId="4" borderId="31" xfId="0" applyNumberFormat="1" applyFont="1" applyFill="1" applyBorder="1" applyAlignment="1">
      <alignment horizontal="center" vertical="center"/>
    </xf>
    <xf numFmtId="3" fontId="0" fillId="4" borderId="32" xfId="0" applyNumberFormat="1" applyFont="1" applyFill="1" applyBorder="1" applyAlignment="1">
      <alignment horizontal="center" vertical="center"/>
    </xf>
    <xf numFmtId="3" fontId="0" fillId="4" borderId="33" xfId="0" applyNumberFormat="1" applyFont="1" applyFill="1" applyBorder="1" applyAlignment="1">
      <alignment horizontal="center" vertical="center"/>
    </xf>
    <xf numFmtId="3" fontId="8" fillId="4" borderId="34" xfId="0" applyNumberFormat="1" applyFont="1" applyFill="1" applyBorder="1" applyAlignment="1">
      <alignment horizontal="center" vertical="center"/>
    </xf>
    <xf numFmtId="0" fontId="8" fillId="4" borderId="26" xfId="0" applyNumberFormat="1" applyFont="1" applyFill="1" applyBorder="1" applyAlignment="1">
      <alignment horizontal="center" vertical="center"/>
    </xf>
    <xf numFmtId="3" fontId="8" fillId="4" borderId="22" xfId="0" applyNumberFormat="1" applyFont="1" applyFill="1" applyBorder="1" applyAlignment="1">
      <alignment horizontal="center" vertical="center"/>
    </xf>
    <xf numFmtId="0" fontId="0" fillId="4" borderId="10" xfId="0" applyNumberFormat="1" applyFont="1" applyFill="1" applyBorder="1" applyAlignment="1">
      <alignment horizontal="center" vertical="center"/>
    </xf>
    <xf numFmtId="3" fontId="0" fillId="4" borderId="35" xfId="0" applyNumberFormat="1" applyFont="1" applyFill="1" applyBorder="1" applyAlignment="1">
      <alignment horizontal="center" vertical="center"/>
    </xf>
    <xf numFmtId="3" fontId="0" fillId="4" borderId="36" xfId="0" applyNumberFormat="1" applyFont="1" applyFill="1" applyBorder="1" applyAlignment="1">
      <alignment horizontal="center" vertical="center"/>
    </xf>
    <xf numFmtId="3" fontId="0" fillId="4" borderId="37" xfId="0" applyNumberFormat="1" applyFont="1" applyFill="1" applyBorder="1" applyAlignment="1">
      <alignment horizontal="center" vertical="center"/>
    </xf>
    <xf numFmtId="0" fontId="8" fillId="5" borderId="24" xfId="0" applyNumberFormat="1" applyFont="1" applyFill="1" applyBorder="1" applyAlignment="1">
      <alignment horizontal="center" vertical="center"/>
    </xf>
    <xf numFmtId="3" fontId="8" fillId="5" borderId="21" xfId="0" applyNumberFormat="1" applyFont="1" applyFill="1" applyBorder="1" applyAlignment="1">
      <alignment horizontal="center" vertical="center"/>
    </xf>
    <xf numFmtId="0" fontId="0" fillId="5" borderId="30" xfId="0" applyNumberFormat="1" applyFont="1" applyFill="1" applyBorder="1" applyAlignment="1">
      <alignment horizontal="center" vertical="center"/>
    </xf>
    <xf numFmtId="3" fontId="0" fillId="5" borderId="31" xfId="0" applyNumberFormat="1" applyFont="1" applyFill="1" applyBorder="1" applyAlignment="1">
      <alignment horizontal="center" vertical="center"/>
    </xf>
    <xf numFmtId="3" fontId="0" fillId="5" borderId="32" xfId="0" applyNumberFormat="1" applyFont="1" applyFill="1" applyBorder="1" applyAlignment="1">
      <alignment horizontal="center" vertical="center"/>
    </xf>
    <xf numFmtId="3" fontId="0" fillId="5" borderId="33" xfId="0" applyNumberFormat="1" applyFont="1" applyFill="1" applyBorder="1" applyAlignment="1">
      <alignment horizontal="center" vertical="center"/>
    </xf>
    <xf numFmtId="3" fontId="8" fillId="5" borderId="34" xfId="0" applyNumberFormat="1" applyFont="1" applyFill="1" applyBorder="1" applyAlignment="1">
      <alignment horizontal="center" vertical="center"/>
    </xf>
    <xf numFmtId="0" fontId="8" fillId="5" borderId="38" xfId="0" applyNumberFormat="1" applyFont="1" applyFill="1" applyBorder="1" applyAlignment="1">
      <alignment horizontal="center" vertical="center"/>
    </xf>
    <xf numFmtId="3" fontId="8" fillId="5" borderId="39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40" xfId="0" applyNumberFormat="1" applyFont="1" applyFill="1" applyBorder="1" applyAlignment="1">
      <alignment horizontal="center" vertical="center"/>
    </xf>
    <xf numFmtId="3" fontId="0" fillId="5" borderId="41" xfId="0" applyNumberFormat="1" applyFont="1" applyFill="1" applyBorder="1" applyAlignment="1">
      <alignment horizontal="center" vertical="center"/>
    </xf>
    <xf numFmtId="3" fontId="0" fillId="5" borderId="42" xfId="0" applyNumberFormat="1" applyFont="1" applyFill="1" applyBorder="1" applyAlignment="1">
      <alignment horizontal="center" vertical="center"/>
    </xf>
    <xf numFmtId="3" fontId="8" fillId="5" borderId="43" xfId="0" applyNumberFormat="1" applyFont="1" applyFill="1" applyBorder="1" applyAlignment="1">
      <alignment horizontal="center" vertical="center"/>
    </xf>
    <xf numFmtId="0" fontId="8" fillId="5" borderId="26" xfId="0" applyNumberFormat="1" applyFont="1" applyFill="1" applyBorder="1" applyAlignment="1">
      <alignment horizontal="center" vertical="center"/>
    </xf>
    <xf numFmtId="3" fontId="8" fillId="5" borderId="22" xfId="0" applyNumberFormat="1" applyFont="1" applyFill="1" applyBorder="1" applyAlignment="1">
      <alignment horizontal="center" vertical="center"/>
    </xf>
    <xf numFmtId="0" fontId="0" fillId="5" borderId="10" xfId="0" applyNumberFormat="1" applyFont="1" applyFill="1" applyBorder="1" applyAlignment="1">
      <alignment horizontal="center" vertical="center"/>
    </xf>
    <xf numFmtId="3" fontId="0" fillId="5" borderId="35" xfId="0" applyNumberFormat="1" applyFont="1" applyFill="1" applyBorder="1" applyAlignment="1">
      <alignment horizontal="center" vertical="center"/>
    </xf>
    <xf numFmtId="3" fontId="0" fillId="5" borderId="36" xfId="0" applyNumberFormat="1" applyFont="1" applyFill="1" applyBorder="1" applyAlignment="1">
      <alignment horizontal="center" vertical="center"/>
    </xf>
    <xf numFmtId="3" fontId="0" fillId="5" borderId="37" xfId="0" applyNumberFormat="1" applyFont="1" applyFill="1" applyBorder="1" applyAlignment="1">
      <alignment horizontal="center" vertical="center"/>
    </xf>
    <xf numFmtId="0" fontId="8" fillId="3" borderId="38" xfId="0" applyNumberFormat="1" applyFont="1" applyFill="1" applyBorder="1" applyAlignment="1">
      <alignment horizontal="center" vertical="center"/>
    </xf>
    <xf numFmtId="3" fontId="8" fillId="3" borderId="39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40" xfId="0" applyNumberFormat="1" applyFont="1" applyFill="1" applyBorder="1" applyAlignment="1">
      <alignment horizontal="center" vertical="center"/>
    </xf>
    <xf numFmtId="3" fontId="0" fillId="3" borderId="41" xfId="0" applyNumberFormat="1" applyFont="1" applyFill="1" applyBorder="1" applyAlignment="1">
      <alignment horizontal="center" vertical="center"/>
    </xf>
    <xf numFmtId="3" fontId="0" fillId="3" borderId="42" xfId="0" applyNumberFormat="1" applyFont="1" applyFill="1" applyBorder="1" applyAlignment="1">
      <alignment horizontal="center" vertical="center"/>
    </xf>
    <xf numFmtId="3" fontId="8" fillId="3" borderId="43" xfId="0" applyNumberFormat="1" applyFont="1" applyFill="1" applyBorder="1" applyAlignment="1">
      <alignment horizontal="center" vertical="center"/>
    </xf>
    <xf numFmtId="9" fontId="8" fillId="3" borderId="22" xfId="0" applyNumberFormat="1" applyFont="1" applyFill="1" applyBorder="1" applyAlignment="1">
      <alignment horizontal="center" vertical="center"/>
    </xf>
    <xf numFmtId="9" fontId="0" fillId="3" borderId="35" xfId="0" applyNumberFormat="1" applyFont="1" applyFill="1" applyBorder="1" applyAlignment="1">
      <alignment horizontal="center" vertical="center"/>
    </xf>
    <xf numFmtId="9" fontId="0" fillId="3" borderId="36" xfId="0" applyNumberFormat="1" applyFont="1" applyFill="1" applyBorder="1" applyAlignment="1">
      <alignment horizontal="center" vertical="center"/>
    </xf>
    <xf numFmtId="9" fontId="0" fillId="3" borderId="37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3" fontId="8" fillId="6" borderId="21" xfId="0" applyNumberFormat="1" applyFont="1" applyFill="1" applyBorder="1" applyAlignment="1">
      <alignment horizontal="center" vertical="center"/>
    </xf>
    <xf numFmtId="0" fontId="0" fillId="6" borderId="30" xfId="0" applyNumberFormat="1" applyFont="1" applyFill="1" applyBorder="1" applyAlignment="1">
      <alignment horizontal="center" vertical="center"/>
    </xf>
    <xf numFmtId="3" fontId="0" fillId="6" borderId="31" xfId="0" applyNumberFormat="1" applyFont="1" applyFill="1" applyBorder="1" applyAlignment="1">
      <alignment horizontal="center" vertical="center"/>
    </xf>
    <xf numFmtId="3" fontId="0" fillId="6" borderId="32" xfId="0" applyNumberFormat="1" applyFont="1" applyFill="1" applyBorder="1" applyAlignment="1">
      <alignment horizontal="center" vertical="center"/>
    </xf>
    <xf numFmtId="3" fontId="0" fillId="6" borderId="33" xfId="0" applyNumberFormat="1" applyFont="1" applyFill="1" applyBorder="1" applyAlignment="1">
      <alignment horizontal="center" vertical="center"/>
    </xf>
    <xf numFmtId="3" fontId="8" fillId="6" borderId="34" xfId="0" applyNumberFormat="1" applyFont="1" applyFill="1" applyBorder="1" applyAlignment="1">
      <alignment horizontal="center" vertical="center"/>
    </xf>
    <xf numFmtId="0" fontId="8" fillId="6" borderId="38" xfId="0" applyNumberFormat="1" applyFont="1" applyFill="1" applyBorder="1" applyAlignment="1">
      <alignment horizontal="center" vertical="center"/>
    </xf>
    <xf numFmtId="3" fontId="8" fillId="6" borderId="39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40" xfId="0" applyNumberFormat="1" applyFont="1" applyFill="1" applyBorder="1" applyAlignment="1">
      <alignment horizontal="center" vertical="center"/>
    </xf>
    <xf numFmtId="3" fontId="0" fillId="6" borderId="41" xfId="0" applyNumberFormat="1" applyFont="1" applyFill="1" applyBorder="1" applyAlignment="1">
      <alignment horizontal="center" vertical="center"/>
    </xf>
    <xf numFmtId="3" fontId="0" fillId="6" borderId="42" xfId="0" applyNumberFormat="1" applyFont="1" applyFill="1" applyBorder="1" applyAlignment="1">
      <alignment horizontal="center" vertical="center"/>
    </xf>
    <xf numFmtId="3" fontId="8" fillId="6" borderId="43" xfId="0" applyNumberFormat="1" applyFont="1" applyFill="1" applyBorder="1" applyAlignment="1">
      <alignment horizontal="center" vertical="center"/>
    </xf>
    <xf numFmtId="0" fontId="8" fillId="6" borderId="26" xfId="0" applyNumberFormat="1" applyFont="1" applyFill="1" applyBorder="1" applyAlignment="1">
      <alignment horizontal="center" vertical="center"/>
    </xf>
    <xf numFmtId="3" fontId="8" fillId="6" borderId="22" xfId="0" applyNumberFormat="1" applyFont="1" applyFill="1" applyBorder="1" applyAlignment="1">
      <alignment horizontal="center" vertical="center"/>
    </xf>
    <xf numFmtId="0" fontId="0" fillId="6" borderId="10" xfId="0" applyNumberFormat="1" applyFont="1" applyFill="1" applyBorder="1" applyAlignment="1">
      <alignment horizontal="center" vertical="center"/>
    </xf>
    <xf numFmtId="3" fontId="0" fillId="6" borderId="35" xfId="0" applyNumberFormat="1" applyFont="1" applyFill="1" applyBorder="1" applyAlignment="1">
      <alignment horizontal="center" vertical="center"/>
    </xf>
    <xf numFmtId="3" fontId="0" fillId="6" borderId="36" xfId="0" applyNumberFormat="1" applyFont="1" applyFill="1" applyBorder="1" applyAlignment="1">
      <alignment horizontal="center" vertical="center"/>
    </xf>
    <xf numFmtId="3" fontId="0" fillId="6" borderId="37" xfId="0" applyNumberFormat="1" applyFont="1" applyFill="1" applyBorder="1" applyAlignment="1">
      <alignment horizontal="center" vertical="center"/>
    </xf>
    <xf numFmtId="0" fontId="8" fillId="3" borderId="21" xfId="0" applyNumberFormat="1" applyFont="1" applyFill="1" applyBorder="1" applyAlignment="1">
      <alignment horizontal="center" vertical="center"/>
    </xf>
    <xf numFmtId="0" fontId="8" fillId="3" borderId="22" xfId="0" applyNumberFormat="1" applyFont="1" applyFill="1" applyBorder="1" applyAlignment="1">
      <alignment horizontal="center" vertical="center"/>
    </xf>
    <xf numFmtId="0" fontId="8" fillId="4" borderId="21" xfId="0" applyNumberFormat="1" applyFont="1" applyFill="1" applyBorder="1" applyAlignment="1">
      <alignment horizontal="center" vertical="center"/>
    </xf>
    <xf numFmtId="0" fontId="8" fillId="4" borderId="22" xfId="0" applyNumberFormat="1" applyFont="1" applyFill="1" applyBorder="1" applyAlignment="1">
      <alignment horizontal="center" vertical="center"/>
    </xf>
    <xf numFmtId="0" fontId="8" fillId="5" borderId="21" xfId="0" applyNumberFormat="1" applyFont="1" applyFill="1" applyBorder="1" applyAlignment="1">
      <alignment horizontal="center" vertical="center"/>
    </xf>
    <xf numFmtId="0" fontId="8" fillId="5" borderId="39" xfId="0" applyNumberFormat="1" applyFont="1" applyFill="1" applyBorder="1" applyAlignment="1">
      <alignment horizontal="center" vertical="center"/>
    </xf>
    <xf numFmtId="0" fontId="8" fillId="5" borderId="22" xfId="0" applyNumberFormat="1" applyFont="1" applyFill="1" applyBorder="1" applyAlignment="1">
      <alignment horizontal="center" vertical="center"/>
    </xf>
    <xf numFmtId="0" fontId="8" fillId="3" borderId="39" xfId="0" applyNumberFormat="1" applyFont="1" applyFill="1" applyBorder="1" applyAlignment="1">
      <alignment horizontal="center" vertical="center"/>
    </xf>
    <xf numFmtId="0" fontId="8" fillId="6" borderId="21" xfId="0" applyNumberFormat="1" applyFont="1" applyFill="1" applyBorder="1" applyAlignment="1">
      <alignment horizontal="center" vertical="center"/>
    </xf>
    <xf numFmtId="0" fontId="8" fillId="6" borderId="39" xfId="0" applyNumberFormat="1" applyFont="1" applyFill="1" applyBorder="1" applyAlignment="1">
      <alignment horizontal="center" vertical="center"/>
    </xf>
    <xf numFmtId="0" fontId="8" fillId="6" borderId="22" xfId="0" applyNumberFormat="1" applyFont="1" applyFill="1" applyBorder="1" applyAlignment="1">
      <alignment horizontal="center" vertical="center"/>
    </xf>
    <xf numFmtId="0" fontId="5" fillId="0" borderId="21" xfId="0" applyNumberFormat="1" applyFont="1" applyFill="1" applyBorder="1" applyAlignment="1">
      <alignment horizontal="center" vertical="center" wrapText="1"/>
    </xf>
    <xf numFmtId="0" fontId="5" fillId="0" borderId="39" xfId="0" applyNumberFormat="1" applyFont="1" applyFill="1" applyBorder="1" applyAlignment="1">
      <alignment horizontal="center" vertical="center" wrapText="1"/>
    </xf>
    <xf numFmtId="0" fontId="5" fillId="0" borderId="22" xfId="0" applyNumberFormat="1" applyFont="1" applyFill="1" applyBorder="1" applyAlignment="1">
      <alignment horizontal="center" vertical="center" wrapText="1"/>
    </xf>
    <xf numFmtId="173" fontId="0" fillId="3" borderId="35" xfId="0" applyNumberFormat="1" applyFont="1" applyFill="1" applyBorder="1" applyAlignment="1">
      <alignment horizontal="center" vertical="center"/>
    </xf>
    <xf numFmtId="173" fontId="0" fillId="3" borderId="36" xfId="0" applyNumberFormat="1" applyFont="1" applyFill="1" applyBorder="1" applyAlignment="1">
      <alignment horizontal="center" vertical="center"/>
    </xf>
    <xf numFmtId="173" fontId="0" fillId="3" borderId="37" xfId="0" applyNumberFormat="1" applyFont="1" applyFill="1" applyBorder="1" applyAlignment="1">
      <alignment horizontal="center" vertical="center"/>
    </xf>
    <xf numFmtId="173" fontId="8" fillId="3" borderId="22" xfId="0" applyNumberFormat="1" applyFont="1" applyFill="1" applyBorder="1" applyAlignment="1">
      <alignment horizontal="center" vertical="center"/>
    </xf>
    <xf numFmtId="0" fontId="8" fillId="4" borderId="38" xfId="0" applyNumberFormat="1" applyFont="1" applyFill="1" applyBorder="1" applyAlignment="1">
      <alignment horizontal="center" vertical="center"/>
    </xf>
    <xf numFmtId="3" fontId="8" fillId="4" borderId="39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40" xfId="0" applyNumberFormat="1" applyFont="1" applyFill="1" applyBorder="1" applyAlignment="1">
      <alignment horizontal="center" vertical="center"/>
    </xf>
    <xf numFmtId="3" fontId="0" fillId="4" borderId="41" xfId="0" applyNumberFormat="1" applyFont="1" applyFill="1" applyBorder="1" applyAlignment="1">
      <alignment horizontal="center" vertical="center"/>
    </xf>
    <xf numFmtId="3" fontId="0" fillId="4" borderId="42" xfId="0" applyNumberFormat="1" applyFont="1" applyFill="1" applyBorder="1" applyAlignment="1">
      <alignment horizontal="center" vertical="center"/>
    </xf>
    <xf numFmtId="3" fontId="8" fillId="4" borderId="43" xfId="0" applyNumberFormat="1" applyFont="1" applyFill="1" applyBorder="1" applyAlignment="1">
      <alignment horizontal="center" vertical="center"/>
    </xf>
    <xf numFmtId="173" fontId="0" fillId="4" borderId="35" xfId="0" applyNumberFormat="1" applyFont="1" applyFill="1" applyBorder="1" applyAlignment="1">
      <alignment horizontal="center" vertical="center"/>
    </xf>
    <xf numFmtId="173" fontId="0" fillId="4" borderId="36" xfId="0" applyNumberFormat="1" applyFont="1" applyFill="1" applyBorder="1" applyAlignment="1">
      <alignment horizontal="center" vertical="center"/>
    </xf>
    <xf numFmtId="173" fontId="0" fillId="4" borderId="37" xfId="0" applyNumberFormat="1" applyFont="1" applyFill="1" applyBorder="1" applyAlignment="1">
      <alignment horizontal="center" vertical="center"/>
    </xf>
    <xf numFmtId="173" fontId="8" fillId="4" borderId="22" xfId="0" applyNumberFormat="1" applyFont="1" applyFill="1" applyBorder="1" applyAlignment="1">
      <alignment horizontal="center" vertical="center"/>
    </xf>
    <xf numFmtId="0" fontId="8" fillId="4" borderId="39" xfId="0" applyNumberFormat="1" applyFont="1" applyFill="1" applyBorder="1" applyAlignment="1">
      <alignment horizontal="center" vertical="center"/>
    </xf>
    <xf numFmtId="0" fontId="26" fillId="0" borderId="0" xfId="0" applyNumberFormat="1" applyFont="1" applyFill="1" applyBorder="1" applyAlignment="1">
      <alignment horizontal="right" vertical="center"/>
    </xf>
    <xf numFmtId="0" fontId="24" fillId="0" borderId="44" xfId="0" applyNumberFormat="1" applyFont="1" applyFill="1" applyBorder="1" applyAlignment="1">
      <alignment horizontal="left" vertical="center"/>
    </xf>
    <xf numFmtId="0" fontId="8" fillId="2" borderId="7" xfId="0" applyNumberFormat="1" applyFont="1" applyFill="1" applyBorder="1" applyAlignment="1">
      <alignment horizontal="center" vertical="center" wrapText="1"/>
    </xf>
    <xf numFmtId="0" fontId="8" fillId="2" borderId="9" xfId="0" applyNumberFormat="1" applyFont="1" applyFill="1" applyBorder="1" applyAlignment="1">
      <alignment horizontal="center" vertical="center" wrapText="1"/>
    </xf>
    <xf numFmtId="0" fontId="8" fillId="2" borderId="8" xfId="0" applyNumberFormat="1" applyFont="1" applyFill="1" applyBorder="1" applyAlignment="1">
      <alignment horizontal="center" vertical="center" wrapText="1"/>
    </xf>
    <xf numFmtId="0" fontId="8" fillId="15" borderId="7" xfId="0" applyNumberFormat="1" applyFont="1" applyFill="1" applyBorder="1" applyAlignment="1">
      <alignment horizontal="center" vertical="center" wrapText="1"/>
    </xf>
    <xf numFmtId="0" fontId="8" fillId="15" borderId="9" xfId="0" applyNumberFormat="1" applyFont="1" applyFill="1" applyBorder="1" applyAlignment="1">
      <alignment horizontal="center" vertical="center" wrapText="1"/>
    </xf>
    <xf numFmtId="0" fontId="8" fillId="15" borderId="8" xfId="0" applyNumberFormat="1" applyFont="1" applyFill="1" applyBorder="1" applyAlignment="1">
      <alignment horizontal="center" vertical="center" wrapText="1"/>
    </xf>
    <xf numFmtId="0" fontId="8" fillId="3" borderId="30" xfId="0" applyNumberFormat="1" applyFont="1" applyFill="1" applyBorder="1" applyAlignment="1">
      <alignment horizontal="left" vertical="center" indent="1"/>
    </xf>
    <xf numFmtId="0" fontId="8" fillId="3" borderId="45" xfId="0" applyNumberFormat="1" applyFont="1" applyFill="1" applyBorder="1" applyAlignment="1">
      <alignment horizontal="left" vertical="center" indent="1"/>
    </xf>
    <xf numFmtId="3" fontId="8" fillId="3" borderId="30" xfId="0" applyNumberFormat="1" applyFont="1" applyFill="1" applyBorder="1" applyAlignment="1">
      <alignment horizontal="center" vertical="center"/>
    </xf>
    <xf numFmtId="3" fontId="8" fillId="3" borderId="45" xfId="0" applyNumberFormat="1" applyFont="1" applyFill="1" applyBorder="1" applyAlignment="1">
      <alignment horizontal="center" vertical="center"/>
    </xf>
    <xf numFmtId="3" fontId="31" fillId="3" borderId="30" xfId="0" applyNumberFormat="1" applyFont="1" applyFill="1" applyBorder="1" applyAlignment="1">
      <alignment horizontal="center" vertical="center"/>
    </xf>
    <xf numFmtId="3" fontId="31" fillId="3" borderId="45" xfId="0" applyNumberFormat="1" applyFont="1" applyFill="1" applyBorder="1" applyAlignment="1">
      <alignment horizontal="center" vertical="center"/>
    </xf>
    <xf numFmtId="168" fontId="0" fillId="3" borderId="30" xfId="0" applyNumberFormat="1" applyFont="1" applyFill="1" applyBorder="1" applyAlignment="1">
      <alignment horizontal="center" vertical="center"/>
    </xf>
    <xf numFmtId="168" fontId="0" fillId="3" borderId="45" xfId="0" applyNumberFormat="1" applyFont="1" applyFill="1" applyBorder="1" applyAlignment="1">
      <alignment horizontal="center" vertical="center"/>
    </xf>
    <xf numFmtId="3" fontId="0" fillId="3" borderId="30" xfId="0" applyNumberFormat="1" applyFont="1" applyFill="1" applyBorder="1" applyAlignment="1">
      <alignment horizontal="center" vertical="center"/>
    </xf>
    <xf numFmtId="3" fontId="0" fillId="3" borderId="45" xfId="0" applyNumberFormat="1" applyFont="1" applyFill="1" applyBorder="1" applyAlignment="1">
      <alignment horizontal="center" vertical="center"/>
    </xf>
    <xf numFmtId="174" fontId="8" fillId="3" borderId="30" xfId="0" applyNumberFormat="1" applyFont="1" applyFill="1" applyBorder="1" applyAlignment="1">
      <alignment horizontal="center" vertical="center"/>
    </xf>
    <xf numFmtId="174" fontId="8" fillId="3" borderId="45" xfId="0" applyNumberFormat="1" applyFont="1" applyFill="1" applyBorder="1" applyAlignment="1">
      <alignment horizontal="center" vertical="center"/>
    </xf>
    <xf numFmtId="9" fontId="0" fillId="3" borderId="30" xfId="0" applyNumberFormat="1" applyFont="1" applyFill="1" applyBorder="1" applyAlignment="1">
      <alignment horizontal="center" vertical="center"/>
    </xf>
    <xf numFmtId="9" fontId="0" fillId="3" borderId="45" xfId="0" applyNumberFormat="1" applyFont="1" applyFill="1" applyBorder="1" applyAlignment="1">
      <alignment horizontal="center" vertical="center"/>
    </xf>
    <xf numFmtId="0" fontId="5" fillId="3" borderId="30" xfId="0" applyNumberFormat="1" applyFont="1" applyFill="1" applyBorder="1" applyAlignment="1">
      <alignment horizontal="center" vertical="center"/>
    </xf>
    <xf numFmtId="0" fontId="5" fillId="3" borderId="45" xfId="0" applyNumberFormat="1" applyFont="1" applyFill="1" applyBorder="1" applyAlignment="1">
      <alignment horizontal="center" vertical="center"/>
    </xf>
    <xf numFmtId="0" fontId="5" fillId="3" borderId="24" xfId="0" applyNumberFormat="1" applyFont="1" applyFill="1" applyBorder="1" applyAlignment="1">
      <alignment horizontal="center" vertical="center"/>
    </xf>
    <xf numFmtId="0" fontId="8" fillId="3" borderId="46" xfId="0" applyNumberFormat="1" applyFont="1" applyFill="1" applyBorder="1" applyAlignment="1">
      <alignment horizontal="left" vertical="center" indent="1"/>
    </xf>
    <xf numFmtId="0" fontId="8" fillId="3" borderId="47" xfId="0" applyNumberFormat="1" applyFont="1" applyFill="1" applyBorder="1" applyAlignment="1">
      <alignment horizontal="left" vertical="center" indent="1"/>
    </xf>
    <xf numFmtId="3" fontId="8" fillId="3" borderId="46" xfId="0" applyNumberFormat="1" applyFont="1" applyFill="1" applyBorder="1" applyAlignment="1">
      <alignment horizontal="center" vertical="center"/>
    </xf>
    <xf numFmtId="3" fontId="8" fillId="3" borderId="47" xfId="0" applyNumberFormat="1" applyFont="1" applyFill="1" applyBorder="1" applyAlignment="1">
      <alignment horizontal="center" vertical="center"/>
    </xf>
    <xf numFmtId="3" fontId="31" fillId="3" borderId="46" xfId="0" applyNumberFormat="1" applyFont="1" applyFill="1" applyBorder="1" applyAlignment="1">
      <alignment horizontal="center" vertical="center"/>
    </xf>
    <xf numFmtId="3" fontId="31" fillId="3" borderId="47" xfId="0" applyNumberFormat="1" applyFont="1" applyFill="1" applyBorder="1" applyAlignment="1">
      <alignment horizontal="center" vertical="center"/>
    </xf>
    <xf numFmtId="168" fontId="0" fillId="3" borderId="46" xfId="0" applyNumberFormat="1" applyFont="1" applyFill="1" applyBorder="1" applyAlignment="1">
      <alignment horizontal="center" vertical="center"/>
    </xf>
    <xf numFmtId="168" fontId="0" fillId="3" borderId="47" xfId="0" applyNumberFormat="1" applyFont="1" applyFill="1" applyBorder="1" applyAlignment="1">
      <alignment horizontal="center" vertical="center"/>
    </xf>
    <xf numFmtId="3" fontId="0" fillId="3" borderId="46" xfId="0" applyNumberFormat="1" applyFont="1" applyFill="1" applyBorder="1" applyAlignment="1">
      <alignment horizontal="center" vertical="center"/>
    </xf>
    <xf numFmtId="3" fontId="0" fillId="3" borderId="47" xfId="0" applyNumberFormat="1" applyFont="1" applyFill="1" applyBorder="1" applyAlignment="1">
      <alignment horizontal="center" vertical="center"/>
    </xf>
    <xf numFmtId="174" fontId="8" fillId="3" borderId="46" xfId="0" applyNumberFormat="1" applyFont="1" applyFill="1" applyBorder="1" applyAlignment="1">
      <alignment horizontal="center" vertical="center"/>
    </xf>
    <xf numFmtId="174" fontId="8" fillId="3" borderId="47" xfId="0" applyNumberFormat="1" applyFont="1" applyFill="1" applyBorder="1" applyAlignment="1">
      <alignment horizontal="center" vertical="center"/>
    </xf>
    <xf numFmtId="9" fontId="0" fillId="3" borderId="46" xfId="0" applyNumberFormat="1" applyFont="1" applyFill="1" applyBorder="1" applyAlignment="1">
      <alignment horizontal="center" vertical="center"/>
    </xf>
    <xf numFmtId="9" fontId="0" fillId="3" borderId="47" xfId="0" applyNumberFormat="1" applyFont="1" applyFill="1" applyBorder="1" applyAlignment="1">
      <alignment horizontal="center" vertical="center"/>
    </xf>
    <xf numFmtId="0" fontId="5" fillId="3" borderId="46" xfId="0" applyNumberFormat="1" applyFont="1" applyFill="1" applyBorder="1" applyAlignment="1">
      <alignment horizontal="center" vertical="center"/>
    </xf>
    <xf numFmtId="0" fontId="5" fillId="3" borderId="47" xfId="0" applyNumberFormat="1" applyFont="1" applyFill="1" applyBorder="1" applyAlignment="1">
      <alignment horizontal="center" vertical="center"/>
    </xf>
    <xf numFmtId="0" fontId="5" fillId="3" borderId="48" xfId="0" applyNumberFormat="1" applyFont="1" applyFill="1" applyBorder="1" applyAlignment="1">
      <alignment horizontal="center" vertical="center"/>
    </xf>
    <xf numFmtId="168" fontId="31" fillId="3" borderId="46" xfId="0" applyNumberFormat="1" applyFont="1" applyFill="1" applyBorder="1" applyAlignment="1">
      <alignment horizontal="center" vertical="center"/>
    </xf>
    <xf numFmtId="168" fontId="31" fillId="3" borderId="47" xfId="0" applyNumberFormat="1" applyFont="1" applyFill="1" applyBorder="1" applyAlignment="1">
      <alignment horizontal="center" vertical="center"/>
    </xf>
    <xf numFmtId="0" fontId="8" fillId="3" borderId="49" xfId="0" applyNumberFormat="1" applyFont="1" applyFill="1" applyBorder="1" applyAlignment="1">
      <alignment horizontal="left" vertical="center" indent="1"/>
    </xf>
    <xf numFmtId="0" fontId="8" fillId="3" borderId="50" xfId="0" applyNumberFormat="1" applyFont="1" applyFill="1" applyBorder="1" applyAlignment="1">
      <alignment horizontal="left" vertical="center" indent="1"/>
    </xf>
    <xf numFmtId="3" fontId="8" fillId="3" borderId="49" xfId="0" applyNumberFormat="1" applyFont="1" applyFill="1" applyBorder="1" applyAlignment="1">
      <alignment horizontal="center" vertical="center"/>
    </xf>
    <xf numFmtId="3" fontId="8" fillId="3" borderId="50" xfId="0" applyNumberFormat="1" applyFont="1" applyFill="1" applyBorder="1" applyAlignment="1">
      <alignment horizontal="center" vertical="center"/>
    </xf>
    <xf numFmtId="3" fontId="31" fillId="3" borderId="49" xfId="0" applyNumberFormat="1" applyFont="1" applyFill="1" applyBorder="1" applyAlignment="1">
      <alignment horizontal="center" vertical="center"/>
    </xf>
    <xf numFmtId="3" fontId="31" fillId="3" borderId="50" xfId="0" applyNumberFormat="1" applyFont="1" applyFill="1" applyBorder="1" applyAlignment="1">
      <alignment horizontal="center" vertical="center"/>
    </xf>
    <xf numFmtId="168" fontId="0" fillId="3" borderId="49" xfId="0" applyNumberFormat="1" applyFont="1" applyFill="1" applyBorder="1" applyAlignment="1">
      <alignment horizontal="center" vertical="center"/>
    </xf>
    <xf numFmtId="168" fontId="0" fillId="3" borderId="50" xfId="0" applyNumberFormat="1" applyFont="1" applyFill="1" applyBorder="1" applyAlignment="1">
      <alignment horizontal="center" vertical="center"/>
    </xf>
    <xf numFmtId="3" fontId="0" fillId="3" borderId="49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174" fontId="8" fillId="3" borderId="49" xfId="0" applyNumberFormat="1" applyFont="1" applyFill="1" applyBorder="1" applyAlignment="1">
      <alignment horizontal="center" vertical="center"/>
    </xf>
    <xf numFmtId="174" fontId="8" fillId="3" borderId="50" xfId="0" applyNumberFormat="1" applyFont="1" applyFill="1" applyBorder="1" applyAlignment="1">
      <alignment horizontal="center" vertical="center"/>
    </xf>
    <xf numFmtId="9" fontId="0" fillId="3" borderId="49" xfId="0" applyNumberFormat="1" applyFont="1" applyFill="1" applyBorder="1" applyAlignment="1">
      <alignment horizontal="center" vertical="center"/>
    </xf>
    <xf numFmtId="9" fontId="0" fillId="3" borderId="50" xfId="0" applyNumberFormat="1" applyFont="1" applyFill="1" applyBorder="1" applyAlignment="1">
      <alignment horizontal="center" vertical="center"/>
    </xf>
    <xf numFmtId="0" fontId="5" fillId="3" borderId="49" xfId="0" applyNumberFormat="1" applyFont="1" applyFill="1" applyBorder="1" applyAlignment="1">
      <alignment horizontal="center" vertical="center"/>
    </xf>
    <xf numFmtId="0" fontId="5" fillId="3" borderId="50" xfId="0" applyNumberFormat="1" applyFont="1" applyFill="1" applyBorder="1" applyAlignment="1">
      <alignment horizontal="center" vertical="center"/>
    </xf>
    <xf numFmtId="0" fontId="5" fillId="3" borderId="51" xfId="0" applyNumberFormat="1" applyFont="1" applyFill="1" applyBorder="1" applyAlignment="1">
      <alignment horizontal="center" vertical="center"/>
    </xf>
    <xf numFmtId="0" fontId="8" fillId="4" borderId="30" xfId="0" applyNumberFormat="1" applyFont="1" applyFill="1" applyBorder="1" applyAlignment="1">
      <alignment horizontal="left" vertical="center" indent="1"/>
    </xf>
    <xf numFmtId="0" fontId="8" fillId="4" borderId="45" xfId="0" applyNumberFormat="1" applyFont="1" applyFill="1" applyBorder="1" applyAlignment="1">
      <alignment horizontal="left" vertical="center" indent="1"/>
    </xf>
    <xf numFmtId="3" fontId="8" fillId="4" borderId="30" xfId="0" applyNumberFormat="1" applyFont="1" applyFill="1" applyBorder="1" applyAlignment="1">
      <alignment horizontal="center" vertical="center"/>
    </xf>
    <xf numFmtId="3" fontId="8" fillId="4" borderId="45" xfId="0" applyNumberFormat="1" applyFont="1" applyFill="1" applyBorder="1" applyAlignment="1">
      <alignment horizontal="center" vertical="center"/>
    </xf>
    <xf numFmtId="3" fontId="31" fillId="4" borderId="30" xfId="0" applyNumberFormat="1" applyFont="1" applyFill="1" applyBorder="1" applyAlignment="1">
      <alignment horizontal="center" vertical="center"/>
    </xf>
    <xf numFmtId="3" fontId="31" fillId="4" borderId="45" xfId="0" applyNumberFormat="1" applyFont="1" applyFill="1" applyBorder="1" applyAlignment="1">
      <alignment horizontal="center" vertical="center"/>
    </xf>
    <xf numFmtId="168" fontId="0" fillId="4" borderId="30" xfId="0" applyNumberFormat="1" applyFont="1" applyFill="1" applyBorder="1" applyAlignment="1">
      <alignment horizontal="center" vertical="center"/>
    </xf>
    <xf numFmtId="168" fontId="0" fillId="4" borderId="45" xfId="0" applyNumberFormat="1" applyFont="1" applyFill="1" applyBorder="1" applyAlignment="1">
      <alignment horizontal="center" vertical="center"/>
    </xf>
    <xf numFmtId="3" fontId="0" fillId="4" borderId="30" xfId="0" applyNumberFormat="1" applyFont="1" applyFill="1" applyBorder="1" applyAlignment="1">
      <alignment horizontal="center" vertical="center"/>
    </xf>
    <xf numFmtId="3" fontId="0" fillId="4" borderId="45" xfId="0" applyNumberFormat="1" applyFont="1" applyFill="1" applyBorder="1" applyAlignment="1">
      <alignment horizontal="center" vertical="center"/>
    </xf>
    <xf numFmtId="174" fontId="8" fillId="4" borderId="30" xfId="0" applyNumberFormat="1" applyFont="1" applyFill="1" applyBorder="1" applyAlignment="1">
      <alignment horizontal="center" vertical="center"/>
    </xf>
    <xf numFmtId="174" fontId="8" fillId="4" borderId="45" xfId="0" applyNumberFormat="1" applyFont="1" applyFill="1" applyBorder="1" applyAlignment="1">
      <alignment horizontal="center" vertical="center"/>
    </xf>
    <xf numFmtId="9" fontId="0" fillId="4" borderId="30" xfId="0" applyNumberFormat="1" applyFont="1" applyFill="1" applyBorder="1" applyAlignment="1">
      <alignment horizontal="center" vertical="center"/>
    </xf>
    <xf numFmtId="9" fontId="0" fillId="4" borderId="45" xfId="0" applyNumberFormat="1" applyFont="1" applyFill="1" applyBorder="1" applyAlignment="1">
      <alignment horizontal="center" vertical="center"/>
    </xf>
    <xf numFmtId="0" fontId="5" fillId="4" borderId="30" xfId="0" applyNumberFormat="1" applyFont="1" applyFill="1" applyBorder="1" applyAlignment="1">
      <alignment horizontal="center" vertical="center"/>
    </xf>
    <xf numFmtId="0" fontId="5" fillId="4" borderId="45" xfId="0" applyNumberFormat="1" applyFont="1" applyFill="1" applyBorder="1" applyAlignment="1">
      <alignment horizontal="center" vertical="center"/>
    </xf>
    <xf numFmtId="0" fontId="5" fillId="4" borderId="24" xfId="0" applyNumberFormat="1" applyFont="1" applyFill="1" applyBorder="1" applyAlignment="1">
      <alignment horizontal="center" vertical="center"/>
    </xf>
    <xf numFmtId="0" fontId="8" fillId="4" borderId="46" xfId="0" applyNumberFormat="1" applyFont="1" applyFill="1" applyBorder="1" applyAlignment="1">
      <alignment horizontal="left" vertical="center" indent="1"/>
    </xf>
    <xf numFmtId="0" fontId="8" fillId="4" borderId="47" xfId="0" applyNumberFormat="1" applyFont="1" applyFill="1" applyBorder="1" applyAlignment="1">
      <alignment horizontal="left" vertical="center" indent="1"/>
    </xf>
    <xf numFmtId="3" fontId="8" fillId="4" borderId="46" xfId="0" applyNumberFormat="1" applyFont="1" applyFill="1" applyBorder="1" applyAlignment="1">
      <alignment horizontal="center" vertical="center"/>
    </xf>
    <xf numFmtId="3" fontId="8" fillId="4" borderId="47" xfId="0" applyNumberFormat="1" applyFont="1" applyFill="1" applyBorder="1" applyAlignment="1">
      <alignment horizontal="center" vertical="center"/>
    </xf>
    <xf numFmtId="3" fontId="31" fillId="4" borderId="46" xfId="0" applyNumberFormat="1" applyFont="1" applyFill="1" applyBorder="1" applyAlignment="1">
      <alignment horizontal="center" vertical="center"/>
    </xf>
    <xf numFmtId="3" fontId="31" fillId="4" borderId="47" xfId="0" applyNumberFormat="1" applyFont="1" applyFill="1" applyBorder="1" applyAlignment="1">
      <alignment horizontal="center" vertical="center"/>
    </xf>
    <xf numFmtId="168" fontId="0" fillId="4" borderId="46" xfId="0" applyNumberFormat="1" applyFont="1" applyFill="1" applyBorder="1" applyAlignment="1">
      <alignment horizontal="center" vertical="center"/>
    </xf>
    <xf numFmtId="168" fontId="0" fillId="4" borderId="47" xfId="0" applyNumberFormat="1" applyFont="1" applyFill="1" applyBorder="1" applyAlignment="1">
      <alignment horizontal="center" vertical="center"/>
    </xf>
    <xf numFmtId="3" fontId="0" fillId="4" borderId="46" xfId="0" applyNumberFormat="1" applyFont="1" applyFill="1" applyBorder="1" applyAlignment="1">
      <alignment horizontal="center" vertical="center"/>
    </xf>
    <xf numFmtId="3" fontId="0" fillId="4" borderId="47" xfId="0" applyNumberFormat="1" applyFont="1" applyFill="1" applyBorder="1" applyAlignment="1">
      <alignment horizontal="center" vertical="center"/>
    </xf>
    <xf numFmtId="174" fontId="8" fillId="4" borderId="46" xfId="0" applyNumberFormat="1" applyFont="1" applyFill="1" applyBorder="1" applyAlignment="1">
      <alignment horizontal="center" vertical="center"/>
    </xf>
    <xf numFmtId="174" fontId="8" fillId="4" borderId="47" xfId="0" applyNumberFormat="1" applyFont="1" applyFill="1" applyBorder="1" applyAlignment="1">
      <alignment horizontal="center" vertical="center"/>
    </xf>
    <xf numFmtId="9" fontId="0" fillId="4" borderId="46" xfId="0" applyNumberFormat="1" applyFont="1" applyFill="1" applyBorder="1" applyAlignment="1">
      <alignment horizontal="center" vertical="center"/>
    </xf>
    <xf numFmtId="9" fontId="0" fillId="4" borderId="47" xfId="0" applyNumberFormat="1" applyFont="1" applyFill="1" applyBorder="1" applyAlignment="1">
      <alignment horizontal="center" vertical="center"/>
    </xf>
    <xf numFmtId="0" fontId="5" fillId="4" borderId="46" xfId="0" applyNumberFormat="1" applyFont="1" applyFill="1" applyBorder="1" applyAlignment="1">
      <alignment horizontal="center" vertical="center"/>
    </xf>
    <xf numFmtId="0" fontId="5" fillId="4" borderId="47" xfId="0" applyNumberFormat="1" applyFont="1" applyFill="1" applyBorder="1" applyAlignment="1">
      <alignment horizontal="center" vertical="center"/>
    </xf>
    <xf numFmtId="0" fontId="5" fillId="4" borderId="48" xfId="0" applyNumberFormat="1" applyFont="1" applyFill="1" applyBorder="1" applyAlignment="1">
      <alignment horizontal="center" vertical="center"/>
    </xf>
    <xf numFmtId="0" fontId="8" fillId="4" borderId="49" xfId="0" applyNumberFormat="1" applyFont="1" applyFill="1" applyBorder="1" applyAlignment="1">
      <alignment horizontal="left" vertical="center" indent="1"/>
    </xf>
    <xf numFmtId="0" fontId="8" fillId="4" borderId="50" xfId="0" applyNumberFormat="1" applyFont="1" applyFill="1" applyBorder="1" applyAlignment="1">
      <alignment horizontal="left" vertical="center" indent="1"/>
    </xf>
    <xf numFmtId="3" fontId="8" fillId="4" borderId="49" xfId="0" applyNumberFormat="1" applyFont="1" applyFill="1" applyBorder="1" applyAlignment="1">
      <alignment horizontal="center" vertical="center"/>
    </xf>
    <xf numFmtId="3" fontId="8" fillId="4" borderId="50" xfId="0" applyNumberFormat="1" applyFont="1" applyFill="1" applyBorder="1" applyAlignment="1">
      <alignment horizontal="center" vertical="center"/>
    </xf>
    <xf numFmtId="168" fontId="31" fillId="4" borderId="49" xfId="0" applyNumberFormat="1" applyFont="1" applyFill="1" applyBorder="1" applyAlignment="1">
      <alignment horizontal="center" vertical="center"/>
    </xf>
    <xf numFmtId="168" fontId="31" fillId="4" borderId="50" xfId="0" applyNumberFormat="1" applyFont="1" applyFill="1" applyBorder="1" applyAlignment="1">
      <alignment horizontal="center" vertical="center"/>
    </xf>
    <xf numFmtId="168" fontId="0" fillId="4" borderId="49" xfId="0" applyNumberFormat="1" applyFont="1" applyFill="1" applyBorder="1" applyAlignment="1">
      <alignment horizontal="center" vertical="center"/>
    </xf>
    <xf numFmtId="168" fontId="0" fillId="4" borderId="50" xfId="0" applyNumberFormat="1" applyFont="1" applyFill="1" applyBorder="1" applyAlignment="1">
      <alignment horizontal="center" vertical="center"/>
    </xf>
    <xf numFmtId="174" fontId="8" fillId="4" borderId="49" xfId="0" applyNumberFormat="1" applyFont="1" applyFill="1" applyBorder="1" applyAlignment="1">
      <alignment horizontal="center" vertical="center"/>
    </xf>
    <xf numFmtId="174" fontId="8" fillId="4" borderId="50" xfId="0" applyNumberFormat="1" applyFont="1" applyFill="1" applyBorder="1" applyAlignment="1">
      <alignment horizontal="center" vertical="center"/>
    </xf>
    <xf numFmtId="9" fontId="0" fillId="4" borderId="49" xfId="0" applyNumberFormat="1" applyFont="1" applyFill="1" applyBorder="1" applyAlignment="1">
      <alignment horizontal="center" vertical="center"/>
    </xf>
    <xf numFmtId="9" fontId="0" fillId="4" borderId="50" xfId="0" applyNumberFormat="1" applyFont="1" applyFill="1" applyBorder="1" applyAlignment="1">
      <alignment horizontal="center" vertical="center"/>
    </xf>
    <xf numFmtId="0" fontId="5" fillId="4" borderId="49" xfId="0" applyNumberFormat="1" applyFont="1" applyFill="1" applyBorder="1" applyAlignment="1">
      <alignment horizontal="center" vertical="center"/>
    </xf>
    <xf numFmtId="0" fontId="5" fillId="4" borderId="50" xfId="0" applyNumberFormat="1" applyFont="1" applyFill="1" applyBorder="1" applyAlignment="1">
      <alignment horizontal="center" vertical="center"/>
    </xf>
    <xf numFmtId="0" fontId="5" fillId="4" borderId="51" xfId="0" applyNumberFormat="1" applyFont="1" applyFill="1" applyBorder="1" applyAlignment="1">
      <alignment horizontal="center" vertical="center"/>
    </xf>
    <xf numFmtId="0" fontId="8" fillId="5" borderId="30" xfId="0" applyNumberFormat="1" applyFont="1" applyFill="1" applyBorder="1" applyAlignment="1">
      <alignment horizontal="left" vertical="center" indent="1"/>
    </xf>
    <xf numFmtId="0" fontId="8" fillId="5" borderId="45" xfId="0" applyNumberFormat="1" applyFont="1" applyFill="1" applyBorder="1" applyAlignment="1">
      <alignment horizontal="left" vertical="center" indent="1"/>
    </xf>
    <xf numFmtId="3" fontId="8" fillId="5" borderId="30" xfId="0" applyNumberFormat="1" applyFont="1" applyFill="1" applyBorder="1" applyAlignment="1">
      <alignment horizontal="center" vertical="center"/>
    </xf>
    <xf numFmtId="3" fontId="8" fillId="5" borderId="45" xfId="0" applyNumberFormat="1" applyFont="1" applyFill="1" applyBorder="1" applyAlignment="1">
      <alignment horizontal="center" vertical="center"/>
    </xf>
    <xf numFmtId="3" fontId="31" fillId="5" borderId="30" xfId="0" applyNumberFormat="1" applyFont="1" applyFill="1" applyBorder="1" applyAlignment="1">
      <alignment horizontal="center" vertical="center"/>
    </xf>
    <xf numFmtId="3" fontId="31" fillId="5" borderId="45" xfId="0" applyNumberFormat="1" applyFont="1" applyFill="1" applyBorder="1" applyAlignment="1">
      <alignment horizontal="center" vertical="center"/>
    </xf>
    <xf numFmtId="168" fontId="0" fillId="5" borderId="30" xfId="0" applyNumberFormat="1" applyFont="1" applyFill="1" applyBorder="1" applyAlignment="1">
      <alignment horizontal="center" vertical="center"/>
    </xf>
    <xf numFmtId="168" fontId="0" fillId="5" borderId="45" xfId="0" applyNumberFormat="1" applyFont="1" applyFill="1" applyBorder="1" applyAlignment="1">
      <alignment horizontal="center" vertical="center"/>
    </xf>
    <xf numFmtId="3" fontId="0" fillId="5" borderId="30" xfId="0" applyNumberFormat="1" applyFont="1" applyFill="1" applyBorder="1" applyAlignment="1">
      <alignment horizontal="center" vertical="center"/>
    </xf>
    <xf numFmtId="3" fontId="0" fillId="5" borderId="45" xfId="0" applyNumberFormat="1" applyFont="1" applyFill="1" applyBorder="1" applyAlignment="1">
      <alignment horizontal="center" vertical="center"/>
    </xf>
    <xf numFmtId="174" fontId="8" fillId="5" borderId="30" xfId="0" applyNumberFormat="1" applyFont="1" applyFill="1" applyBorder="1" applyAlignment="1">
      <alignment horizontal="center" vertical="center"/>
    </xf>
    <xf numFmtId="174" fontId="8" fillId="5" borderId="45" xfId="0" applyNumberFormat="1" applyFont="1" applyFill="1" applyBorder="1" applyAlignment="1">
      <alignment horizontal="center" vertical="center"/>
    </xf>
    <xf numFmtId="9" fontId="0" fillId="5" borderId="30" xfId="0" applyNumberFormat="1" applyFont="1" applyFill="1" applyBorder="1" applyAlignment="1">
      <alignment horizontal="center" vertical="center"/>
    </xf>
    <xf numFmtId="9" fontId="0" fillId="5" borderId="45" xfId="0" applyNumberFormat="1" applyFont="1" applyFill="1" applyBorder="1" applyAlignment="1">
      <alignment horizontal="center" vertical="center"/>
    </xf>
    <xf numFmtId="0" fontId="5" fillId="5" borderId="30" xfId="0" applyNumberFormat="1" applyFont="1" applyFill="1" applyBorder="1" applyAlignment="1">
      <alignment horizontal="center" vertical="center"/>
    </xf>
    <xf numFmtId="0" fontId="5" fillId="5" borderId="45" xfId="0" applyNumberFormat="1" applyFont="1" applyFill="1" applyBorder="1" applyAlignment="1">
      <alignment horizontal="center" vertical="center"/>
    </xf>
    <xf numFmtId="0" fontId="5" fillId="5" borderId="24" xfId="0" applyNumberFormat="1" applyFont="1" applyFill="1" applyBorder="1" applyAlignment="1">
      <alignment horizontal="center" vertical="center"/>
    </xf>
    <xf numFmtId="0" fontId="8" fillId="5" borderId="46" xfId="0" applyNumberFormat="1" applyFont="1" applyFill="1" applyBorder="1" applyAlignment="1">
      <alignment horizontal="left" vertical="center" indent="1"/>
    </xf>
    <xf numFmtId="0" fontId="8" fillId="5" borderId="47" xfId="0" applyNumberFormat="1" applyFont="1" applyFill="1" applyBorder="1" applyAlignment="1">
      <alignment horizontal="left" vertical="center" indent="1"/>
    </xf>
    <xf numFmtId="3" fontId="8" fillId="5" borderId="46" xfId="0" applyNumberFormat="1" applyFont="1" applyFill="1" applyBorder="1" applyAlignment="1">
      <alignment horizontal="center" vertical="center"/>
    </xf>
    <xf numFmtId="3" fontId="8" fillId="5" borderId="47" xfId="0" applyNumberFormat="1" applyFont="1" applyFill="1" applyBorder="1" applyAlignment="1">
      <alignment horizontal="center" vertical="center"/>
    </xf>
    <xf numFmtId="3" fontId="31" fillId="5" borderId="46" xfId="0" applyNumberFormat="1" applyFont="1" applyFill="1" applyBorder="1" applyAlignment="1">
      <alignment horizontal="center" vertical="center"/>
    </xf>
    <xf numFmtId="3" fontId="31" fillId="5" borderId="47" xfId="0" applyNumberFormat="1" applyFont="1" applyFill="1" applyBorder="1" applyAlignment="1">
      <alignment horizontal="center" vertical="center"/>
    </xf>
    <xf numFmtId="168" fontId="0" fillId="5" borderId="46" xfId="0" applyNumberFormat="1" applyFont="1" applyFill="1" applyBorder="1" applyAlignment="1">
      <alignment horizontal="center" vertical="center"/>
    </xf>
    <xf numFmtId="168" fontId="0" fillId="5" borderId="47" xfId="0" applyNumberFormat="1" applyFont="1" applyFill="1" applyBorder="1" applyAlignment="1">
      <alignment horizontal="center" vertical="center"/>
    </xf>
    <xf numFmtId="3" fontId="0" fillId="5" borderId="46" xfId="0" applyNumberFormat="1" applyFont="1" applyFill="1" applyBorder="1" applyAlignment="1">
      <alignment horizontal="center" vertical="center"/>
    </xf>
    <xf numFmtId="3" fontId="0" fillId="5" borderId="47" xfId="0" applyNumberFormat="1" applyFont="1" applyFill="1" applyBorder="1" applyAlignment="1">
      <alignment horizontal="center" vertical="center"/>
    </xf>
    <xf numFmtId="174" fontId="8" fillId="5" borderId="46" xfId="0" applyNumberFormat="1" applyFont="1" applyFill="1" applyBorder="1" applyAlignment="1">
      <alignment horizontal="center" vertical="center"/>
    </xf>
    <xf numFmtId="174" fontId="8" fillId="5" borderId="47" xfId="0" applyNumberFormat="1" applyFont="1" applyFill="1" applyBorder="1" applyAlignment="1">
      <alignment horizontal="center" vertical="center"/>
    </xf>
    <xf numFmtId="9" fontId="0" fillId="5" borderId="46" xfId="0" applyNumberFormat="1" applyFont="1" applyFill="1" applyBorder="1" applyAlignment="1">
      <alignment horizontal="center" vertical="center"/>
    </xf>
    <xf numFmtId="9" fontId="0" fillId="5" borderId="47" xfId="0" applyNumberFormat="1" applyFont="1" applyFill="1" applyBorder="1" applyAlignment="1">
      <alignment horizontal="center" vertical="center"/>
    </xf>
    <xf numFmtId="0" fontId="5" fillId="5" borderId="46" xfId="0" applyNumberFormat="1" applyFont="1" applyFill="1" applyBorder="1" applyAlignment="1">
      <alignment horizontal="center" vertical="center"/>
    </xf>
    <xf numFmtId="0" fontId="5" fillId="5" borderId="47" xfId="0" applyNumberFormat="1" applyFont="1" applyFill="1" applyBorder="1" applyAlignment="1">
      <alignment horizontal="center" vertical="center"/>
    </xf>
    <xf numFmtId="0" fontId="5" fillId="5" borderId="48" xfId="0" applyNumberFormat="1" applyFont="1" applyFill="1" applyBorder="1" applyAlignment="1">
      <alignment horizontal="center" vertical="center"/>
    </xf>
    <xf numFmtId="0" fontId="8" fillId="5" borderId="49" xfId="0" applyNumberFormat="1" applyFont="1" applyFill="1" applyBorder="1" applyAlignment="1">
      <alignment horizontal="left" vertical="center" indent="1"/>
    </xf>
    <xf numFmtId="0" fontId="8" fillId="5" borderId="50" xfId="0" applyNumberFormat="1" applyFont="1" applyFill="1" applyBorder="1" applyAlignment="1">
      <alignment horizontal="left" vertical="center" indent="1"/>
    </xf>
    <xf numFmtId="3" fontId="8" fillId="5" borderId="49" xfId="0" applyNumberFormat="1" applyFont="1" applyFill="1" applyBorder="1" applyAlignment="1">
      <alignment horizontal="center" vertical="center"/>
    </xf>
    <xf numFmtId="3" fontId="8" fillId="5" borderId="50" xfId="0" applyNumberFormat="1" applyFont="1" applyFill="1" applyBorder="1" applyAlignment="1">
      <alignment horizontal="center" vertical="center"/>
    </xf>
    <xf numFmtId="3" fontId="31" fillId="5" borderId="49" xfId="0" applyNumberFormat="1" applyFont="1" applyFill="1" applyBorder="1" applyAlignment="1">
      <alignment horizontal="center" vertical="center"/>
    </xf>
    <xf numFmtId="3" fontId="31" fillId="5" borderId="50" xfId="0" applyNumberFormat="1" applyFont="1" applyFill="1" applyBorder="1" applyAlignment="1">
      <alignment horizontal="center" vertical="center"/>
    </xf>
    <xf numFmtId="168" fontId="0" fillId="5" borderId="49" xfId="0" applyNumberFormat="1" applyFont="1" applyFill="1" applyBorder="1" applyAlignment="1">
      <alignment horizontal="center" vertical="center"/>
    </xf>
    <xf numFmtId="168" fontId="0" fillId="5" borderId="50" xfId="0" applyNumberFormat="1" applyFont="1" applyFill="1" applyBorder="1" applyAlignment="1">
      <alignment horizontal="center" vertical="center"/>
    </xf>
    <xf numFmtId="3" fontId="0" fillId="5" borderId="49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174" fontId="8" fillId="5" borderId="49" xfId="0" applyNumberFormat="1" applyFont="1" applyFill="1" applyBorder="1" applyAlignment="1">
      <alignment horizontal="center" vertical="center"/>
    </xf>
    <xf numFmtId="174" fontId="8" fillId="5" borderId="50" xfId="0" applyNumberFormat="1" applyFont="1" applyFill="1" applyBorder="1" applyAlignment="1">
      <alignment horizontal="center" vertical="center"/>
    </xf>
    <xf numFmtId="9" fontId="0" fillId="5" borderId="49" xfId="0" applyNumberFormat="1" applyFont="1" applyFill="1" applyBorder="1" applyAlignment="1">
      <alignment horizontal="center" vertical="center"/>
    </xf>
    <xf numFmtId="9" fontId="0" fillId="5" borderId="50" xfId="0" applyNumberFormat="1" applyFont="1" applyFill="1" applyBorder="1" applyAlignment="1">
      <alignment horizontal="center" vertical="center"/>
    </xf>
    <xf numFmtId="0" fontId="5" fillId="5" borderId="49" xfId="0" applyNumberFormat="1" applyFont="1" applyFill="1" applyBorder="1" applyAlignment="1">
      <alignment horizontal="center" vertical="center"/>
    </xf>
    <xf numFmtId="0" fontId="5" fillId="5" borderId="50" xfId="0" applyNumberFormat="1" applyFont="1" applyFill="1" applyBorder="1" applyAlignment="1">
      <alignment horizontal="center" vertical="center"/>
    </xf>
    <xf numFmtId="0" fontId="5" fillId="5" borderId="51" xfId="0" applyNumberFormat="1" applyFont="1" applyFill="1" applyBorder="1" applyAlignment="1">
      <alignment horizontal="center" vertical="center"/>
    </xf>
    <xf numFmtId="166" fontId="31" fillId="3" borderId="30" xfId="0" applyNumberFormat="1" applyFont="1" applyFill="1" applyBorder="1" applyAlignment="1">
      <alignment horizontal="center" vertical="center"/>
    </xf>
    <xf numFmtId="166" fontId="31" fillId="3" borderId="45" xfId="0" applyNumberFormat="1" applyFont="1" applyFill="1" applyBorder="1" applyAlignment="1">
      <alignment horizontal="center" vertical="center"/>
    </xf>
    <xf numFmtId="166" fontId="0" fillId="3" borderId="30" xfId="0" applyNumberFormat="1" applyFont="1" applyFill="1" applyBorder="1" applyAlignment="1">
      <alignment horizontal="center" vertical="center"/>
    </xf>
    <xf numFmtId="166" fontId="0" fillId="3" borderId="45" xfId="0" applyNumberFormat="1" applyFont="1" applyFill="1" applyBorder="1" applyAlignment="1">
      <alignment horizontal="center" vertical="center"/>
    </xf>
    <xf numFmtId="9" fontId="8" fillId="3" borderId="49" xfId="0" applyNumberFormat="1" applyFont="1" applyFill="1" applyBorder="1" applyAlignment="1">
      <alignment horizontal="center" vertical="center"/>
    </xf>
    <xf numFmtId="9" fontId="8" fillId="3" borderId="50" xfId="0" applyNumberFormat="1" applyFont="1" applyFill="1" applyBorder="1" applyAlignment="1">
      <alignment horizontal="center" vertical="center"/>
    </xf>
    <xf numFmtId="167" fontId="31" fillId="3" borderId="49" xfId="0" applyNumberFormat="1" applyFont="1" applyFill="1" applyBorder="1" applyAlignment="1">
      <alignment horizontal="center" vertical="center"/>
    </xf>
    <xf numFmtId="167" fontId="31" fillId="3" borderId="50" xfId="0" applyNumberFormat="1" applyFont="1" applyFill="1" applyBorder="1" applyAlignment="1">
      <alignment horizontal="center" vertical="center"/>
    </xf>
    <xf numFmtId="167" fontId="0" fillId="3" borderId="49" xfId="0" applyNumberFormat="1" applyFont="1" applyFill="1" applyBorder="1" applyAlignment="1">
      <alignment horizontal="center" vertical="center"/>
    </xf>
    <xf numFmtId="167" fontId="0" fillId="3" borderId="50" xfId="0" applyNumberFormat="1" applyFont="1" applyFill="1" applyBorder="1" applyAlignment="1">
      <alignment horizontal="center" vertical="center"/>
    </xf>
    <xf numFmtId="0" fontId="8" fillId="6" borderId="30" xfId="0" applyNumberFormat="1" applyFont="1" applyFill="1" applyBorder="1" applyAlignment="1">
      <alignment horizontal="left" vertical="center" indent="1"/>
    </xf>
    <xf numFmtId="0" fontId="8" fillId="6" borderId="45" xfId="0" applyNumberFormat="1" applyFont="1" applyFill="1" applyBorder="1" applyAlignment="1">
      <alignment horizontal="left" vertical="center" indent="1"/>
    </xf>
    <xf numFmtId="3" fontId="8" fillId="6" borderId="30" xfId="0" applyNumberFormat="1" applyFont="1" applyFill="1" applyBorder="1" applyAlignment="1">
      <alignment horizontal="center" vertical="center"/>
    </xf>
    <xf numFmtId="3" fontId="8" fillId="6" borderId="45" xfId="0" applyNumberFormat="1" applyFont="1" applyFill="1" applyBorder="1" applyAlignment="1">
      <alignment horizontal="center" vertical="center"/>
    </xf>
    <xf numFmtId="3" fontId="31" fillId="6" borderId="30" xfId="0" applyNumberFormat="1" applyFont="1" applyFill="1" applyBorder="1" applyAlignment="1">
      <alignment horizontal="center" vertical="center"/>
    </xf>
    <xf numFmtId="3" fontId="31" fillId="6" borderId="45" xfId="0" applyNumberFormat="1" applyFont="1" applyFill="1" applyBorder="1" applyAlignment="1">
      <alignment horizontal="center" vertical="center"/>
    </xf>
    <xf numFmtId="168" fontId="0" fillId="6" borderId="30" xfId="0" applyNumberFormat="1" applyFont="1" applyFill="1" applyBorder="1" applyAlignment="1">
      <alignment horizontal="center" vertical="center"/>
    </xf>
    <xf numFmtId="168" fontId="0" fillId="6" borderId="45" xfId="0" applyNumberFormat="1" applyFont="1" applyFill="1" applyBorder="1" applyAlignment="1">
      <alignment horizontal="center" vertical="center"/>
    </xf>
    <xf numFmtId="3" fontId="0" fillId="6" borderId="30" xfId="0" applyNumberFormat="1" applyFont="1" applyFill="1" applyBorder="1" applyAlignment="1">
      <alignment horizontal="center" vertical="center"/>
    </xf>
    <xf numFmtId="3" fontId="0" fillId="6" borderId="45" xfId="0" applyNumberFormat="1" applyFont="1" applyFill="1" applyBorder="1" applyAlignment="1">
      <alignment horizontal="center" vertical="center"/>
    </xf>
    <xf numFmtId="174" fontId="8" fillId="6" borderId="30" xfId="0" applyNumberFormat="1" applyFont="1" applyFill="1" applyBorder="1" applyAlignment="1">
      <alignment horizontal="center" vertical="center"/>
    </xf>
    <xf numFmtId="174" fontId="8" fillId="6" borderId="45" xfId="0" applyNumberFormat="1" applyFont="1" applyFill="1" applyBorder="1" applyAlignment="1">
      <alignment horizontal="center" vertical="center"/>
    </xf>
    <xf numFmtId="9" fontId="0" fillId="6" borderId="30" xfId="0" applyNumberFormat="1" applyFont="1" applyFill="1" applyBorder="1" applyAlignment="1">
      <alignment horizontal="center" vertical="center"/>
    </xf>
    <xf numFmtId="9" fontId="0" fillId="6" borderId="45" xfId="0" applyNumberFormat="1" applyFont="1" applyFill="1" applyBorder="1" applyAlignment="1">
      <alignment horizontal="center" vertical="center"/>
    </xf>
    <xf numFmtId="0" fontId="5" fillId="6" borderId="30" xfId="0" applyNumberFormat="1" applyFont="1" applyFill="1" applyBorder="1" applyAlignment="1">
      <alignment horizontal="center" vertical="center"/>
    </xf>
    <xf numFmtId="0" fontId="5" fillId="6" borderId="45" xfId="0" applyNumberFormat="1" applyFont="1" applyFill="1" applyBorder="1" applyAlignment="1">
      <alignment horizontal="center" vertical="center"/>
    </xf>
    <xf numFmtId="0" fontId="5" fillId="6" borderId="24" xfId="0" applyNumberFormat="1" applyFont="1" applyFill="1" applyBorder="1" applyAlignment="1">
      <alignment horizontal="center" vertical="center"/>
    </xf>
    <xf numFmtId="0" fontId="8" fillId="6" borderId="46" xfId="0" applyNumberFormat="1" applyFont="1" applyFill="1" applyBorder="1" applyAlignment="1">
      <alignment horizontal="left" vertical="center" indent="1"/>
    </xf>
    <xf numFmtId="0" fontId="8" fillId="6" borderId="47" xfId="0" applyNumberFormat="1" applyFont="1" applyFill="1" applyBorder="1" applyAlignment="1">
      <alignment horizontal="left" vertical="center" indent="1"/>
    </xf>
    <xf numFmtId="3" fontId="8" fillId="6" borderId="46" xfId="0" applyNumberFormat="1" applyFont="1" applyFill="1" applyBorder="1" applyAlignment="1">
      <alignment horizontal="center" vertical="center"/>
    </xf>
    <xf numFmtId="3" fontId="8" fillId="6" borderId="47" xfId="0" applyNumberFormat="1" applyFont="1" applyFill="1" applyBorder="1" applyAlignment="1">
      <alignment horizontal="center" vertical="center"/>
    </xf>
    <xf numFmtId="3" fontId="31" fillId="6" borderId="46" xfId="0" applyNumberFormat="1" applyFont="1" applyFill="1" applyBorder="1" applyAlignment="1">
      <alignment horizontal="center" vertical="center"/>
    </xf>
    <xf numFmtId="3" fontId="31" fillId="6" borderId="47" xfId="0" applyNumberFormat="1" applyFont="1" applyFill="1" applyBorder="1" applyAlignment="1">
      <alignment horizontal="center" vertical="center"/>
    </xf>
    <xf numFmtId="168" fontId="0" fillId="6" borderId="46" xfId="0" applyNumberFormat="1" applyFont="1" applyFill="1" applyBorder="1" applyAlignment="1">
      <alignment horizontal="center" vertical="center"/>
    </xf>
    <xf numFmtId="168" fontId="0" fillId="6" borderId="47" xfId="0" applyNumberFormat="1" applyFont="1" applyFill="1" applyBorder="1" applyAlignment="1">
      <alignment horizontal="center" vertical="center"/>
    </xf>
    <xf numFmtId="3" fontId="0" fillId="6" borderId="46" xfId="0" applyNumberFormat="1" applyFont="1" applyFill="1" applyBorder="1" applyAlignment="1">
      <alignment horizontal="center" vertical="center"/>
    </xf>
    <xf numFmtId="3" fontId="0" fillId="6" borderId="47" xfId="0" applyNumberFormat="1" applyFont="1" applyFill="1" applyBorder="1" applyAlignment="1">
      <alignment horizontal="center" vertical="center"/>
    </xf>
    <xf numFmtId="174" fontId="8" fillId="6" borderId="46" xfId="0" applyNumberFormat="1" applyFont="1" applyFill="1" applyBorder="1" applyAlignment="1">
      <alignment horizontal="center" vertical="center"/>
    </xf>
    <xf numFmtId="174" fontId="8" fillId="6" borderId="47" xfId="0" applyNumberFormat="1" applyFont="1" applyFill="1" applyBorder="1" applyAlignment="1">
      <alignment horizontal="center" vertical="center"/>
    </xf>
    <xf numFmtId="9" fontId="0" fillId="6" borderId="46" xfId="0" applyNumberFormat="1" applyFont="1" applyFill="1" applyBorder="1" applyAlignment="1">
      <alignment horizontal="center" vertical="center"/>
    </xf>
    <xf numFmtId="9" fontId="0" fillId="6" borderId="47" xfId="0" applyNumberFormat="1" applyFont="1" applyFill="1" applyBorder="1" applyAlignment="1">
      <alignment horizontal="center" vertical="center"/>
    </xf>
    <xf numFmtId="0" fontId="5" fillId="6" borderId="46" xfId="0" applyNumberFormat="1" applyFont="1" applyFill="1" applyBorder="1" applyAlignment="1">
      <alignment horizontal="center" vertical="center"/>
    </xf>
    <xf numFmtId="0" fontId="5" fillId="6" borderId="47" xfId="0" applyNumberFormat="1" applyFont="1" applyFill="1" applyBorder="1" applyAlignment="1">
      <alignment horizontal="center" vertical="center"/>
    </xf>
    <xf numFmtId="0" fontId="5" fillId="6" borderId="48" xfId="0" applyNumberFormat="1" applyFont="1" applyFill="1" applyBorder="1" applyAlignment="1">
      <alignment horizontal="center" vertical="center"/>
    </xf>
    <xf numFmtId="0" fontId="8" fillId="6" borderId="49" xfId="0" applyNumberFormat="1" applyFont="1" applyFill="1" applyBorder="1" applyAlignment="1">
      <alignment horizontal="left" vertical="center" indent="1"/>
    </xf>
    <xf numFmtId="0" fontId="8" fillId="6" borderId="50" xfId="0" applyNumberFormat="1" applyFont="1" applyFill="1" applyBorder="1" applyAlignment="1">
      <alignment horizontal="left" vertical="center" indent="1"/>
    </xf>
    <xf numFmtId="3" fontId="8" fillId="6" borderId="49" xfId="0" applyNumberFormat="1" applyFont="1" applyFill="1" applyBorder="1" applyAlignment="1">
      <alignment horizontal="center" vertical="center"/>
    </xf>
    <xf numFmtId="3" fontId="8" fillId="6" borderId="50" xfId="0" applyNumberFormat="1" applyFont="1" applyFill="1" applyBorder="1" applyAlignment="1">
      <alignment horizontal="center" vertical="center"/>
    </xf>
    <xf numFmtId="3" fontId="31" fillId="6" borderId="49" xfId="0" applyNumberFormat="1" applyFont="1" applyFill="1" applyBorder="1" applyAlignment="1">
      <alignment horizontal="center" vertical="center"/>
    </xf>
    <xf numFmtId="3" fontId="31" fillId="6" borderId="50" xfId="0" applyNumberFormat="1" applyFont="1" applyFill="1" applyBorder="1" applyAlignment="1">
      <alignment horizontal="center" vertical="center"/>
    </xf>
    <xf numFmtId="168" fontId="0" fillId="6" borderId="49" xfId="0" applyNumberFormat="1" applyFont="1" applyFill="1" applyBorder="1" applyAlignment="1">
      <alignment horizontal="center" vertical="center"/>
    </xf>
    <xf numFmtId="168" fontId="0" fillId="6" borderId="50" xfId="0" applyNumberFormat="1" applyFont="1" applyFill="1" applyBorder="1" applyAlignment="1">
      <alignment horizontal="center" vertical="center"/>
    </xf>
    <xf numFmtId="3" fontId="0" fillId="6" borderId="49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174" fontId="8" fillId="6" borderId="49" xfId="0" applyNumberFormat="1" applyFont="1" applyFill="1" applyBorder="1" applyAlignment="1">
      <alignment horizontal="center" vertical="center"/>
    </xf>
    <xf numFmtId="174" fontId="8" fillId="6" borderId="50" xfId="0" applyNumberFormat="1" applyFont="1" applyFill="1" applyBorder="1" applyAlignment="1">
      <alignment horizontal="center" vertical="center"/>
    </xf>
    <xf numFmtId="9" fontId="0" fillId="6" borderId="49" xfId="0" applyNumberFormat="1" applyFont="1" applyFill="1" applyBorder="1" applyAlignment="1">
      <alignment horizontal="center" vertical="center"/>
    </xf>
    <xf numFmtId="9" fontId="0" fillId="6" borderId="50" xfId="0" applyNumberFormat="1" applyFont="1" applyFill="1" applyBorder="1" applyAlignment="1">
      <alignment horizontal="center" vertical="center"/>
    </xf>
    <xf numFmtId="0" fontId="5" fillId="6" borderId="49" xfId="0" applyNumberFormat="1" applyFont="1" applyFill="1" applyBorder="1" applyAlignment="1">
      <alignment horizontal="center" vertical="center"/>
    </xf>
    <xf numFmtId="0" fontId="5" fillId="6" borderId="50" xfId="0" applyNumberFormat="1" applyFont="1" applyFill="1" applyBorder="1" applyAlignment="1">
      <alignment horizontal="center" vertical="center"/>
    </xf>
    <xf numFmtId="0" fontId="5" fillId="6" borderId="51" xfId="0" applyNumberFormat="1" applyFont="1" applyFill="1" applyBorder="1" applyAlignment="1">
      <alignment horizontal="center" vertical="center"/>
    </xf>
    <xf numFmtId="0" fontId="8" fillId="3" borderId="23" xfId="0" applyNumberFormat="1" applyFont="1" applyFill="1" applyBorder="1" applyAlignment="1">
      <alignment horizontal="center" vertical="center"/>
    </xf>
    <xf numFmtId="0" fontId="8" fillId="3" borderId="52" xfId="0" applyNumberFormat="1" applyFont="1" applyFill="1" applyBorder="1" applyAlignment="1">
      <alignment horizontal="center" vertical="center"/>
    </xf>
    <xf numFmtId="0" fontId="8" fillId="3" borderId="25" xfId="0" applyNumberFormat="1" applyFont="1" applyFill="1" applyBorder="1" applyAlignment="1">
      <alignment horizontal="center" vertical="center"/>
    </xf>
    <xf numFmtId="0" fontId="8" fillId="4" borderId="23" xfId="0" applyNumberFormat="1" applyFont="1" applyFill="1" applyBorder="1" applyAlignment="1">
      <alignment horizontal="center" vertical="center"/>
    </xf>
    <xf numFmtId="0" fontId="8" fillId="4" borderId="52" xfId="0" applyNumberFormat="1" applyFont="1" applyFill="1" applyBorder="1" applyAlignment="1">
      <alignment horizontal="center" vertical="center"/>
    </xf>
    <xf numFmtId="0" fontId="8" fillId="4" borderId="25" xfId="0" applyNumberFormat="1" applyFont="1" applyFill="1" applyBorder="1" applyAlignment="1">
      <alignment horizontal="center" vertical="center"/>
    </xf>
    <xf numFmtId="0" fontId="8" fillId="5" borderId="23" xfId="0" applyNumberFormat="1" applyFont="1" applyFill="1" applyBorder="1" applyAlignment="1">
      <alignment horizontal="center" vertical="center"/>
    </xf>
    <xf numFmtId="0" fontId="8" fillId="5" borderId="52" xfId="0" applyNumberFormat="1" applyFont="1" applyFill="1" applyBorder="1" applyAlignment="1">
      <alignment horizontal="center" vertical="center"/>
    </xf>
    <xf numFmtId="0" fontId="8" fillId="5" borderId="25" xfId="0" applyNumberFormat="1" applyFont="1" applyFill="1" applyBorder="1" applyAlignment="1">
      <alignment horizontal="center" vertical="center"/>
    </xf>
    <xf numFmtId="0" fontId="8" fillId="6" borderId="23" xfId="0" applyNumberFormat="1" applyFont="1" applyFill="1" applyBorder="1" applyAlignment="1">
      <alignment horizontal="center" vertical="center"/>
    </xf>
    <xf numFmtId="0" fontId="8" fillId="6" borderId="52" xfId="0" applyNumberFormat="1" applyFont="1" applyFill="1" applyBorder="1" applyAlignment="1">
      <alignment horizontal="center" vertical="center"/>
    </xf>
    <xf numFmtId="0" fontId="8" fillId="6" borderId="25" xfId="0" applyNumberFormat="1" applyFont="1" applyFill="1" applyBorder="1" applyAlignment="1">
      <alignment horizontal="center" vertical="center"/>
    </xf>
    <xf numFmtId="0" fontId="5" fillId="2" borderId="7" xfId="0" applyNumberFormat="1" applyFont="1" applyFill="1" applyBorder="1" applyAlignment="1">
      <alignment horizontal="center" vertical="center" wrapText="1"/>
    </xf>
    <xf numFmtId="0" fontId="5" fillId="2" borderId="9" xfId="0" applyNumberFormat="1" applyFont="1" applyFill="1" applyBorder="1" applyAlignment="1">
      <alignment horizontal="center" vertical="center" wrapText="1"/>
    </xf>
    <xf numFmtId="0" fontId="5" fillId="2" borderId="8" xfId="0" applyNumberFormat="1" applyFont="1" applyFill="1" applyBorder="1" applyAlignment="1">
      <alignment horizontal="center" vertical="center" wrapText="1"/>
    </xf>
    <xf numFmtId="0" fontId="5" fillId="16" borderId="53" xfId="0" applyNumberFormat="1" applyFont="1" applyFill="1" applyBorder="1" applyAlignment="1">
      <alignment horizontal="center" vertical="center" wrapText="1"/>
    </xf>
    <xf numFmtId="0" fontId="5" fillId="16" borderId="7" xfId="0" applyNumberFormat="1" applyFont="1" applyFill="1" applyBorder="1" applyAlignment="1">
      <alignment horizontal="center" vertical="center" wrapText="1"/>
    </xf>
    <xf numFmtId="0" fontId="5" fillId="16" borderId="9" xfId="0" applyNumberFormat="1" applyFont="1" applyFill="1" applyBorder="1" applyAlignment="1">
      <alignment horizontal="center" vertical="center" wrapText="1"/>
    </xf>
    <xf numFmtId="0" fontId="5" fillId="15" borderId="53" xfId="0" applyNumberFormat="1" applyFont="1" applyFill="1" applyBorder="1" applyAlignment="1">
      <alignment horizontal="center" vertical="center" wrapText="1"/>
    </xf>
    <xf numFmtId="3" fontId="8" fillId="3" borderId="54" xfId="0" applyNumberFormat="1" applyFont="1" applyFill="1" applyBorder="1" applyAlignment="1">
      <alignment horizontal="center" vertical="center"/>
    </xf>
    <xf numFmtId="3" fontId="8" fillId="3" borderId="55" xfId="0" applyNumberFormat="1" applyFont="1" applyFill="1" applyBorder="1" applyAlignment="1">
      <alignment horizontal="center" vertical="center"/>
    </xf>
    <xf numFmtId="168" fontId="8" fillId="3" borderId="46" xfId="0" applyNumberFormat="1" applyFont="1" applyFill="1" applyBorder="1" applyAlignment="1">
      <alignment horizontal="center" vertical="center"/>
    </xf>
    <xf numFmtId="168" fontId="8" fillId="3" borderId="55" xfId="0" applyNumberFormat="1" applyFont="1" applyFill="1" applyBorder="1" applyAlignment="1">
      <alignment horizontal="center" vertical="center"/>
    </xf>
    <xf numFmtId="3" fontId="8" fillId="3" borderId="56" xfId="0" applyNumberFormat="1" applyFont="1" applyFill="1" applyBorder="1" applyAlignment="1">
      <alignment horizontal="center" vertical="center"/>
    </xf>
    <xf numFmtId="3" fontId="8" fillId="4" borderId="54" xfId="0" applyNumberFormat="1" applyFont="1" applyFill="1" applyBorder="1" applyAlignment="1">
      <alignment horizontal="center" vertical="center"/>
    </xf>
    <xf numFmtId="3" fontId="8" fillId="4" borderId="55" xfId="0" applyNumberFormat="1" applyFont="1" applyFill="1" applyBorder="1" applyAlignment="1">
      <alignment horizontal="center" vertical="center"/>
    </xf>
    <xf numFmtId="168" fontId="8" fillId="4" borderId="49" xfId="0" applyNumberFormat="1" applyFont="1" applyFill="1" applyBorder="1" applyAlignment="1">
      <alignment horizontal="center" vertical="center"/>
    </xf>
    <xf numFmtId="168" fontId="8" fillId="4" borderId="56" xfId="0" applyNumberFormat="1" applyFont="1" applyFill="1" applyBorder="1" applyAlignment="1">
      <alignment horizontal="center" vertical="center"/>
    </xf>
    <xf numFmtId="3" fontId="8" fillId="5" borderId="54" xfId="0" applyNumberFormat="1" applyFont="1" applyFill="1" applyBorder="1" applyAlignment="1">
      <alignment horizontal="center" vertical="center"/>
    </xf>
    <xf numFmtId="3" fontId="8" fillId="5" borderId="55" xfId="0" applyNumberFormat="1" applyFont="1" applyFill="1" applyBorder="1" applyAlignment="1">
      <alignment horizontal="center" vertical="center"/>
    </xf>
    <xf numFmtId="3" fontId="8" fillId="5" borderId="56" xfId="0" applyNumberFormat="1" applyFont="1" applyFill="1" applyBorder="1" applyAlignment="1">
      <alignment horizontal="center" vertical="center"/>
    </xf>
    <xf numFmtId="9" fontId="8" fillId="3" borderId="56" xfId="0" applyNumberFormat="1" applyFont="1" applyFill="1" applyBorder="1" applyAlignment="1">
      <alignment horizontal="center" vertical="center"/>
    </xf>
    <xf numFmtId="3" fontId="8" fillId="6" borderId="54" xfId="0" applyNumberFormat="1" applyFont="1" applyFill="1" applyBorder="1" applyAlignment="1">
      <alignment horizontal="center" vertical="center"/>
    </xf>
    <xf numFmtId="3" fontId="8" fillId="6" borderId="55" xfId="0" applyNumberFormat="1" applyFont="1" applyFill="1" applyBorder="1" applyAlignment="1">
      <alignment horizontal="center" vertical="center"/>
    </xf>
    <xf numFmtId="3" fontId="8" fillId="6" borderId="5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7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calculos!$AR$12</c:f>
          <c:strCache>
            <c:ptCount val="1"/>
            <c:pt idx="0">
              <c:v>MOVIMENTAÇÃO FROTA/DIA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Recebidos (IN)</c:v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v>Expedidos (OUT)</c:v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calculos!$L$12:$L$42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calculos!$AR$13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Ocupada (p.p)</c:v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calculos!$Y$12:$Y$42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v>Contratada (p.p)</c:v>
          </c:tx>
          <c:spPr>
            <a:ln w="28575" cap="rnd">
              <a:solidFill>
                <a:srgbClr val="404040"/>
              </a:solidFill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calculos!$X$12:$X$42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calculos!$AR$14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calculos!$AN$335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calculos!$AY$12:$AY$42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calculos!$AO$335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calculos!$AR$15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calculos!$AV$335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calculos!$AW$335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calculos!$BB$12:$BB$42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calculos!$AR$16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calculos!$AN$335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calculos!$A$92:$A$96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calculos!$AY$92:$AY$96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calculos!$AO$335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calculos!$A$92:$A$96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calculos!$AZ$92:$AZ$96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calculos!$AR$17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calculos!$AV$335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calculos!$A$92:$A$96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calculos!$BA$92:$BA$96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calculos!$AW$335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calculos!$A$92:$A$96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calculos!$BB$92:$BB$96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" displayName="tbBase" ref="A2:AH3" totalsRowShown="0">
  <autoFilter ref="A2:AH3"/>
  <tableColumns count="34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IN Linhas NF"/>
    <tableColumn id="7" name="IN Caixas Movimentadas"/>
    <tableColumn id="8" name="IN Peças Movimentadas"/>
    <tableColumn id="9" name="IN Itens Recebidos CX Mista"/>
    <tableColumn id="10" name="IN Caixas Fechadas"/>
    <tableColumn id="11" name="IN Caixas Mistas Recebidas"/>
    <tableColumn id="12" name="OUT Veículos Expedidos"/>
    <tableColumn id="13" name="OUT Pedidos Expedidos"/>
    <tableColumn id="14" name="OUT Pedidos Faturados"/>
    <tableColumn id="15" name="OUT Itens Expedidos"/>
    <tableColumn id="16" name="OUT Peças Movimentadas"/>
    <tableColumn id="17" name="OUT Linhas NF"/>
    <tableColumn id="18" name="OUT Caixas Expedidas"/>
    <tableColumn id="19" name="OUT Pallets Movimentados"/>
    <tableColumn id="20" name="OUT Toneladas Movimentadas"/>
    <tableColumn id="21" name="NC Incidentes"/>
    <tableColumn id="22" name="NC No show"/>
    <tableColumn id="23" name="NC Backlog"/>
    <tableColumn id="24" name="Posições Disponíveis"/>
    <tableColumn id="25" name="Posições Ocupadas"/>
    <tableColumn id="26" name="Efetivo Op."/>
    <tableColumn id="27" name="Falta"/>
    <tableColumn id="28" name="Folga"/>
    <tableColumn id="29" name="Férias"/>
    <tableColumn id="30" name="Desligamento"/>
    <tableColumn id="31" name="Desvios Comportamentais"/>
    <tableColumn id="32" name="Acidentes CAF"/>
    <tableColumn id="33" name="Acidentes SAF"/>
    <tableColumn id="34" name="Modalidade"/>
  </tableColumns>
  <tableStyleInfo name="TableStyleLight1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80"/>
      <c r="B1" s="80"/>
      <c r="C1" s="80"/>
      <c r="D1" s="80"/>
      <c r="E1" s="80"/>
      <c r="F1" s="80"/>
      <c r="G1" s="82" t="str">
        <f>"DASHBOARD · INDICADORES OPERACIONAIS"&amp;IF(calculos!$E$2="",""," · "&amp;calculos!$E$2)</f>
        <v>DASHBOARD · INDICADORES OPERACIONAIS · TPC</v>
      </c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</row>
    <row r="3" ht="26" customHeight="1">
      <c r="B3" s="83" t="inlineStr">
        <is>
          <t xml:space="preserve">CLIENTE  ▸</t>
        </is>
      </c>
      <c r="C3" s="83"/>
      <c r="D3" s="84" t="inlineStr">
        <is>
          <t xml:space="preserve">Todos</t>
        </is>
      </c>
      <c r="E3" s="85"/>
      <c r="F3" s="85"/>
      <c r="G3" s="85"/>
      <c r="H3" s="85"/>
      <c r="I3" s="86"/>
      <c r="L3" s="83" t="inlineStr">
        <is>
          <t xml:space="preserve">PERÍODO  ▸</t>
        </is>
      </c>
      <c r="M3" s="83"/>
      <c r="N3" s="83"/>
      <c r="O3" s="83"/>
      <c r="Q3" s="87">
        <v>46296</v>
      </c>
      <c r="R3" s="88"/>
      <c r="S3" s="89"/>
      <c r="T3" s="90" t="inlineStr">
        <is>
          <t xml:space="preserve">até</t>
        </is>
      </c>
      <c r="V3" s="87">
        <v>46326</v>
      </c>
      <c r="W3" s="88"/>
      <c r="X3" s="89"/>
    </row>
    <row r="4" ht="16" customHeight="1">
      <c r="B4" s="91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</row>
    <row r="6" ht="46" customHeight="1">
      <c r="B6" s="98"/>
      <c r="C6" s="99" t="inlineStr">
        <is>
          <t xml:space="preserve">RECEBIMENTO (IN)</t>
        </is>
      </c>
      <c r="D6" s="99"/>
      <c r="E6" s="99"/>
      <c r="G6" s="104"/>
      <c r="H6" s="105" t="inlineStr">
        <is>
          <t xml:space="preserve">EXPEDIÇÃO (OUT)</t>
        </is>
      </c>
      <c r="I6" s="105"/>
      <c r="J6" s="105"/>
      <c r="L6" s="106"/>
      <c r="M6" s="107" t="inlineStr">
        <is>
          <t xml:space="preserve">NC OPERACIONAIS</t>
        </is>
      </c>
      <c r="N6" s="107"/>
      <c r="O6" s="107"/>
      <c r="Q6" s="98"/>
      <c r="R6" s="99" t="inlineStr">
        <is>
          <t xml:space="preserve">ÍNDICE DE OCUPAÇÃO (P.P)</t>
        </is>
      </c>
      <c r="S6" s="99"/>
      <c r="T6" s="99"/>
      <c r="V6" s="116"/>
      <c r="W6" s="117" t="inlineStr">
        <is>
          <t xml:space="preserve">GENTE</t>
        </is>
      </c>
      <c r="X6" s="117"/>
      <c r="Y6" s="117"/>
    </row>
    <row r="7" ht="20" customHeight="1">
      <c r="B7" s="100">
        <f>IF(calculos!$AX$335="Não se aplica","—",calculos!$B$294)</f>
        <v>0</v>
      </c>
      <c r="C7" s="100"/>
      <c r="D7" s="100"/>
      <c r="E7" s="100"/>
      <c r="G7" s="100">
        <f>IF(calculos!$AY$335="Não se aplica","—",calculos!$B$297)</f>
        <v>0</v>
      </c>
      <c r="H7" s="100"/>
      <c r="I7" s="100"/>
      <c r="J7" s="100"/>
      <c r="L7" s="100">
        <f>calculos!$B$300</f>
        <v>0</v>
      </c>
      <c r="M7" s="100"/>
      <c r="N7" s="100"/>
      <c r="O7" s="100"/>
      <c r="Q7" s="108" t="str">
        <f>IF(calculos!$AZ$335="Completo","CONTRATADA",IF(calculos!$AZ$335="","CONTRATADA",""))</f>
        <v>CONTRATADA</v>
      </c>
      <c r="R7" s="108"/>
      <c r="S7" s="112" t="str">
        <f>IF(OR(calculos!$AZ$335="Completo",calculos!$AZ$335=""),calculos!$B$304,"")</f>
        <v/>
      </c>
      <c r="T7" s="112"/>
      <c r="V7" s="108" t="inlineStr">
        <is>
          <t xml:space="preserve">EFETIVO</t>
        </is>
      </c>
      <c r="W7" s="108"/>
      <c r="X7" s="109" t="str">
        <f>calculos!$B$307</f>
        <v/>
      </c>
      <c r="Y7" s="109"/>
    </row>
    <row r="8" ht="20" customHeight="1">
      <c r="B8" s="100"/>
      <c r="C8" s="100"/>
      <c r="D8" s="100"/>
      <c r="E8" s="100"/>
      <c r="G8" s="100"/>
      <c r="H8" s="100"/>
      <c r="I8" s="100"/>
      <c r="J8" s="100"/>
      <c r="L8" s="100"/>
      <c r="M8" s="100"/>
      <c r="N8" s="100"/>
      <c r="O8" s="100"/>
      <c r="Q8" s="108" t="str">
        <f>IF(calculos!$AZ$335="Não se aplica","","OCUPADA")</f>
        <v>OCUPADA</v>
      </c>
      <c r="R8" s="108"/>
      <c r="S8" s="112" t="str">
        <f>IF(calculos!$AZ$335="Não se aplica","",calculos!$B$303)</f>
        <v/>
      </c>
      <c r="T8" s="112"/>
      <c r="V8" s="108" t="inlineStr">
        <is>
          <t xml:space="preserve">ABSENTEÍSMO (H/H)</t>
        </is>
      </c>
      <c r="W8" s="108"/>
      <c r="X8" s="113" t="str">
        <f>calculos!$B$310</f>
        <v/>
      </c>
      <c r="Y8" s="113"/>
    </row>
    <row r="9" ht="20" customHeight="1">
      <c r="B9" s="100"/>
      <c r="C9" s="100"/>
      <c r="D9" s="100"/>
      <c r="E9" s="100"/>
      <c r="G9" s="100"/>
      <c r="H9" s="100"/>
      <c r="I9" s="100"/>
      <c r="J9" s="100"/>
      <c r="L9" s="100"/>
      <c r="M9" s="100"/>
      <c r="N9" s="100"/>
      <c r="O9" s="100"/>
      <c r="Q9" s="108" t="str">
        <f>IF(calculos!$AZ$335="Completo","TX OCUPAÇÃO",IF(calculos!$AZ$335="","TX OCUPAÇÃO",""))</f>
        <v>TX OCUPAÇÃO</v>
      </c>
      <c r="R9" s="108"/>
      <c r="S9" s="113" t="str">
        <f>IF(OR(calculos!$AZ$335="Completo",calculos!$AZ$335=""),calculos!$B$305,"")</f>
        <v/>
      </c>
      <c r="T9" s="113"/>
      <c r="V9" s="108" t="inlineStr">
        <is>
          <t xml:space="preserve">FÉRIAS</t>
        </is>
      </c>
      <c r="W9" s="108"/>
      <c r="X9" s="109">
        <f>calculos!$B$312</f>
        <v>0</v>
      </c>
      <c r="Y9" s="109"/>
    </row>
    <row r="10" ht="20" customHeight="1">
      <c r="B10" s="101" t="str">
        <f>IF(calculos!$AX$335="Não se aplica","não se aplica a este cliente","veículos recebidos")</f>
        <v>veículos recebidos</v>
      </c>
      <c r="C10" s="101"/>
      <c r="D10" s="101"/>
      <c r="E10" s="101"/>
      <c r="G10" s="101" t="str">
        <f>IF(calculos!$AY$335="Não se aplica","não se aplica a este cliente","veículos expedidos")</f>
        <v>veículos expedidos</v>
      </c>
      <c r="H10" s="101"/>
      <c r="I10" s="101"/>
      <c r="J10" s="101"/>
      <c r="L10" s="101" t="inlineStr">
        <is>
          <t xml:space="preserve">incidentes no período</t>
        </is>
      </c>
      <c r="M10" s="101"/>
      <c r="N10" s="101"/>
      <c r="O10" s="101"/>
      <c r="Q10" s="108" t="str">
        <f>IF(calculos!$AZ$335="Completo","OCIOSIDADE",IF(calculos!$AZ$335="","OCIOSIDADE",""))</f>
        <v>OCIOSIDADE</v>
      </c>
      <c r="R10" s="108"/>
      <c r="S10" s="114" t="str">
        <f>IF(OR(calculos!$AZ$335="Completo",calculos!$AZ$335=""),calculos!$B$306,"")</f>
        <v/>
      </c>
      <c r="T10" s="114"/>
      <c r="V10" s="108" t="inlineStr">
        <is>
          <t xml:space="preserve">TURNOVER</t>
        </is>
      </c>
      <c r="W10" s="108"/>
      <c r="X10" s="113" t="str">
        <f>calculos!$B$314</f>
        <v/>
      </c>
      <c r="Y10" s="113"/>
    </row>
    <row r="11" ht="20" customHeight="1">
      <c r="B11" s="102" t="str">
        <f>IF(calculos!$AX$335="Não se aplica","",calculos!$B$333)</f>
        <v>0 pallets movimentados</v>
      </c>
      <c r="C11" s="102"/>
      <c r="D11" s="102"/>
      <c r="E11" s="102"/>
      <c r="G11" s="102" t="str">
        <f>IF(calculos!$AY$335="Não se aplica","",calculos!$F$333)</f>
        <v>0 pallets movimentados</v>
      </c>
      <c r="H11" s="102"/>
      <c r="I11" s="102"/>
      <c r="J11" s="102"/>
      <c r="L11" s="108" t="inlineStr">
        <is>
          <t xml:space="preserve">NO SHOW</t>
        </is>
      </c>
      <c r="M11" s="108"/>
      <c r="N11" s="109">
        <f>calculos!$B$301</f>
        <v>0</v>
      </c>
      <c r="O11" s="109"/>
      <c r="Q11" s="115" t="str">
        <f>IF(calculos!$AZ$335="Não se aplica","não se aplica a este cliente",IF(calculos!$AZ$335="Só ocupadas","só posições ocupadas · sem contrato (Spot / Cross)",IF(ISNUMBER(calculos!$B$305),"taxa de ocupação · "&amp;IF(calculos!$B$305&gt;1,"excede o contratado",IF(calculos!$B$305&gt;=calculos!$B$6,"ocupação alta",IF(calculos!$B$305&gt;=calculos!$B$5,"ocupação média","ociosidade alta"))),"")))</f>
        <v/>
      </c>
      <c r="R11" s="115"/>
      <c r="S11" s="115"/>
      <c r="T11" s="115"/>
      <c r="V11" s="108" t="inlineStr">
        <is>
          <t xml:space="preserve">DESVIOS COMPORTAM.</t>
        </is>
      </c>
      <c r="W11" s="108"/>
      <c r="X11" s="109">
        <f>calculos!$B$315</f>
        <v>0</v>
      </c>
      <c r="Y11" s="109"/>
    </row>
    <row r="12" ht="20" customHeight="1">
      <c r="B12" s="102" t="str">
        <f>IF(calculos!$AX$335="Não se aplica","",calculos!$D$333)</f>
        <v>0,0 t movimentadas</v>
      </c>
      <c r="C12" s="102"/>
      <c r="D12" s="102"/>
      <c r="E12" s="102"/>
      <c r="G12" s="102" t="str">
        <f>IF(calculos!$AY$335="Não se aplica","",calculos!$H$333)</f>
        <v>0,0 t movimentadas</v>
      </c>
      <c r="H12" s="102"/>
      <c r="I12" s="102"/>
      <c r="J12" s="102"/>
      <c r="L12" s="110" t="inlineStr">
        <is>
          <t xml:space="preserve">BACKLOG</t>
        </is>
      </c>
      <c r="M12" s="110"/>
      <c r="N12" s="111" t="str">
        <f>calculos!$B$302</f>
        <v/>
      </c>
      <c r="O12" s="111"/>
      <c r="Q12" s="115"/>
      <c r="R12" s="115"/>
      <c r="S12" s="115"/>
      <c r="T12" s="115"/>
      <c r="V12" s="110" t="inlineStr">
        <is>
          <t xml:space="preserve">ACIDENTES (CAF/SAF)</t>
        </is>
      </c>
      <c r="W12" s="110"/>
      <c r="X12" s="118" t="str">
        <f>N(calculos!$B$316)&amp;" / "&amp;N(calculos!$B$317)</f>
        <v>0 / 0</v>
      </c>
      <c r="Y12" s="118"/>
    </row>
    <row r="13" ht="18" customHeight="1">
      <c r="B13" s="103" t="str">
        <f>IF(calculos!$AX$335="Não se aplica","",calculos!$D$294)</f>
        <v/>
      </c>
      <c r="C13" s="103"/>
      <c r="D13" s="103"/>
      <c r="E13" s="103"/>
      <c r="G13" s="103" t="str">
        <f>IF(calculos!$AY$335="Não se aplica","",calculos!$D$297)</f>
        <v/>
      </c>
      <c r="H13" s="103"/>
      <c r="I13" s="103"/>
      <c r="J13" s="103"/>
      <c r="L13" s="103" t="str">
        <f>calculos!$D$300</f>
        <v/>
      </c>
      <c r="M13" s="103"/>
      <c r="N13" s="103"/>
      <c r="O13" s="103"/>
      <c r="Q13" s="103" t="str">
        <f>IF(AND(calculos!$AZ$335&lt;&gt;"Completo",calculos!$AZ$335&lt;&gt;""),"",calculos!$D$305)</f>
        <v/>
      </c>
      <c r="R13" s="103"/>
      <c r="S13" s="103"/>
      <c r="T13" s="103"/>
      <c r="V13" s="103" t="str">
        <f>calculos!$D$307</f>
        <v/>
      </c>
      <c r="W13" s="103"/>
      <c r="X13" s="103"/>
      <c r="Y13" s="103"/>
    </row>
    <row r="65">
      <c r="B65" s="119" t="inlineStr">
        <is>
          <t xml:space="preserve">Cards: período digitado (dia inicial e final). Gráficos: mês do dia inicial. Absenteísmo (H/H) = faltas ÷ homem-dia (soma do efetivo diário) · Turnover = desligamentos ÷ efetivo · CAF/SAF = acidentes com / sem afastamento. Metas: aba BD.</t>
        </is>
      </c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</row>
  </sheetData>
  <sheetProtection password="CC78" sheet="1" objects="1" scenarios="1"/>
  <mergeCells count="53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9"/>
    <mergeCell ref="L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5" priority="1">
      <formula>AND(ISNUMBER(B13),B13&gt;0)</formula>
    </cfRule>
  </conditionalFormatting>
  <conditionalFormatting sqref="B13">
    <cfRule type="expression" dxfId="6" priority="2">
      <formula>AND(ISNUMBER(B13),B13&lt;0)</formula>
    </cfRule>
  </conditionalFormatting>
  <conditionalFormatting sqref="G13">
    <cfRule type="expression" dxfId="5" priority="3">
      <formula>AND(ISNUMBER(G13),G13&gt;0)</formula>
    </cfRule>
  </conditionalFormatting>
  <conditionalFormatting sqref="G13">
    <cfRule type="expression" dxfId="6" priority="4">
      <formula>AND(ISNUMBER(G13),G13&lt;0)</formula>
    </cfRule>
  </conditionalFormatting>
  <conditionalFormatting sqref="L13">
    <cfRule type="expression" dxfId="5" priority="5">
      <formula>AND(ISNUMBER(L13),L13&lt;0)</formula>
    </cfRule>
  </conditionalFormatting>
  <conditionalFormatting sqref="L13">
    <cfRule type="expression" dxfId="6" priority="6">
      <formula>AND(ISNUMBER(L13),L13&gt;0)</formula>
    </cfRule>
  </conditionalFormatting>
  <conditionalFormatting sqref="S9">
    <cfRule type="expression" dxfId="5" priority="7" stopIfTrue="1">
      <formula>AND(ISNUMBER(S9),S9&gt;=calculos!$B$6)</formula>
    </cfRule>
  </conditionalFormatting>
  <conditionalFormatting sqref="S9">
    <cfRule type="expression" dxfId="7" priority="8" stopIfTrue="1">
      <formula>AND(ISNUMBER(S9),S9&gt;=calculos!$B$5)</formula>
    </cfRule>
  </conditionalFormatting>
  <conditionalFormatting sqref="S9">
    <cfRule type="expression" dxfId="6" priority="9">
      <formula>ISNUMBER(S9)</formula>
    </cfRule>
  </conditionalFormatting>
  <conditionalFormatting sqref="X11">
    <cfRule type="expression" dxfId="6" priority="10" stopIfTrue="1">
      <formula>N(calculos!$B$315)&gt;0</formula>
    </cfRule>
  </conditionalFormatting>
  <conditionalFormatting sqref="X11">
    <cfRule type="expression" dxfId="5" priority="11">
      <formula>N(calculos!$B$315)=0</formula>
    </cfRule>
  </conditionalFormatting>
  <conditionalFormatting sqref="X12">
    <cfRule type="expression" dxfId="6" priority="12" stopIfTrue="1">
      <formula>N(calculos!$B$316)+N(calculos!$B$317)&gt;0</formula>
    </cfRule>
  </conditionalFormatting>
  <conditionalFormatting sqref="X12">
    <cfRule type="expression" dxfId="5" priority="13">
      <formula>N(calculos!$B$316)+N(calculos!$B$317)=0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calculos!$AO$12:$AO$21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190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80"/>
      <c r="B1" s="80"/>
      <c r="C1" s="80"/>
      <c r="D1" s="80"/>
      <c r="E1" s="80"/>
      <c r="F1" s="80"/>
      <c r="G1" s="120" t="inlineStr">
        <is>
          <t xml:space="preserve">MONITORAMENTO DIÁRIO DE PERFORMANCE · TPC</t>
        </is>
      </c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1" t="inlineStr">
        <is>
          <t xml:space="preserve">OUTUBRO · 2026</t>
        </is>
      </c>
      <c r="AF1" s="121"/>
      <c r="AG1" s="121"/>
      <c r="AH1" s="121"/>
      <c r="AI1" s="121"/>
      <c r="AJ1" s="121"/>
      <c r="AK1" s="121"/>
    </row>
    <row r="2" ht="19.5" customHeight="1">
      <c r="A2" s="122" t="inlineStr">
        <is>
          <t xml:space="preserve">CLIENTE</t>
        </is>
      </c>
      <c r="B2" s="124" t="inlineStr">
        <is>
          <t xml:space="preserve">INDICADORES</t>
        </is>
      </c>
      <c r="C2" s="125"/>
      <c r="D2" s="128" t="inlineStr">
        <is>
          <t xml:space="preserve">META</t>
        </is>
      </c>
      <c r="F2" s="130" t="inlineStr">
        <is>
          <t xml:space="preserve">REALIZADO P/DIA</t>
        </is>
      </c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2"/>
      <c r="AK2" s="133" t="inlineStr">
        <is>
          <t xml:space="preserve">MÊS</t>
        </is>
      </c>
    </row>
    <row r="3" ht="13.5" customHeight="1">
      <c r="A3" s="123"/>
      <c r="B3" s="126"/>
      <c r="C3" s="127"/>
      <c r="D3" s="129"/>
      <c r="F3" s="135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36">
        <f>IF(F3="","",IF(MONTH(F3+1)=MONTH($F$3),F3+1,""))</f>
        <v>46297</v>
      </c>
      <c r="H3" s="136">
        <f>IF(G3="","",IF(MONTH(G3+1)=MONTH($F$3),G3+1,""))</f>
        <v>46298</v>
      </c>
      <c r="I3" s="136">
        <f>IF(H3="","",IF(MONTH(H3+1)=MONTH($F$3),H3+1,""))</f>
        <v>46299</v>
      </c>
      <c r="J3" s="136">
        <f>IF(I3="","",IF(MONTH(I3+1)=MONTH($F$3),I3+1,""))</f>
        <v>46300</v>
      </c>
      <c r="K3" s="136">
        <f>IF(J3="","",IF(MONTH(J3+1)=MONTH($F$3),J3+1,""))</f>
        <v>46301</v>
      </c>
      <c r="L3" s="136">
        <f>IF(K3="","",IF(MONTH(K3+1)=MONTH($F$3),K3+1,""))</f>
        <v>46302</v>
      </c>
      <c r="M3" s="136">
        <f>IF(L3="","",IF(MONTH(L3+1)=MONTH($F$3),L3+1,""))</f>
        <v>46303</v>
      </c>
      <c r="N3" s="136">
        <f>IF(M3="","",IF(MONTH(M3+1)=MONTH($F$3),M3+1,""))</f>
        <v>46304</v>
      </c>
      <c r="O3" s="136">
        <f>IF(N3="","",IF(MONTH(N3+1)=MONTH($F$3),N3+1,""))</f>
        <v>46305</v>
      </c>
      <c r="P3" s="136">
        <f>IF(O3="","",IF(MONTH(O3+1)=MONTH($F$3),O3+1,""))</f>
        <v>46306</v>
      </c>
      <c r="Q3" s="136">
        <f>IF(P3="","",IF(MONTH(P3+1)=MONTH($F$3),P3+1,""))</f>
        <v>46307</v>
      </c>
      <c r="R3" s="136">
        <f>IF(Q3="","",IF(MONTH(Q3+1)=MONTH($F$3),Q3+1,""))</f>
        <v>46308</v>
      </c>
      <c r="S3" s="136">
        <f>IF(R3="","",IF(MONTH(R3+1)=MONTH($F$3),R3+1,""))</f>
        <v>46309</v>
      </c>
      <c r="T3" s="136">
        <f>IF(S3="","",IF(MONTH(S3+1)=MONTH($F$3),S3+1,""))</f>
        <v>46310</v>
      </c>
      <c r="U3" s="136">
        <f>IF(T3="","",IF(MONTH(T3+1)=MONTH($F$3),T3+1,""))</f>
        <v>46311</v>
      </c>
      <c r="V3" s="136">
        <f>IF(U3="","",IF(MONTH(U3+1)=MONTH($F$3),U3+1,""))</f>
        <v>46312</v>
      </c>
      <c r="W3" s="136">
        <f>IF(V3="","",IF(MONTH(V3+1)=MONTH($F$3),V3+1,""))</f>
        <v>46313</v>
      </c>
      <c r="X3" s="136">
        <f>IF(W3="","",IF(MONTH(W3+1)=MONTH($F$3),W3+1,""))</f>
        <v>46314</v>
      </c>
      <c r="Y3" s="136">
        <f>IF(X3="","",IF(MONTH(X3+1)=MONTH($F$3),X3+1,""))</f>
        <v>46315</v>
      </c>
      <c r="Z3" s="136">
        <f>IF(Y3="","",IF(MONTH(Y3+1)=MONTH($F$3),Y3+1,""))</f>
        <v>46316</v>
      </c>
      <c r="AA3" s="136">
        <f>IF(Z3="","",IF(MONTH(Z3+1)=MONTH($F$3),Z3+1,""))</f>
        <v>46317</v>
      </c>
      <c r="AB3" s="136">
        <f>IF(AA3="","",IF(MONTH(AA3+1)=MONTH($F$3),AA3+1,""))</f>
        <v>46318</v>
      </c>
      <c r="AC3" s="136">
        <f>IF(AB3="","",IF(MONTH(AB3+1)=MONTH($F$3),AB3+1,""))</f>
        <v>46319</v>
      </c>
      <c r="AD3" s="136">
        <f>IF(AC3="","",IF(MONTH(AC3+1)=MONTH($F$3),AC3+1,""))</f>
        <v>46320</v>
      </c>
      <c r="AE3" s="136">
        <f>IF(AD3="","",IF(MONTH(AD3+1)=MONTH($F$3),AD3+1,""))</f>
        <v>46321</v>
      </c>
      <c r="AF3" s="136">
        <f>IF(AE3="","",IF(MONTH(AE3+1)=MONTH($F$3),AE3+1,""))</f>
        <v>46322</v>
      </c>
      <c r="AG3" s="136">
        <f>IF(AF3="","",IF(MONTH(AF3+1)=MONTH($F$3),AF3+1,""))</f>
        <v>46323</v>
      </c>
      <c r="AH3" s="136">
        <f>IF(AG3="","",IF(MONTH(AG3+1)=MONTH($F$3),AG3+1,""))</f>
        <v>46324</v>
      </c>
      <c r="AI3" s="136">
        <f>IF(AH3="","",IF(MONTH(AH3+1)=MONTH($F$3),AH3+1,""))</f>
        <v>46325</v>
      </c>
      <c r="AJ3" s="137">
        <f>IF(AI3="","",IF(MONTH(AI3+1)=MONTH($F$3),AI3+1,""))</f>
        <v>46326</v>
      </c>
      <c r="AK3" s="134"/>
    </row>
    <row r="5" ht="15.75" customHeight="1">
      <c r="A5" s="226" t="inlineStr">
        <is>
          <t xml:space="preserve">Alpargatas</t>
        </is>
      </c>
      <c r="B5" s="215" t="inlineStr">
        <is>
          <t xml:space="preserve">IN</t>
        </is>
      </c>
      <c r="C5" s="138" t="inlineStr">
        <is>
          <t xml:space="preserve">Veículos Recebidos</t>
        </is>
      </c>
      <c r="D5" s="139" t="str">
        <f>IFERROR(1/(1/INDEX(BD!$AK$23:$AT$23,MATCH($A$5,BD!$AK$22:$AT$22,0))),"")</f>
        <v/>
      </c>
      <c r="E5" s="140"/>
      <c r="F5" s="141" t="str">
        <f>IF(F$3="","",IF(COUNTIFS(BD!$A$3:$A$5001,F$3,BD!$B$3:$B$5001,$A$5,BD!$C$3:$C$5001,"&lt;&gt;")=0,"",SUMIFS(BD!$C$3:$C$5001,BD!$A$3:$A$5001,F$3,BD!$B$3:$B$5001,$A$5)))</f>
        <v/>
      </c>
      <c r="G5" s="142" t="str">
        <f>IF(G$3="","",IF(COUNTIFS(BD!$A$3:$A$5001,G$3,BD!$B$3:$B$5001,$A$5,BD!$C$3:$C$5001,"&lt;&gt;")=0,"",SUMIFS(BD!$C$3:$C$5001,BD!$A$3:$A$5001,G$3,BD!$B$3:$B$5001,$A$5)))</f>
        <v/>
      </c>
      <c r="H5" s="142" t="str">
        <f>IF(H$3="","",IF(COUNTIFS(BD!$A$3:$A$5001,H$3,BD!$B$3:$B$5001,$A$5,BD!$C$3:$C$5001,"&lt;&gt;")=0,"",SUMIFS(BD!$C$3:$C$5001,BD!$A$3:$A$5001,H$3,BD!$B$3:$B$5001,$A$5)))</f>
        <v/>
      </c>
      <c r="I5" s="142" t="str">
        <f>IF(I$3="","",IF(COUNTIFS(BD!$A$3:$A$5001,I$3,BD!$B$3:$B$5001,$A$5,BD!$C$3:$C$5001,"&lt;&gt;")=0,"",SUMIFS(BD!$C$3:$C$5001,BD!$A$3:$A$5001,I$3,BD!$B$3:$B$5001,$A$5)))</f>
        <v/>
      </c>
      <c r="J5" s="142" t="str">
        <f>IF(J$3="","",IF(COUNTIFS(BD!$A$3:$A$5001,J$3,BD!$B$3:$B$5001,$A$5,BD!$C$3:$C$5001,"&lt;&gt;")=0,"",SUMIFS(BD!$C$3:$C$5001,BD!$A$3:$A$5001,J$3,BD!$B$3:$B$5001,$A$5)))</f>
        <v/>
      </c>
      <c r="K5" s="142" t="str">
        <f>IF(K$3="","",IF(COUNTIFS(BD!$A$3:$A$5001,K$3,BD!$B$3:$B$5001,$A$5,BD!$C$3:$C$5001,"&lt;&gt;")=0,"",SUMIFS(BD!$C$3:$C$5001,BD!$A$3:$A$5001,K$3,BD!$B$3:$B$5001,$A$5)))</f>
        <v/>
      </c>
      <c r="L5" s="142" t="str">
        <f>IF(L$3="","",IF(COUNTIFS(BD!$A$3:$A$5001,L$3,BD!$B$3:$B$5001,$A$5,BD!$C$3:$C$5001,"&lt;&gt;")=0,"",SUMIFS(BD!$C$3:$C$5001,BD!$A$3:$A$5001,L$3,BD!$B$3:$B$5001,$A$5)))</f>
        <v/>
      </c>
      <c r="M5" s="142" t="str">
        <f>IF(M$3="","",IF(COUNTIFS(BD!$A$3:$A$5001,M$3,BD!$B$3:$B$5001,$A$5,BD!$C$3:$C$5001,"&lt;&gt;")=0,"",SUMIFS(BD!$C$3:$C$5001,BD!$A$3:$A$5001,M$3,BD!$B$3:$B$5001,$A$5)))</f>
        <v/>
      </c>
      <c r="N5" s="142" t="str">
        <f>IF(N$3="","",IF(COUNTIFS(BD!$A$3:$A$5001,N$3,BD!$B$3:$B$5001,$A$5,BD!$C$3:$C$5001,"&lt;&gt;")=0,"",SUMIFS(BD!$C$3:$C$5001,BD!$A$3:$A$5001,N$3,BD!$B$3:$B$5001,$A$5)))</f>
        <v/>
      </c>
      <c r="O5" s="142" t="str">
        <f>IF(O$3="","",IF(COUNTIFS(BD!$A$3:$A$5001,O$3,BD!$B$3:$B$5001,$A$5,BD!$C$3:$C$5001,"&lt;&gt;")=0,"",SUMIFS(BD!$C$3:$C$5001,BD!$A$3:$A$5001,O$3,BD!$B$3:$B$5001,$A$5)))</f>
        <v/>
      </c>
      <c r="P5" s="142" t="str">
        <f>IF(P$3="","",IF(COUNTIFS(BD!$A$3:$A$5001,P$3,BD!$B$3:$B$5001,$A$5,BD!$C$3:$C$5001,"&lt;&gt;")=0,"",SUMIFS(BD!$C$3:$C$5001,BD!$A$3:$A$5001,P$3,BD!$B$3:$B$5001,$A$5)))</f>
        <v/>
      </c>
      <c r="Q5" s="142" t="str">
        <f>IF(Q$3="","",IF(COUNTIFS(BD!$A$3:$A$5001,Q$3,BD!$B$3:$B$5001,$A$5,BD!$C$3:$C$5001,"&lt;&gt;")=0,"",SUMIFS(BD!$C$3:$C$5001,BD!$A$3:$A$5001,Q$3,BD!$B$3:$B$5001,$A$5)))</f>
        <v/>
      </c>
      <c r="R5" s="142" t="str">
        <f>IF(R$3="","",IF(COUNTIFS(BD!$A$3:$A$5001,R$3,BD!$B$3:$B$5001,$A$5,BD!$C$3:$C$5001,"&lt;&gt;")=0,"",SUMIFS(BD!$C$3:$C$5001,BD!$A$3:$A$5001,R$3,BD!$B$3:$B$5001,$A$5)))</f>
        <v/>
      </c>
      <c r="S5" s="142" t="str">
        <f>IF(S$3="","",IF(COUNTIFS(BD!$A$3:$A$5001,S$3,BD!$B$3:$B$5001,$A$5,BD!$C$3:$C$5001,"&lt;&gt;")=0,"",SUMIFS(BD!$C$3:$C$5001,BD!$A$3:$A$5001,S$3,BD!$B$3:$B$5001,$A$5)))</f>
        <v/>
      </c>
      <c r="T5" s="142" t="str">
        <f>IF(T$3="","",IF(COUNTIFS(BD!$A$3:$A$5001,T$3,BD!$B$3:$B$5001,$A$5,BD!$C$3:$C$5001,"&lt;&gt;")=0,"",SUMIFS(BD!$C$3:$C$5001,BD!$A$3:$A$5001,T$3,BD!$B$3:$B$5001,$A$5)))</f>
        <v/>
      </c>
      <c r="U5" s="142" t="str">
        <f>IF(U$3="","",IF(COUNTIFS(BD!$A$3:$A$5001,U$3,BD!$B$3:$B$5001,$A$5,BD!$C$3:$C$5001,"&lt;&gt;")=0,"",SUMIFS(BD!$C$3:$C$5001,BD!$A$3:$A$5001,U$3,BD!$B$3:$B$5001,$A$5)))</f>
        <v/>
      </c>
      <c r="V5" s="142" t="str">
        <f>IF(V$3="","",IF(COUNTIFS(BD!$A$3:$A$5001,V$3,BD!$B$3:$B$5001,$A$5,BD!$C$3:$C$5001,"&lt;&gt;")=0,"",SUMIFS(BD!$C$3:$C$5001,BD!$A$3:$A$5001,V$3,BD!$B$3:$B$5001,$A$5)))</f>
        <v/>
      </c>
      <c r="W5" s="142" t="str">
        <f>IF(W$3="","",IF(COUNTIFS(BD!$A$3:$A$5001,W$3,BD!$B$3:$B$5001,$A$5,BD!$C$3:$C$5001,"&lt;&gt;")=0,"",SUMIFS(BD!$C$3:$C$5001,BD!$A$3:$A$5001,W$3,BD!$B$3:$B$5001,$A$5)))</f>
        <v/>
      </c>
      <c r="X5" s="142" t="str">
        <f>IF(X$3="","",IF(COUNTIFS(BD!$A$3:$A$5001,X$3,BD!$B$3:$B$5001,$A$5,BD!$C$3:$C$5001,"&lt;&gt;")=0,"",SUMIFS(BD!$C$3:$C$5001,BD!$A$3:$A$5001,X$3,BD!$B$3:$B$5001,$A$5)))</f>
        <v/>
      </c>
      <c r="Y5" s="142" t="str">
        <f>IF(Y$3="","",IF(COUNTIFS(BD!$A$3:$A$5001,Y$3,BD!$B$3:$B$5001,$A$5,BD!$C$3:$C$5001,"&lt;&gt;")=0,"",SUMIFS(BD!$C$3:$C$5001,BD!$A$3:$A$5001,Y$3,BD!$B$3:$B$5001,$A$5)))</f>
        <v/>
      </c>
      <c r="Z5" s="142" t="str">
        <f>IF(Z$3="","",IF(COUNTIFS(BD!$A$3:$A$5001,Z$3,BD!$B$3:$B$5001,$A$5,BD!$C$3:$C$5001,"&lt;&gt;")=0,"",SUMIFS(BD!$C$3:$C$5001,BD!$A$3:$A$5001,Z$3,BD!$B$3:$B$5001,$A$5)))</f>
        <v/>
      </c>
      <c r="AA5" s="142" t="str">
        <f>IF(AA$3="","",IF(COUNTIFS(BD!$A$3:$A$5001,AA$3,BD!$B$3:$B$5001,$A$5,BD!$C$3:$C$5001,"&lt;&gt;")=0,"",SUMIFS(BD!$C$3:$C$5001,BD!$A$3:$A$5001,AA$3,BD!$B$3:$B$5001,$A$5)))</f>
        <v/>
      </c>
      <c r="AB5" s="142" t="str">
        <f>IF(AB$3="","",IF(COUNTIFS(BD!$A$3:$A$5001,AB$3,BD!$B$3:$B$5001,$A$5,BD!$C$3:$C$5001,"&lt;&gt;")=0,"",SUMIFS(BD!$C$3:$C$5001,BD!$A$3:$A$5001,AB$3,BD!$B$3:$B$5001,$A$5)))</f>
        <v/>
      </c>
      <c r="AC5" s="142" t="str">
        <f>IF(AC$3="","",IF(COUNTIFS(BD!$A$3:$A$5001,AC$3,BD!$B$3:$B$5001,$A$5,BD!$C$3:$C$5001,"&lt;&gt;")=0,"",SUMIFS(BD!$C$3:$C$5001,BD!$A$3:$A$5001,AC$3,BD!$B$3:$B$5001,$A$5)))</f>
        <v/>
      </c>
      <c r="AD5" s="142" t="str">
        <f>IF(AD$3="","",IF(COUNTIFS(BD!$A$3:$A$5001,AD$3,BD!$B$3:$B$5001,$A$5,BD!$C$3:$C$5001,"&lt;&gt;")=0,"",SUMIFS(BD!$C$3:$C$5001,BD!$A$3:$A$5001,AD$3,BD!$B$3:$B$5001,$A$5)))</f>
        <v/>
      </c>
      <c r="AE5" s="142" t="str">
        <f>IF(AE$3="","",IF(COUNTIFS(BD!$A$3:$A$5001,AE$3,BD!$B$3:$B$5001,$A$5,BD!$C$3:$C$5001,"&lt;&gt;")=0,"",SUMIFS(BD!$C$3:$C$5001,BD!$A$3:$A$5001,AE$3,BD!$B$3:$B$5001,$A$5)))</f>
        <v/>
      </c>
      <c r="AF5" s="142" t="str">
        <f>IF(AF$3="","",IF(COUNTIFS(BD!$A$3:$A$5001,AF$3,BD!$B$3:$B$5001,$A$5,BD!$C$3:$C$5001,"&lt;&gt;")=0,"",SUMIFS(BD!$C$3:$C$5001,BD!$A$3:$A$5001,AF$3,BD!$B$3:$B$5001,$A$5)))</f>
        <v/>
      </c>
      <c r="AG5" s="142" t="str">
        <f>IF(AG$3="","",IF(COUNTIFS(BD!$A$3:$A$5001,AG$3,BD!$B$3:$B$5001,$A$5,BD!$C$3:$C$5001,"&lt;&gt;")=0,"",SUMIFS(BD!$C$3:$C$5001,BD!$A$3:$A$5001,AG$3,BD!$B$3:$B$5001,$A$5)))</f>
        <v/>
      </c>
      <c r="AH5" s="142" t="str">
        <f>IF(AH$3="","",IF(COUNTIFS(BD!$A$3:$A$5001,AH$3,BD!$B$3:$B$5001,$A$5,BD!$C$3:$C$5001,"&lt;&gt;")=0,"",SUMIFS(BD!$C$3:$C$5001,BD!$A$3:$A$5001,AH$3,BD!$B$3:$B$5001,$A$5)))</f>
        <v/>
      </c>
      <c r="AI5" s="142" t="str">
        <f>IF(AI$3="","",IF(COUNTIFS(BD!$A$3:$A$5001,AI$3,BD!$B$3:$B$5001,$A$5,BD!$C$3:$C$5001,"&lt;&gt;")=0,"",SUMIFS(BD!$C$3:$C$5001,BD!$A$3:$A$5001,AI$3,BD!$B$3:$B$5001,$A$5)))</f>
        <v/>
      </c>
      <c r="AJ5" s="143" t="str">
        <f>IF(AJ$3="","",IF(COUNTIFS(BD!$A$3:$A$5001,AJ$3,BD!$B$3:$B$5001,$A$5,BD!$C$3:$C$5001,"&lt;&gt;")=0,"",SUMIFS(BD!$C$3:$C$5001,BD!$A$3:$A$5001,AJ$3,BD!$B$3:$B$5001,$A$5)))</f>
        <v/>
      </c>
      <c r="AK5" s="144" t="str">
        <f>IF(COUNT(F5:AJ5)=0,"",SUM(F5:AJ5))</f>
        <v/>
      </c>
    </row>
    <row r="6" ht="15.75" customHeight="1">
      <c r="A6" s="227"/>
      <c r="B6" s="216"/>
      <c r="C6" s="145" t="inlineStr">
        <is>
          <t xml:space="preserve">Caixas Movimentadas</t>
        </is>
      </c>
      <c r="D6" s="146" t="str">
        <f>IFERROR(1/(1/INDEX(BD!$AK$27:$AT$27,MATCH($A$5,BD!$AK$22:$AT$22,0))),"")</f>
        <v/>
      </c>
      <c r="E6" s="147"/>
      <c r="F6" s="148" t="str">
        <f>IF(F$3="","",IF(COUNTIFS(BD!$A$3:$A$5001,F$3,BD!$B$3:$B$5001,$A$5,BD!$G$3:$G$5001,"&lt;&gt;")=0,"",SUMIFS(BD!$G$3:$G$5001,BD!$A$3:$A$5001,F$3,BD!$B$3:$B$5001,$A$5)))</f>
        <v/>
      </c>
      <c r="G6" s="149" t="str">
        <f>IF(G$3="","",IF(COUNTIFS(BD!$A$3:$A$5001,G$3,BD!$B$3:$B$5001,$A$5,BD!$G$3:$G$5001,"&lt;&gt;")=0,"",SUMIFS(BD!$G$3:$G$5001,BD!$A$3:$A$5001,G$3,BD!$B$3:$B$5001,$A$5)))</f>
        <v/>
      </c>
      <c r="H6" s="149" t="str">
        <f>IF(H$3="","",IF(COUNTIFS(BD!$A$3:$A$5001,H$3,BD!$B$3:$B$5001,$A$5,BD!$G$3:$G$5001,"&lt;&gt;")=0,"",SUMIFS(BD!$G$3:$G$5001,BD!$A$3:$A$5001,H$3,BD!$B$3:$B$5001,$A$5)))</f>
        <v/>
      </c>
      <c r="I6" s="149" t="str">
        <f>IF(I$3="","",IF(COUNTIFS(BD!$A$3:$A$5001,I$3,BD!$B$3:$B$5001,$A$5,BD!$G$3:$G$5001,"&lt;&gt;")=0,"",SUMIFS(BD!$G$3:$G$5001,BD!$A$3:$A$5001,I$3,BD!$B$3:$B$5001,$A$5)))</f>
        <v/>
      </c>
      <c r="J6" s="149" t="str">
        <f>IF(J$3="","",IF(COUNTIFS(BD!$A$3:$A$5001,J$3,BD!$B$3:$B$5001,$A$5,BD!$G$3:$G$5001,"&lt;&gt;")=0,"",SUMIFS(BD!$G$3:$G$5001,BD!$A$3:$A$5001,J$3,BD!$B$3:$B$5001,$A$5)))</f>
        <v/>
      </c>
      <c r="K6" s="149" t="str">
        <f>IF(K$3="","",IF(COUNTIFS(BD!$A$3:$A$5001,K$3,BD!$B$3:$B$5001,$A$5,BD!$G$3:$G$5001,"&lt;&gt;")=0,"",SUMIFS(BD!$G$3:$G$5001,BD!$A$3:$A$5001,K$3,BD!$B$3:$B$5001,$A$5)))</f>
        <v/>
      </c>
      <c r="L6" s="149" t="str">
        <f>IF(L$3="","",IF(COUNTIFS(BD!$A$3:$A$5001,L$3,BD!$B$3:$B$5001,$A$5,BD!$G$3:$G$5001,"&lt;&gt;")=0,"",SUMIFS(BD!$G$3:$G$5001,BD!$A$3:$A$5001,L$3,BD!$B$3:$B$5001,$A$5)))</f>
        <v/>
      </c>
      <c r="M6" s="149" t="str">
        <f>IF(M$3="","",IF(COUNTIFS(BD!$A$3:$A$5001,M$3,BD!$B$3:$B$5001,$A$5,BD!$G$3:$G$5001,"&lt;&gt;")=0,"",SUMIFS(BD!$G$3:$G$5001,BD!$A$3:$A$5001,M$3,BD!$B$3:$B$5001,$A$5)))</f>
        <v/>
      </c>
      <c r="N6" s="149" t="str">
        <f>IF(N$3="","",IF(COUNTIFS(BD!$A$3:$A$5001,N$3,BD!$B$3:$B$5001,$A$5,BD!$G$3:$G$5001,"&lt;&gt;")=0,"",SUMIFS(BD!$G$3:$G$5001,BD!$A$3:$A$5001,N$3,BD!$B$3:$B$5001,$A$5)))</f>
        <v/>
      </c>
      <c r="O6" s="149" t="str">
        <f>IF(O$3="","",IF(COUNTIFS(BD!$A$3:$A$5001,O$3,BD!$B$3:$B$5001,$A$5,BD!$G$3:$G$5001,"&lt;&gt;")=0,"",SUMIFS(BD!$G$3:$G$5001,BD!$A$3:$A$5001,O$3,BD!$B$3:$B$5001,$A$5)))</f>
        <v/>
      </c>
      <c r="P6" s="149" t="str">
        <f>IF(P$3="","",IF(COUNTIFS(BD!$A$3:$A$5001,P$3,BD!$B$3:$B$5001,$A$5,BD!$G$3:$G$5001,"&lt;&gt;")=0,"",SUMIFS(BD!$G$3:$G$5001,BD!$A$3:$A$5001,P$3,BD!$B$3:$B$5001,$A$5)))</f>
        <v/>
      </c>
      <c r="Q6" s="149" t="str">
        <f>IF(Q$3="","",IF(COUNTIFS(BD!$A$3:$A$5001,Q$3,BD!$B$3:$B$5001,$A$5,BD!$G$3:$G$5001,"&lt;&gt;")=0,"",SUMIFS(BD!$G$3:$G$5001,BD!$A$3:$A$5001,Q$3,BD!$B$3:$B$5001,$A$5)))</f>
        <v/>
      </c>
      <c r="R6" s="149" t="str">
        <f>IF(R$3="","",IF(COUNTIFS(BD!$A$3:$A$5001,R$3,BD!$B$3:$B$5001,$A$5,BD!$G$3:$G$5001,"&lt;&gt;")=0,"",SUMIFS(BD!$G$3:$G$5001,BD!$A$3:$A$5001,R$3,BD!$B$3:$B$5001,$A$5)))</f>
        <v/>
      </c>
      <c r="S6" s="149" t="str">
        <f>IF(S$3="","",IF(COUNTIFS(BD!$A$3:$A$5001,S$3,BD!$B$3:$B$5001,$A$5,BD!$G$3:$G$5001,"&lt;&gt;")=0,"",SUMIFS(BD!$G$3:$G$5001,BD!$A$3:$A$5001,S$3,BD!$B$3:$B$5001,$A$5)))</f>
        <v/>
      </c>
      <c r="T6" s="149" t="str">
        <f>IF(T$3="","",IF(COUNTIFS(BD!$A$3:$A$5001,T$3,BD!$B$3:$B$5001,$A$5,BD!$G$3:$G$5001,"&lt;&gt;")=0,"",SUMIFS(BD!$G$3:$G$5001,BD!$A$3:$A$5001,T$3,BD!$B$3:$B$5001,$A$5)))</f>
        <v/>
      </c>
      <c r="U6" s="149" t="str">
        <f>IF(U$3="","",IF(COUNTIFS(BD!$A$3:$A$5001,U$3,BD!$B$3:$B$5001,$A$5,BD!$G$3:$G$5001,"&lt;&gt;")=0,"",SUMIFS(BD!$G$3:$G$5001,BD!$A$3:$A$5001,U$3,BD!$B$3:$B$5001,$A$5)))</f>
        <v/>
      </c>
      <c r="V6" s="149" t="str">
        <f>IF(V$3="","",IF(COUNTIFS(BD!$A$3:$A$5001,V$3,BD!$B$3:$B$5001,$A$5,BD!$G$3:$G$5001,"&lt;&gt;")=0,"",SUMIFS(BD!$G$3:$G$5001,BD!$A$3:$A$5001,V$3,BD!$B$3:$B$5001,$A$5)))</f>
        <v/>
      </c>
      <c r="W6" s="149" t="str">
        <f>IF(W$3="","",IF(COUNTIFS(BD!$A$3:$A$5001,W$3,BD!$B$3:$B$5001,$A$5,BD!$G$3:$G$5001,"&lt;&gt;")=0,"",SUMIFS(BD!$G$3:$G$5001,BD!$A$3:$A$5001,W$3,BD!$B$3:$B$5001,$A$5)))</f>
        <v/>
      </c>
      <c r="X6" s="149" t="str">
        <f>IF(X$3="","",IF(COUNTIFS(BD!$A$3:$A$5001,X$3,BD!$B$3:$B$5001,$A$5,BD!$G$3:$G$5001,"&lt;&gt;")=0,"",SUMIFS(BD!$G$3:$G$5001,BD!$A$3:$A$5001,X$3,BD!$B$3:$B$5001,$A$5)))</f>
        <v/>
      </c>
      <c r="Y6" s="149" t="str">
        <f>IF(Y$3="","",IF(COUNTIFS(BD!$A$3:$A$5001,Y$3,BD!$B$3:$B$5001,$A$5,BD!$G$3:$G$5001,"&lt;&gt;")=0,"",SUMIFS(BD!$G$3:$G$5001,BD!$A$3:$A$5001,Y$3,BD!$B$3:$B$5001,$A$5)))</f>
        <v/>
      </c>
      <c r="Z6" s="149" t="str">
        <f>IF(Z$3="","",IF(COUNTIFS(BD!$A$3:$A$5001,Z$3,BD!$B$3:$B$5001,$A$5,BD!$G$3:$G$5001,"&lt;&gt;")=0,"",SUMIFS(BD!$G$3:$G$5001,BD!$A$3:$A$5001,Z$3,BD!$B$3:$B$5001,$A$5)))</f>
        <v/>
      </c>
      <c r="AA6" s="149" t="str">
        <f>IF(AA$3="","",IF(COUNTIFS(BD!$A$3:$A$5001,AA$3,BD!$B$3:$B$5001,$A$5,BD!$G$3:$G$5001,"&lt;&gt;")=0,"",SUMIFS(BD!$G$3:$G$5001,BD!$A$3:$A$5001,AA$3,BD!$B$3:$B$5001,$A$5)))</f>
        <v/>
      </c>
      <c r="AB6" s="149" t="str">
        <f>IF(AB$3="","",IF(COUNTIFS(BD!$A$3:$A$5001,AB$3,BD!$B$3:$B$5001,$A$5,BD!$G$3:$G$5001,"&lt;&gt;")=0,"",SUMIFS(BD!$G$3:$G$5001,BD!$A$3:$A$5001,AB$3,BD!$B$3:$B$5001,$A$5)))</f>
        <v/>
      </c>
      <c r="AC6" s="149" t="str">
        <f>IF(AC$3="","",IF(COUNTIFS(BD!$A$3:$A$5001,AC$3,BD!$B$3:$B$5001,$A$5,BD!$G$3:$G$5001,"&lt;&gt;")=0,"",SUMIFS(BD!$G$3:$G$5001,BD!$A$3:$A$5001,AC$3,BD!$B$3:$B$5001,$A$5)))</f>
        <v/>
      </c>
      <c r="AD6" s="149" t="str">
        <f>IF(AD$3="","",IF(COUNTIFS(BD!$A$3:$A$5001,AD$3,BD!$B$3:$B$5001,$A$5,BD!$G$3:$G$5001,"&lt;&gt;")=0,"",SUMIFS(BD!$G$3:$G$5001,BD!$A$3:$A$5001,AD$3,BD!$B$3:$B$5001,$A$5)))</f>
        <v/>
      </c>
      <c r="AE6" s="149" t="str">
        <f>IF(AE$3="","",IF(COUNTIFS(BD!$A$3:$A$5001,AE$3,BD!$B$3:$B$5001,$A$5,BD!$G$3:$G$5001,"&lt;&gt;")=0,"",SUMIFS(BD!$G$3:$G$5001,BD!$A$3:$A$5001,AE$3,BD!$B$3:$B$5001,$A$5)))</f>
        <v/>
      </c>
      <c r="AF6" s="149" t="str">
        <f>IF(AF$3="","",IF(COUNTIFS(BD!$A$3:$A$5001,AF$3,BD!$B$3:$B$5001,$A$5,BD!$G$3:$G$5001,"&lt;&gt;")=0,"",SUMIFS(BD!$G$3:$G$5001,BD!$A$3:$A$5001,AF$3,BD!$B$3:$B$5001,$A$5)))</f>
        <v/>
      </c>
      <c r="AG6" s="149" t="str">
        <f>IF(AG$3="","",IF(COUNTIFS(BD!$A$3:$A$5001,AG$3,BD!$B$3:$B$5001,$A$5,BD!$G$3:$G$5001,"&lt;&gt;")=0,"",SUMIFS(BD!$G$3:$G$5001,BD!$A$3:$A$5001,AG$3,BD!$B$3:$B$5001,$A$5)))</f>
        <v/>
      </c>
      <c r="AH6" s="149" t="str">
        <f>IF(AH$3="","",IF(COUNTIFS(BD!$A$3:$A$5001,AH$3,BD!$B$3:$B$5001,$A$5,BD!$G$3:$G$5001,"&lt;&gt;")=0,"",SUMIFS(BD!$G$3:$G$5001,BD!$A$3:$A$5001,AH$3,BD!$B$3:$B$5001,$A$5)))</f>
        <v/>
      </c>
      <c r="AI6" s="149" t="str">
        <f>IF(AI$3="","",IF(COUNTIFS(BD!$A$3:$A$5001,AI$3,BD!$B$3:$B$5001,$A$5,BD!$G$3:$G$5001,"&lt;&gt;")=0,"",SUMIFS(BD!$G$3:$G$5001,BD!$A$3:$A$5001,AI$3,BD!$B$3:$B$5001,$A$5)))</f>
        <v/>
      </c>
      <c r="AJ6" s="150" t="str">
        <f>IF(AJ$3="","",IF(COUNTIFS(BD!$A$3:$A$5001,AJ$3,BD!$B$3:$B$5001,$A$5,BD!$G$3:$G$5001,"&lt;&gt;")=0,"",SUMIFS(BD!$G$3:$G$5001,BD!$A$3:$A$5001,AJ$3,BD!$B$3:$B$5001,$A$5)))</f>
        <v/>
      </c>
      <c r="AK6" s="146" t="str">
        <f>IF(COUNT(F6:AJ6)=0,"",SUM(F6:AJ6))</f>
        <v/>
      </c>
    </row>
    <row r="7" ht="15.75" customHeight="1">
      <c r="A7" s="227"/>
      <c r="B7" s="217" t="inlineStr">
        <is>
          <t xml:space="preserve">OUT</t>
        </is>
      </c>
      <c r="C7" s="151" t="inlineStr">
        <is>
          <t xml:space="preserve">Veículos Expedidos</t>
        </is>
      </c>
      <c r="D7" s="152" t="str">
        <f>IFERROR(1/(1/INDEX(BD!$AK$32:$AT$32,MATCH($A$5,BD!$AK$22:$AT$22,0))),"")</f>
        <v/>
      </c>
      <c r="E7" s="153"/>
      <c r="F7" s="154" t="str">
        <f>IF(F$3="","",IF(COUNTIFS(BD!$A$3:$A$5001,F$3,BD!$B$3:$B$5001,$A$5,BD!$L$3:$L$5001,"&lt;&gt;")=0,"",SUMIFS(BD!$L$3:$L$5001,BD!$A$3:$A$5001,F$3,BD!$B$3:$B$5001,$A$5)))</f>
        <v/>
      </c>
      <c r="G7" s="155" t="str">
        <f>IF(G$3="","",IF(COUNTIFS(BD!$A$3:$A$5001,G$3,BD!$B$3:$B$5001,$A$5,BD!$L$3:$L$5001,"&lt;&gt;")=0,"",SUMIFS(BD!$L$3:$L$5001,BD!$A$3:$A$5001,G$3,BD!$B$3:$B$5001,$A$5)))</f>
        <v/>
      </c>
      <c r="H7" s="155" t="str">
        <f>IF(H$3="","",IF(COUNTIFS(BD!$A$3:$A$5001,H$3,BD!$B$3:$B$5001,$A$5,BD!$L$3:$L$5001,"&lt;&gt;")=0,"",SUMIFS(BD!$L$3:$L$5001,BD!$A$3:$A$5001,H$3,BD!$B$3:$B$5001,$A$5)))</f>
        <v/>
      </c>
      <c r="I7" s="155" t="str">
        <f>IF(I$3="","",IF(COUNTIFS(BD!$A$3:$A$5001,I$3,BD!$B$3:$B$5001,$A$5,BD!$L$3:$L$5001,"&lt;&gt;")=0,"",SUMIFS(BD!$L$3:$L$5001,BD!$A$3:$A$5001,I$3,BD!$B$3:$B$5001,$A$5)))</f>
        <v/>
      </c>
      <c r="J7" s="155" t="str">
        <f>IF(J$3="","",IF(COUNTIFS(BD!$A$3:$A$5001,J$3,BD!$B$3:$B$5001,$A$5,BD!$L$3:$L$5001,"&lt;&gt;")=0,"",SUMIFS(BD!$L$3:$L$5001,BD!$A$3:$A$5001,J$3,BD!$B$3:$B$5001,$A$5)))</f>
        <v/>
      </c>
      <c r="K7" s="155" t="str">
        <f>IF(K$3="","",IF(COUNTIFS(BD!$A$3:$A$5001,K$3,BD!$B$3:$B$5001,$A$5,BD!$L$3:$L$5001,"&lt;&gt;")=0,"",SUMIFS(BD!$L$3:$L$5001,BD!$A$3:$A$5001,K$3,BD!$B$3:$B$5001,$A$5)))</f>
        <v/>
      </c>
      <c r="L7" s="155" t="str">
        <f>IF(L$3="","",IF(COUNTIFS(BD!$A$3:$A$5001,L$3,BD!$B$3:$B$5001,$A$5,BD!$L$3:$L$5001,"&lt;&gt;")=0,"",SUMIFS(BD!$L$3:$L$5001,BD!$A$3:$A$5001,L$3,BD!$B$3:$B$5001,$A$5)))</f>
        <v/>
      </c>
      <c r="M7" s="155" t="str">
        <f>IF(M$3="","",IF(COUNTIFS(BD!$A$3:$A$5001,M$3,BD!$B$3:$B$5001,$A$5,BD!$L$3:$L$5001,"&lt;&gt;")=0,"",SUMIFS(BD!$L$3:$L$5001,BD!$A$3:$A$5001,M$3,BD!$B$3:$B$5001,$A$5)))</f>
        <v/>
      </c>
      <c r="N7" s="155" t="str">
        <f>IF(N$3="","",IF(COUNTIFS(BD!$A$3:$A$5001,N$3,BD!$B$3:$B$5001,$A$5,BD!$L$3:$L$5001,"&lt;&gt;")=0,"",SUMIFS(BD!$L$3:$L$5001,BD!$A$3:$A$5001,N$3,BD!$B$3:$B$5001,$A$5)))</f>
        <v/>
      </c>
      <c r="O7" s="155" t="str">
        <f>IF(O$3="","",IF(COUNTIFS(BD!$A$3:$A$5001,O$3,BD!$B$3:$B$5001,$A$5,BD!$L$3:$L$5001,"&lt;&gt;")=0,"",SUMIFS(BD!$L$3:$L$5001,BD!$A$3:$A$5001,O$3,BD!$B$3:$B$5001,$A$5)))</f>
        <v/>
      </c>
      <c r="P7" s="155" t="str">
        <f>IF(P$3="","",IF(COUNTIFS(BD!$A$3:$A$5001,P$3,BD!$B$3:$B$5001,$A$5,BD!$L$3:$L$5001,"&lt;&gt;")=0,"",SUMIFS(BD!$L$3:$L$5001,BD!$A$3:$A$5001,P$3,BD!$B$3:$B$5001,$A$5)))</f>
        <v/>
      </c>
      <c r="Q7" s="155" t="str">
        <f>IF(Q$3="","",IF(COUNTIFS(BD!$A$3:$A$5001,Q$3,BD!$B$3:$B$5001,$A$5,BD!$L$3:$L$5001,"&lt;&gt;")=0,"",SUMIFS(BD!$L$3:$L$5001,BD!$A$3:$A$5001,Q$3,BD!$B$3:$B$5001,$A$5)))</f>
        <v/>
      </c>
      <c r="R7" s="155" t="str">
        <f>IF(R$3="","",IF(COUNTIFS(BD!$A$3:$A$5001,R$3,BD!$B$3:$B$5001,$A$5,BD!$L$3:$L$5001,"&lt;&gt;")=0,"",SUMIFS(BD!$L$3:$L$5001,BD!$A$3:$A$5001,R$3,BD!$B$3:$B$5001,$A$5)))</f>
        <v/>
      </c>
      <c r="S7" s="155" t="str">
        <f>IF(S$3="","",IF(COUNTIFS(BD!$A$3:$A$5001,S$3,BD!$B$3:$B$5001,$A$5,BD!$L$3:$L$5001,"&lt;&gt;")=0,"",SUMIFS(BD!$L$3:$L$5001,BD!$A$3:$A$5001,S$3,BD!$B$3:$B$5001,$A$5)))</f>
        <v/>
      </c>
      <c r="T7" s="155" t="str">
        <f>IF(T$3="","",IF(COUNTIFS(BD!$A$3:$A$5001,T$3,BD!$B$3:$B$5001,$A$5,BD!$L$3:$L$5001,"&lt;&gt;")=0,"",SUMIFS(BD!$L$3:$L$5001,BD!$A$3:$A$5001,T$3,BD!$B$3:$B$5001,$A$5)))</f>
        <v/>
      </c>
      <c r="U7" s="155" t="str">
        <f>IF(U$3="","",IF(COUNTIFS(BD!$A$3:$A$5001,U$3,BD!$B$3:$B$5001,$A$5,BD!$L$3:$L$5001,"&lt;&gt;")=0,"",SUMIFS(BD!$L$3:$L$5001,BD!$A$3:$A$5001,U$3,BD!$B$3:$B$5001,$A$5)))</f>
        <v/>
      </c>
      <c r="V7" s="155" t="str">
        <f>IF(V$3="","",IF(COUNTIFS(BD!$A$3:$A$5001,V$3,BD!$B$3:$B$5001,$A$5,BD!$L$3:$L$5001,"&lt;&gt;")=0,"",SUMIFS(BD!$L$3:$L$5001,BD!$A$3:$A$5001,V$3,BD!$B$3:$B$5001,$A$5)))</f>
        <v/>
      </c>
      <c r="W7" s="155" t="str">
        <f>IF(W$3="","",IF(COUNTIFS(BD!$A$3:$A$5001,W$3,BD!$B$3:$B$5001,$A$5,BD!$L$3:$L$5001,"&lt;&gt;")=0,"",SUMIFS(BD!$L$3:$L$5001,BD!$A$3:$A$5001,W$3,BD!$B$3:$B$5001,$A$5)))</f>
        <v/>
      </c>
      <c r="X7" s="155" t="str">
        <f>IF(X$3="","",IF(COUNTIFS(BD!$A$3:$A$5001,X$3,BD!$B$3:$B$5001,$A$5,BD!$L$3:$L$5001,"&lt;&gt;")=0,"",SUMIFS(BD!$L$3:$L$5001,BD!$A$3:$A$5001,X$3,BD!$B$3:$B$5001,$A$5)))</f>
        <v/>
      </c>
      <c r="Y7" s="155" t="str">
        <f>IF(Y$3="","",IF(COUNTIFS(BD!$A$3:$A$5001,Y$3,BD!$B$3:$B$5001,$A$5,BD!$L$3:$L$5001,"&lt;&gt;")=0,"",SUMIFS(BD!$L$3:$L$5001,BD!$A$3:$A$5001,Y$3,BD!$B$3:$B$5001,$A$5)))</f>
        <v/>
      </c>
      <c r="Z7" s="155" t="str">
        <f>IF(Z$3="","",IF(COUNTIFS(BD!$A$3:$A$5001,Z$3,BD!$B$3:$B$5001,$A$5,BD!$L$3:$L$5001,"&lt;&gt;")=0,"",SUMIFS(BD!$L$3:$L$5001,BD!$A$3:$A$5001,Z$3,BD!$B$3:$B$5001,$A$5)))</f>
        <v/>
      </c>
      <c r="AA7" s="155" t="str">
        <f>IF(AA$3="","",IF(COUNTIFS(BD!$A$3:$A$5001,AA$3,BD!$B$3:$B$5001,$A$5,BD!$L$3:$L$5001,"&lt;&gt;")=0,"",SUMIFS(BD!$L$3:$L$5001,BD!$A$3:$A$5001,AA$3,BD!$B$3:$B$5001,$A$5)))</f>
        <v/>
      </c>
      <c r="AB7" s="155" t="str">
        <f>IF(AB$3="","",IF(COUNTIFS(BD!$A$3:$A$5001,AB$3,BD!$B$3:$B$5001,$A$5,BD!$L$3:$L$5001,"&lt;&gt;")=0,"",SUMIFS(BD!$L$3:$L$5001,BD!$A$3:$A$5001,AB$3,BD!$B$3:$B$5001,$A$5)))</f>
        <v/>
      </c>
      <c r="AC7" s="155" t="str">
        <f>IF(AC$3="","",IF(COUNTIFS(BD!$A$3:$A$5001,AC$3,BD!$B$3:$B$5001,$A$5,BD!$L$3:$L$5001,"&lt;&gt;")=0,"",SUMIFS(BD!$L$3:$L$5001,BD!$A$3:$A$5001,AC$3,BD!$B$3:$B$5001,$A$5)))</f>
        <v/>
      </c>
      <c r="AD7" s="155" t="str">
        <f>IF(AD$3="","",IF(COUNTIFS(BD!$A$3:$A$5001,AD$3,BD!$B$3:$B$5001,$A$5,BD!$L$3:$L$5001,"&lt;&gt;")=0,"",SUMIFS(BD!$L$3:$L$5001,BD!$A$3:$A$5001,AD$3,BD!$B$3:$B$5001,$A$5)))</f>
        <v/>
      </c>
      <c r="AE7" s="155" t="str">
        <f>IF(AE$3="","",IF(COUNTIFS(BD!$A$3:$A$5001,AE$3,BD!$B$3:$B$5001,$A$5,BD!$L$3:$L$5001,"&lt;&gt;")=0,"",SUMIFS(BD!$L$3:$L$5001,BD!$A$3:$A$5001,AE$3,BD!$B$3:$B$5001,$A$5)))</f>
        <v/>
      </c>
      <c r="AF7" s="155" t="str">
        <f>IF(AF$3="","",IF(COUNTIFS(BD!$A$3:$A$5001,AF$3,BD!$B$3:$B$5001,$A$5,BD!$L$3:$L$5001,"&lt;&gt;")=0,"",SUMIFS(BD!$L$3:$L$5001,BD!$A$3:$A$5001,AF$3,BD!$B$3:$B$5001,$A$5)))</f>
        <v/>
      </c>
      <c r="AG7" s="155" t="str">
        <f>IF(AG$3="","",IF(COUNTIFS(BD!$A$3:$A$5001,AG$3,BD!$B$3:$B$5001,$A$5,BD!$L$3:$L$5001,"&lt;&gt;")=0,"",SUMIFS(BD!$L$3:$L$5001,BD!$A$3:$A$5001,AG$3,BD!$B$3:$B$5001,$A$5)))</f>
        <v/>
      </c>
      <c r="AH7" s="155" t="str">
        <f>IF(AH$3="","",IF(COUNTIFS(BD!$A$3:$A$5001,AH$3,BD!$B$3:$B$5001,$A$5,BD!$L$3:$L$5001,"&lt;&gt;")=0,"",SUMIFS(BD!$L$3:$L$5001,BD!$A$3:$A$5001,AH$3,BD!$B$3:$B$5001,$A$5)))</f>
        <v/>
      </c>
      <c r="AI7" s="155" t="str">
        <f>IF(AI$3="","",IF(COUNTIFS(BD!$A$3:$A$5001,AI$3,BD!$B$3:$B$5001,$A$5,BD!$L$3:$L$5001,"&lt;&gt;")=0,"",SUMIFS(BD!$L$3:$L$5001,BD!$A$3:$A$5001,AI$3,BD!$B$3:$B$5001,$A$5)))</f>
        <v/>
      </c>
      <c r="AJ7" s="156" t="str">
        <f>IF(AJ$3="","",IF(COUNTIFS(BD!$A$3:$A$5001,AJ$3,BD!$B$3:$B$5001,$A$5,BD!$L$3:$L$5001,"&lt;&gt;")=0,"",SUMIFS(BD!$L$3:$L$5001,BD!$A$3:$A$5001,AJ$3,BD!$B$3:$B$5001,$A$5)))</f>
        <v/>
      </c>
      <c r="AK7" s="157" t="str">
        <f>IF(COUNT(F7:AJ7)=0,"",SUM(F7:AJ7))</f>
        <v/>
      </c>
    </row>
    <row r="8" ht="15.75" customHeight="1">
      <c r="A8" s="227"/>
      <c r="B8" s="218"/>
      <c r="C8" s="158" t="inlineStr">
        <is>
          <t xml:space="preserve">Caixas Expedidas</t>
        </is>
      </c>
      <c r="D8" s="159" t="str">
        <f>IFERROR(1/(1/INDEX(BD!$AK$38:$AT$38,MATCH($A$5,BD!$AK$22:$AT$22,0))),"")</f>
        <v/>
      </c>
      <c r="E8" s="160"/>
      <c r="F8" s="161" t="str">
        <f>IF(F$3="","",IF(COUNTIFS(BD!$A$3:$A$5001,F$3,BD!$B$3:$B$5001,$A$5,BD!$R$3:$R$5001,"&lt;&gt;")=0,"",SUMIFS(BD!$R$3:$R$5001,BD!$A$3:$A$5001,F$3,BD!$B$3:$B$5001,$A$5)))</f>
        <v/>
      </c>
      <c r="G8" s="162" t="str">
        <f>IF(G$3="","",IF(COUNTIFS(BD!$A$3:$A$5001,G$3,BD!$B$3:$B$5001,$A$5,BD!$R$3:$R$5001,"&lt;&gt;")=0,"",SUMIFS(BD!$R$3:$R$5001,BD!$A$3:$A$5001,G$3,BD!$B$3:$B$5001,$A$5)))</f>
        <v/>
      </c>
      <c r="H8" s="162" t="str">
        <f>IF(H$3="","",IF(COUNTIFS(BD!$A$3:$A$5001,H$3,BD!$B$3:$B$5001,$A$5,BD!$R$3:$R$5001,"&lt;&gt;")=0,"",SUMIFS(BD!$R$3:$R$5001,BD!$A$3:$A$5001,H$3,BD!$B$3:$B$5001,$A$5)))</f>
        <v/>
      </c>
      <c r="I8" s="162" t="str">
        <f>IF(I$3="","",IF(COUNTIFS(BD!$A$3:$A$5001,I$3,BD!$B$3:$B$5001,$A$5,BD!$R$3:$R$5001,"&lt;&gt;")=0,"",SUMIFS(BD!$R$3:$R$5001,BD!$A$3:$A$5001,I$3,BD!$B$3:$B$5001,$A$5)))</f>
        <v/>
      </c>
      <c r="J8" s="162" t="str">
        <f>IF(J$3="","",IF(COUNTIFS(BD!$A$3:$A$5001,J$3,BD!$B$3:$B$5001,$A$5,BD!$R$3:$R$5001,"&lt;&gt;")=0,"",SUMIFS(BD!$R$3:$R$5001,BD!$A$3:$A$5001,J$3,BD!$B$3:$B$5001,$A$5)))</f>
        <v/>
      </c>
      <c r="K8" s="162" t="str">
        <f>IF(K$3="","",IF(COUNTIFS(BD!$A$3:$A$5001,K$3,BD!$B$3:$B$5001,$A$5,BD!$R$3:$R$5001,"&lt;&gt;")=0,"",SUMIFS(BD!$R$3:$R$5001,BD!$A$3:$A$5001,K$3,BD!$B$3:$B$5001,$A$5)))</f>
        <v/>
      </c>
      <c r="L8" s="162" t="str">
        <f>IF(L$3="","",IF(COUNTIFS(BD!$A$3:$A$5001,L$3,BD!$B$3:$B$5001,$A$5,BD!$R$3:$R$5001,"&lt;&gt;")=0,"",SUMIFS(BD!$R$3:$R$5001,BD!$A$3:$A$5001,L$3,BD!$B$3:$B$5001,$A$5)))</f>
        <v/>
      </c>
      <c r="M8" s="162" t="str">
        <f>IF(M$3="","",IF(COUNTIFS(BD!$A$3:$A$5001,M$3,BD!$B$3:$B$5001,$A$5,BD!$R$3:$R$5001,"&lt;&gt;")=0,"",SUMIFS(BD!$R$3:$R$5001,BD!$A$3:$A$5001,M$3,BD!$B$3:$B$5001,$A$5)))</f>
        <v/>
      </c>
      <c r="N8" s="162" t="str">
        <f>IF(N$3="","",IF(COUNTIFS(BD!$A$3:$A$5001,N$3,BD!$B$3:$B$5001,$A$5,BD!$R$3:$R$5001,"&lt;&gt;")=0,"",SUMIFS(BD!$R$3:$R$5001,BD!$A$3:$A$5001,N$3,BD!$B$3:$B$5001,$A$5)))</f>
        <v/>
      </c>
      <c r="O8" s="162" t="str">
        <f>IF(O$3="","",IF(COUNTIFS(BD!$A$3:$A$5001,O$3,BD!$B$3:$B$5001,$A$5,BD!$R$3:$R$5001,"&lt;&gt;")=0,"",SUMIFS(BD!$R$3:$R$5001,BD!$A$3:$A$5001,O$3,BD!$B$3:$B$5001,$A$5)))</f>
        <v/>
      </c>
      <c r="P8" s="162" t="str">
        <f>IF(P$3="","",IF(COUNTIFS(BD!$A$3:$A$5001,P$3,BD!$B$3:$B$5001,$A$5,BD!$R$3:$R$5001,"&lt;&gt;")=0,"",SUMIFS(BD!$R$3:$R$5001,BD!$A$3:$A$5001,P$3,BD!$B$3:$B$5001,$A$5)))</f>
        <v/>
      </c>
      <c r="Q8" s="162" t="str">
        <f>IF(Q$3="","",IF(COUNTIFS(BD!$A$3:$A$5001,Q$3,BD!$B$3:$B$5001,$A$5,BD!$R$3:$R$5001,"&lt;&gt;")=0,"",SUMIFS(BD!$R$3:$R$5001,BD!$A$3:$A$5001,Q$3,BD!$B$3:$B$5001,$A$5)))</f>
        <v/>
      </c>
      <c r="R8" s="162" t="str">
        <f>IF(R$3="","",IF(COUNTIFS(BD!$A$3:$A$5001,R$3,BD!$B$3:$B$5001,$A$5,BD!$R$3:$R$5001,"&lt;&gt;")=0,"",SUMIFS(BD!$R$3:$R$5001,BD!$A$3:$A$5001,R$3,BD!$B$3:$B$5001,$A$5)))</f>
        <v/>
      </c>
      <c r="S8" s="162" t="str">
        <f>IF(S$3="","",IF(COUNTIFS(BD!$A$3:$A$5001,S$3,BD!$B$3:$B$5001,$A$5,BD!$R$3:$R$5001,"&lt;&gt;")=0,"",SUMIFS(BD!$R$3:$R$5001,BD!$A$3:$A$5001,S$3,BD!$B$3:$B$5001,$A$5)))</f>
        <v/>
      </c>
      <c r="T8" s="162" t="str">
        <f>IF(T$3="","",IF(COUNTIFS(BD!$A$3:$A$5001,T$3,BD!$B$3:$B$5001,$A$5,BD!$R$3:$R$5001,"&lt;&gt;")=0,"",SUMIFS(BD!$R$3:$R$5001,BD!$A$3:$A$5001,T$3,BD!$B$3:$B$5001,$A$5)))</f>
        <v/>
      </c>
      <c r="U8" s="162" t="str">
        <f>IF(U$3="","",IF(COUNTIFS(BD!$A$3:$A$5001,U$3,BD!$B$3:$B$5001,$A$5,BD!$R$3:$R$5001,"&lt;&gt;")=0,"",SUMIFS(BD!$R$3:$R$5001,BD!$A$3:$A$5001,U$3,BD!$B$3:$B$5001,$A$5)))</f>
        <v/>
      </c>
      <c r="V8" s="162" t="str">
        <f>IF(V$3="","",IF(COUNTIFS(BD!$A$3:$A$5001,V$3,BD!$B$3:$B$5001,$A$5,BD!$R$3:$R$5001,"&lt;&gt;")=0,"",SUMIFS(BD!$R$3:$R$5001,BD!$A$3:$A$5001,V$3,BD!$B$3:$B$5001,$A$5)))</f>
        <v/>
      </c>
      <c r="W8" s="162" t="str">
        <f>IF(W$3="","",IF(COUNTIFS(BD!$A$3:$A$5001,W$3,BD!$B$3:$B$5001,$A$5,BD!$R$3:$R$5001,"&lt;&gt;")=0,"",SUMIFS(BD!$R$3:$R$5001,BD!$A$3:$A$5001,W$3,BD!$B$3:$B$5001,$A$5)))</f>
        <v/>
      </c>
      <c r="X8" s="162" t="str">
        <f>IF(X$3="","",IF(COUNTIFS(BD!$A$3:$A$5001,X$3,BD!$B$3:$B$5001,$A$5,BD!$R$3:$R$5001,"&lt;&gt;")=0,"",SUMIFS(BD!$R$3:$R$5001,BD!$A$3:$A$5001,X$3,BD!$B$3:$B$5001,$A$5)))</f>
        <v/>
      </c>
      <c r="Y8" s="162" t="str">
        <f>IF(Y$3="","",IF(COUNTIFS(BD!$A$3:$A$5001,Y$3,BD!$B$3:$B$5001,$A$5,BD!$R$3:$R$5001,"&lt;&gt;")=0,"",SUMIFS(BD!$R$3:$R$5001,BD!$A$3:$A$5001,Y$3,BD!$B$3:$B$5001,$A$5)))</f>
        <v/>
      </c>
      <c r="Z8" s="162" t="str">
        <f>IF(Z$3="","",IF(COUNTIFS(BD!$A$3:$A$5001,Z$3,BD!$B$3:$B$5001,$A$5,BD!$R$3:$R$5001,"&lt;&gt;")=0,"",SUMIFS(BD!$R$3:$R$5001,BD!$A$3:$A$5001,Z$3,BD!$B$3:$B$5001,$A$5)))</f>
        <v/>
      </c>
      <c r="AA8" s="162" t="str">
        <f>IF(AA$3="","",IF(COUNTIFS(BD!$A$3:$A$5001,AA$3,BD!$B$3:$B$5001,$A$5,BD!$R$3:$R$5001,"&lt;&gt;")=0,"",SUMIFS(BD!$R$3:$R$5001,BD!$A$3:$A$5001,AA$3,BD!$B$3:$B$5001,$A$5)))</f>
        <v/>
      </c>
      <c r="AB8" s="162" t="str">
        <f>IF(AB$3="","",IF(COUNTIFS(BD!$A$3:$A$5001,AB$3,BD!$B$3:$B$5001,$A$5,BD!$R$3:$R$5001,"&lt;&gt;")=0,"",SUMIFS(BD!$R$3:$R$5001,BD!$A$3:$A$5001,AB$3,BD!$B$3:$B$5001,$A$5)))</f>
        <v/>
      </c>
      <c r="AC8" s="162" t="str">
        <f>IF(AC$3="","",IF(COUNTIFS(BD!$A$3:$A$5001,AC$3,BD!$B$3:$B$5001,$A$5,BD!$R$3:$R$5001,"&lt;&gt;")=0,"",SUMIFS(BD!$R$3:$R$5001,BD!$A$3:$A$5001,AC$3,BD!$B$3:$B$5001,$A$5)))</f>
        <v/>
      </c>
      <c r="AD8" s="162" t="str">
        <f>IF(AD$3="","",IF(COUNTIFS(BD!$A$3:$A$5001,AD$3,BD!$B$3:$B$5001,$A$5,BD!$R$3:$R$5001,"&lt;&gt;")=0,"",SUMIFS(BD!$R$3:$R$5001,BD!$A$3:$A$5001,AD$3,BD!$B$3:$B$5001,$A$5)))</f>
        <v/>
      </c>
      <c r="AE8" s="162" t="str">
        <f>IF(AE$3="","",IF(COUNTIFS(BD!$A$3:$A$5001,AE$3,BD!$B$3:$B$5001,$A$5,BD!$R$3:$R$5001,"&lt;&gt;")=0,"",SUMIFS(BD!$R$3:$R$5001,BD!$A$3:$A$5001,AE$3,BD!$B$3:$B$5001,$A$5)))</f>
        <v/>
      </c>
      <c r="AF8" s="162" t="str">
        <f>IF(AF$3="","",IF(COUNTIFS(BD!$A$3:$A$5001,AF$3,BD!$B$3:$B$5001,$A$5,BD!$R$3:$R$5001,"&lt;&gt;")=0,"",SUMIFS(BD!$R$3:$R$5001,BD!$A$3:$A$5001,AF$3,BD!$B$3:$B$5001,$A$5)))</f>
        <v/>
      </c>
      <c r="AG8" s="162" t="str">
        <f>IF(AG$3="","",IF(COUNTIFS(BD!$A$3:$A$5001,AG$3,BD!$B$3:$B$5001,$A$5,BD!$R$3:$R$5001,"&lt;&gt;")=0,"",SUMIFS(BD!$R$3:$R$5001,BD!$A$3:$A$5001,AG$3,BD!$B$3:$B$5001,$A$5)))</f>
        <v/>
      </c>
      <c r="AH8" s="162" t="str">
        <f>IF(AH$3="","",IF(COUNTIFS(BD!$A$3:$A$5001,AH$3,BD!$B$3:$B$5001,$A$5,BD!$R$3:$R$5001,"&lt;&gt;")=0,"",SUMIFS(BD!$R$3:$R$5001,BD!$A$3:$A$5001,AH$3,BD!$B$3:$B$5001,$A$5)))</f>
        <v/>
      </c>
      <c r="AI8" s="162" t="str">
        <f>IF(AI$3="","",IF(COUNTIFS(BD!$A$3:$A$5001,AI$3,BD!$B$3:$B$5001,$A$5,BD!$R$3:$R$5001,"&lt;&gt;")=0,"",SUMIFS(BD!$R$3:$R$5001,BD!$A$3:$A$5001,AI$3,BD!$B$3:$B$5001,$A$5)))</f>
        <v/>
      </c>
      <c r="AJ8" s="163" t="str">
        <f>IF(AJ$3="","",IF(COUNTIFS(BD!$A$3:$A$5001,AJ$3,BD!$B$3:$B$5001,$A$5,BD!$R$3:$R$5001,"&lt;&gt;")=0,"",SUMIFS(BD!$R$3:$R$5001,BD!$A$3:$A$5001,AJ$3,BD!$B$3:$B$5001,$A$5)))</f>
        <v/>
      </c>
      <c r="AK8" s="159" t="str">
        <f>IF(COUNT(F8:AJ8)=0,"",SUM(F8:AJ8))</f>
        <v/>
      </c>
    </row>
    <row r="9" ht="15.75" customHeight="1">
      <c r="A9" s="227"/>
      <c r="B9" s="219" t="inlineStr">
        <is>
          <t xml:space="preserve">NC</t>
        </is>
      </c>
      <c r="C9" s="164" t="inlineStr">
        <is>
          <t xml:space="preserve">Incidentes</t>
        </is>
      </c>
      <c r="D9" s="165" t="str">
        <f>IFERROR(1/(1/INDEX(BD!$AK$41:$AT$41,MATCH($A$5,BD!$AK$22:$AT$22,0))),"")</f>
        <v/>
      </c>
      <c r="E9" s="166"/>
      <c r="F9" s="167" t="str">
        <f>IF(F$3="","",IF(COUNTIFS(BD!$A$3:$A$5001,F$3,BD!$B$3:$B$5001,$A$5,BD!$U$3:$U$5001,"&lt;&gt;")=0,"",SUMIFS(BD!$U$3:$U$5001,BD!$A$3:$A$5001,F$3,BD!$B$3:$B$5001,$A$5)))</f>
        <v/>
      </c>
      <c r="G9" s="168" t="str">
        <f>IF(G$3="","",IF(COUNTIFS(BD!$A$3:$A$5001,G$3,BD!$B$3:$B$5001,$A$5,BD!$U$3:$U$5001,"&lt;&gt;")=0,"",SUMIFS(BD!$U$3:$U$5001,BD!$A$3:$A$5001,G$3,BD!$B$3:$B$5001,$A$5)))</f>
        <v/>
      </c>
      <c r="H9" s="168" t="str">
        <f>IF(H$3="","",IF(COUNTIFS(BD!$A$3:$A$5001,H$3,BD!$B$3:$B$5001,$A$5,BD!$U$3:$U$5001,"&lt;&gt;")=0,"",SUMIFS(BD!$U$3:$U$5001,BD!$A$3:$A$5001,H$3,BD!$B$3:$B$5001,$A$5)))</f>
        <v/>
      </c>
      <c r="I9" s="168" t="str">
        <f>IF(I$3="","",IF(COUNTIFS(BD!$A$3:$A$5001,I$3,BD!$B$3:$B$5001,$A$5,BD!$U$3:$U$5001,"&lt;&gt;")=0,"",SUMIFS(BD!$U$3:$U$5001,BD!$A$3:$A$5001,I$3,BD!$B$3:$B$5001,$A$5)))</f>
        <v/>
      </c>
      <c r="J9" s="168" t="str">
        <f>IF(J$3="","",IF(COUNTIFS(BD!$A$3:$A$5001,J$3,BD!$B$3:$B$5001,$A$5,BD!$U$3:$U$5001,"&lt;&gt;")=0,"",SUMIFS(BD!$U$3:$U$5001,BD!$A$3:$A$5001,J$3,BD!$B$3:$B$5001,$A$5)))</f>
        <v/>
      </c>
      <c r="K9" s="168" t="str">
        <f>IF(K$3="","",IF(COUNTIFS(BD!$A$3:$A$5001,K$3,BD!$B$3:$B$5001,$A$5,BD!$U$3:$U$5001,"&lt;&gt;")=0,"",SUMIFS(BD!$U$3:$U$5001,BD!$A$3:$A$5001,K$3,BD!$B$3:$B$5001,$A$5)))</f>
        <v/>
      </c>
      <c r="L9" s="168" t="str">
        <f>IF(L$3="","",IF(COUNTIFS(BD!$A$3:$A$5001,L$3,BD!$B$3:$B$5001,$A$5,BD!$U$3:$U$5001,"&lt;&gt;")=0,"",SUMIFS(BD!$U$3:$U$5001,BD!$A$3:$A$5001,L$3,BD!$B$3:$B$5001,$A$5)))</f>
        <v/>
      </c>
      <c r="M9" s="168" t="str">
        <f>IF(M$3="","",IF(COUNTIFS(BD!$A$3:$A$5001,M$3,BD!$B$3:$B$5001,$A$5,BD!$U$3:$U$5001,"&lt;&gt;")=0,"",SUMIFS(BD!$U$3:$U$5001,BD!$A$3:$A$5001,M$3,BD!$B$3:$B$5001,$A$5)))</f>
        <v/>
      </c>
      <c r="N9" s="168" t="str">
        <f>IF(N$3="","",IF(COUNTIFS(BD!$A$3:$A$5001,N$3,BD!$B$3:$B$5001,$A$5,BD!$U$3:$U$5001,"&lt;&gt;")=0,"",SUMIFS(BD!$U$3:$U$5001,BD!$A$3:$A$5001,N$3,BD!$B$3:$B$5001,$A$5)))</f>
        <v/>
      </c>
      <c r="O9" s="168" t="str">
        <f>IF(O$3="","",IF(COUNTIFS(BD!$A$3:$A$5001,O$3,BD!$B$3:$B$5001,$A$5,BD!$U$3:$U$5001,"&lt;&gt;")=0,"",SUMIFS(BD!$U$3:$U$5001,BD!$A$3:$A$5001,O$3,BD!$B$3:$B$5001,$A$5)))</f>
        <v/>
      </c>
      <c r="P9" s="168" t="str">
        <f>IF(P$3="","",IF(COUNTIFS(BD!$A$3:$A$5001,P$3,BD!$B$3:$B$5001,$A$5,BD!$U$3:$U$5001,"&lt;&gt;")=0,"",SUMIFS(BD!$U$3:$U$5001,BD!$A$3:$A$5001,P$3,BD!$B$3:$B$5001,$A$5)))</f>
        <v/>
      </c>
      <c r="Q9" s="168" t="str">
        <f>IF(Q$3="","",IF(COUNTIFS(BD!$A$3:$A$5001,Q$3,BD!$B$3:$B$5001,$A$5,BD!$U$3:$U$5001,"&lt;&gt;")=0,"",SUMIFS(BD!$U$3:$U$5001,BD!$A$3:$A$5001,Q$3,BD!$B$3:$B$5001,$A$5)))</f>
        <v/>
      </c>
      <c r="R9" s="168" t="str">
        <f>IF(R$3="","",IF(COUNTIFS(BD!$A$3:$A$5001,R$3,BD!$B$3:$B$5001,$A$5,BD!$U$3:$U$5001,"&lt;&gt;")=0,"",SUMIFS(BD!$U$3:$U$5001,BD!$A$3:$A$5001,R$3,BD!$B$3:$B$5001,$A$5)))</f>
        <v/>
      </c>
      <c r="S9" s="168" t="str">
        <f>IF(S$3="","",IF(COUNTIFS(BD!$A$3:$A$5001,S$3,BD!$B$3:$B$5001,$A$5,BD!$U$3:$U$5001,"&lt;&gt;")=0,"",SUMIFS(BD!$U$3:$U$5001,BD!$A$3:$A$5001,S$3,BD!$B$3:$B$5001,$A$5)))</f>
        <v/>
      </c>
      <c r="T9" s="168" t="str">
        <f>IF(T$3="","",IF(COUNTIFS(BD!$A$3:$A$5001,T$3,BD!$B$3:$B$5001,$A$5,BD!$U$3:$U$5001,"&lt;&gt;")=0,"",SUMIFS(BD!$U$3:$U$5001,BD!$A$3:$A$5001,T$3,BD!$B$3:$B$5001,$A$5)))</f>
        <v/>
      </c>
      <c r="U9" s="168" t="str">
        <f>IF(U$3="","",IF(COUNTIFS(BD!$A$3:$A$5001,U$3,BD!$B$3:$B$5001,$A$5,BD!$U$3:$U$5001,"&lt;&gt;")=0,"",SUMIFS(BD!$U$3:$U$5001,BD!$A$3:$A$5001,U$3,BD!$B$3:$B$5001,$A$5)))</f>
        <v/>
      </c>
      <c r="V9" s="168" t="str">
        <f>IF(V$3="","",IF(COUNTIFS(BD!$A$3:$A$5001,V$3,BD!$B$3:$B$5001,$A$5,BD!$U$3:$U$5001,"&lt;&gt;")=0,"",SUMIFS(BD!$U$3:$U$5001,BD!$A$3:$A$5001,V$3,BD!$B$3:$B$5001,$A$5)))</f>
        <v/>
      </c>
      <c r="W9" s="168" t="str">
        <f>IF(W$3="","",IF(COUNTIFS(BD!$A$3:$A$5001,W$3,BD!$B$3:$B$5001,$A$5,BD!$U$3:$U$5001,"&lt;&gt;")=0,"",SUMIFS(BD!$U$3:$U$5001,BD!$A$3:$A$5001,W$3,BD!$B$3:$B$5001,$A$5)))</f>
        <v/>
      </c>
      <c r="X9" s="168" t="str">
        <f>IF(X$3="","",IF(COUNTIFS(BD!$A$3:$A$5001,X$3,BD!$B$3:$B$5001,$A$5,BD!$U$3:$U$5001,"&lt;&gt;")=0,"",SUMIFS(BD!$U$3:$U$5001,BD!$A$3:$A$5001,X$3,BD!$B$3:$B$5001,$A$5)))</f>
        <v/>
      </c>
      <c r="Y9" s="168" t="str">
        <f>IF(Y$3="","",IF(COUNTIFS(BD!$A$3:$A$5001,Y$3,BD!$B$3:$B$5001,$A$5,BD!$U$3:$U$5001,"&lt;&gt;")=0,"",SUMIFS(BD!$U$3:$U$5001,BD!$A$3:$A$5001,Y$3,BD!$B$3:$B$5001,$A$5)))</f>
        <v/>
      </c>
      <c r="Z9" s="168" t="str">
        <f>IF(Z$3="","",IF(COUNTIFS(BD!$A$3:$A$5001,Z$3,BD!$B$3:$B$5001,$A$5,BD!$U$3:$U$5001,"&lt;&gt;")=0,"",SUMIFS(BD!$U$3:$U$5001,BD!$A$3:$A$5001,Z$3,BD!$B$3:$B$5001,$A$5)))</f>
        <v/>
      </c>
      <c r="AA9" s="168" t="str">
        <f>IF(AA$3="","",IF(COUNTIFS(BD!$A$3:$A$5001,AA$3,BD!$B$3:$B$5001,$A$5,BD!$U$3:$U$5001,"&lt;&gt;")=0,"",SUMIFS(BD!$U$3:$U$5001,BD!$A$3:$A$5001,AA$3,BD!$B$3:$B$5001,$A$5)))</f>
        <v/>
      </c>
      <c r="AB9" s="168" t="str">
        <f>IF(AB$3="","",IF(COUNTIFS(BD!$A$3:$A$5001,AB$3,BD!$B$3:$B$5001,$A$5,BD!$U$3:$U$5001,"&lt;&gt;")=0,"",SUMIFS(BD!$U$3:$U$5001,BD!$A$3:$A$5001,AB$3,BD!$B$3:$B$5001,$A$5)))</f>
        <v/>
      </c>
      <c r="AC9" s="168" t="str">
        <f>IF(AC$3="","",IF(COUNTIFS(BD!$A$3:$A$5001,AC$3,BD!$B$3:$B$5001,$A$5,BD!$U$3:$U$5001,"&lt;&gt;")=0,"",SUMIFS(BD!$U$3:$U$5001,BD!$A$3:$A$5001,AC$3,BD!$B$3:$B$5001,$A$5)))</f>
        <v/>
      </c>
      <c r="AD9" s="168" t="str">
        <f>IF(AD$3="","",IF(COUNTIFS(BD!$A$3:$A$5001,AD$3,BD!$B$3:$B$5001,$A$5,BD!$U$3:$U$5001,"&lt;&gt;")=0,"",SUMIFS(BD!$U$3:$U$5001,BD!$A$3:$A$5001,AD$3,BD!$B$3:$B$5001,$A$5)))</f>
        <v/>
      </c>
      <c r="AE9" s="168" t="str">
        <f>IF(AE$3="","",IF(COUNTIFS(BD!$A$3:$A$5001,AE$3,BD!$B$3:$B$5001,$A$5,BD!$U$3:$U$5001,"&lt;&gt;")=0,"",SUMIFS(BD!$U$3:$U$5001,BD!$A$3:$A$5001,AE$3,BD!$B$3:$B$5001,$A$5)))</f>
        <v/>
      </c>
      <c r="AF9" s="168" t="str">
        <f>IF(AF$3="","",IF(COUNTIFS(BD!$A$3:$A$5001,AF$3,BD!$B$3:$B$5001,$A$5,BD!$U$3:$U$5001,"&lt;&gt;")=0,"",SUMIFS(BD!$U$3:$U$5001,BD!$A$3:$A$5001,AF$3,BD!$B$3:$B$5001,$A$5)))</f>
        <v/>
      </c>
      <c r="AG9" s="168" t="str">
        <f>IF(AG$3="","",IF(COUNTIFS(BD!$A$3:$A$5001,AG$3,BD!$B$3:$B$5001,$A$5,BD!$U$3:$U$5001,"&lt;&gt;")=0,"",SUMIFS(BD!$U$3:$U$5001,BD!$A$3:$A$5001,AG$3,BD!$B$3:$B$5001,$A$5)))</f>
        <v/>
      </c>
      <c r="AH9" s="168" t="str">
        <f>IF(AH$3="","",IF(COUNTIFS(BD!$A$3:$A$5001,AH$3,BD!$B$3:$B$5001,$A$5,BD!$U$3:$U$5001,"&lt;&gt;")=0,"",SUMIFS(BD!$U$3:$U$5001,BD!$A$3:$A$5001,AH$3,BD!$B$3:$B$5001,$A$5)))</f>
        <v/>
      </c>
      <c r="AI9" s="168" t="str">
        <f>IF(AI$3="","",IF(COUNTIFS(BD!$A$3:$A$5001,AI$3,BD!$B$3:$B$5001,$A$5,BD!$U$3:$U$5001,"&lt;&gt;")=0,"",SUMIFS(BD!$U$3:$U$5001,BD!$A$3:$A$5001,AI$3,BD!$B$3:$B$5001,$A$5)))</f>
        <v/>
      </c>
      <c r="AJ9" s="169" t="str">
        <f>IF(AJ$3="","",IF(COUNTIFS(BD!$A$3:$A$5001,AJ$3,BD!$B$3:$B$5001,$A$5,BD!$U$3:$U$5001,"&lt;&gt;")=0,"",SUMIFS(BD!$U$3:$U$5001,BD!$A$3:$A$5001,AJ$3,BD!$B$3:$B$5001,$A$5)))</f>
        <v/>
      </c>
      <c r="AK9" s="170" t="str">
        <f>IF(COUNT(F9:AJ9)=0,"",SUM(F9:AJ9))</f>
        <v/>
      </c>
    </row>
    <row r="10" ht="15.75" customHeight="1">
      <c r="A10" s="227"/>
      <c r="B10" s="220"/>
      <c r="C10" s="171" t="inlineStr">
        <is>
          <t xml:space="preserve">No show</t>
        </is>
      </c>
      <c r="D10" s="172" t="str">
        <f>IFERROR(1/(1/INDEX(BD!$AK$42:$AT$42,MATCH($A$5,BD!$AK$22:$AT$22,0))),"")</f>
        <v/>
      </c>
      <c r="E10" s="173"/>
      <c r="F10" s="174" t="str">
        <f>IF(F$3="","",IF(COUNTIFS(BD!$A$3:$A$5001,F$3,BD!$B$3:$B$5001,$A$5,BD!$V$3:$V$5001,"&lt;&gt;")=0,"",SUMIFS(BD!$V$3:$V$5001,BD!$A$3:$A$5001,F$3,BD!$B$3:$B$5001,$A$5)))</f>
        <v/>
      </c>
      <c r="G10" s="175" t="str">
        <f>IF(G$3="","",IF(COUNTIFS(BD!$A$3:$A$5001,G$3,BD!$B$3:$B$5001,$A$5,BD!$V$3:$V$5001,"&lt;&gt;")=0,"",SUMIFS(BD!$V$3:$V$5001,BD!$A$3:$A$5001,G$3,BD!$B$3:$B$5001,$A$5)))</f>
        <v/>
      </c>
      <c r="H10" s="175" t="str">
        <f>IF(H$3="","",IF(COUNTIFS(BD!$A$3:$A$5001,H$3,BD!$B$3:$B$5001,$A$5,BD!$V$3:$V$5001,"&lt;&gt;")=0,"",SUMIFS(BD!$V$3:$V$5001,BD!$A$3:$A$5001,H$3,BD!$B$3:$B$5001,$A$5)))</f>
        <v/>
      </c>
      <c r="I10" s="175" t="str">
        <f>IF(I$3="","",IF(COUNTIFS(BD!$A$3:$A$5001,I$3,BD!$B$3:$B$5001,$A$5,BD!$V$3:$V$5001,"&lt;&gt;")=0,"",SUMIFS(BD!$V$3:$V$5001,BD!$A$3:$A$5001,I$3,BD!$B$3:$B$5001,$A$5)))</f>
        <v/>
      </c>
      <c r="J10" s="175" t="str">
        <f>IF(J$3="","",IF(COUNTIFS(BD!$A$3:$A$5001,J$3,BD!$B$3:$B$5001,$A$5,BD!$V$3:$V$5001,"&lt;&gt;")=0,"",SUMIFS(BD!$V$3:$V$5001,BD!$A$3:$A$5001,J$3,BD!$B$3:$B$5001,$A$5)))</f>
        <v/>
      </c>
      <c r="K10" s="175" t="str">
        <f>IF(K$3="","",IF(COUNTIFS(BD!$A$3:$A$5001,K$3,BD!$B$3:$B$5001,$A$5,BD!$V$3:$V$5001,"&lt;&gt;")=0,"",SUMIFS(BD!$V$3:$V$5001,BD!$A$3:$A$5001,K$3,BD!$B$3:$B$5001,$A$5)))</f>
        <v/>
      </c>
      <c r="L10" s="175" t="str">
        <f>IF(L$3="","",IF(COUNTIFS(BD!$A$3:$A$5001,L$3,BD!$B$3:$B$5001,$A$5,BD!$V$3:$V$5001,"&lt;&gt;")=0,"",SUMIFS(BD!$V$3:$V$5001,BD!$A$3:$A$5001,L$3,BD!$B$3:$B$5001,$A$5)))</f>
        <v/>
      </c>
      <c r="M10" s="175" t="str">
        <f>IF(M$3="","",IF(COUNTIFS(BD!$A$3:$A$5001,M$3,BD!$B$3:$B$5001,$A$5,BD!$V$3:$V$5001,"&lt;&gt;")=0,"",SUMIFS(BD!$V$3:$V$5001,BD!$A$3:$A$5001,M$3,BD!$B$3:$B$5001,$A$5)))</f>
        <v/>
      </c>
      <c r="N10" s="175" t="str">
        <f>IF(N$3="","",IF(COUNTIFS(BD!$A$3:$A$5001,N$3,BD!$B$3:$B$5001,$A$5,BD!$V$3:$V$5001,"&lt;&gt;")=0,"",SUMIFS(BD!$V$3:$V$5001,BD!$A$3:$A$5001,N$3,BD!$B$3:$B$5001,$A$5)))</f>
        <v/>
      </c>
      <c r="O10" s="175" t="str">
        <f>IF(O$3="","",IF(COUNTIFS(BD!$A$3:$A$5001,O$3,BD!$B$3:$B$5001,$A$5,BD!$V$3:$V$5001,"&lt;&gt;")=0,"",SUMIFS(BD!$V$3:$V$5001,BD!$A$3:$A$5001,O$3,BD!$B$3:$B$5001,$A$5)))</f>
        <v/>
      </c>
      <c r="P10" s="175" t="str">
        <f>IF(P$3="","",IF(COUNTIFS(BD!$A$3:$A$5001,P$3,BD!$B$3:$B$5001,$A$5,BD!$V$3:$V$5001,"&lt;&gt;")=0,"",SUMIFS(BD!$V$3:$V$5001,BD!$A$3:$A$5001,P$3,BD!$B$3:$B$5001,$A$5)))</f>
        <v/>
      </c>
      <c r="Q10" s="175" t="str">
        <f>IF(Q$3="","",IF(COUNTIFS(BD!$A$3:$A$5001,Q$3,BD!$B$3:$B$5001,$A$5,BD!$V$3:$V$5001,"&lt;&gt;")=0,"",SUMIFS(BD!$V$3:$V$5001,BD!$A$3:$A$5001,Q$3,BD!$B$3:$B$5001,$A$5)))</f>
        <v/>
      </c>
      <c r="R10" s="175" t="str">
        <f>IF(R$3="","",IF(COUNTIFS(BD!$A$3:$A$5001,R$3,BD!$B$3:$B$5001,$A$5,BD!$V$3:$V$5001,"&lt;&gt;")=0,"",SUMIFS(BD!$V$3:$V$5001,BD!$A$3:$A$5001,R$3,BD!$B$3:$B$5001,$A$5)))</f>
        <v/>
      </c>
      <c r="S10" s="175" t="str">
        <f>IF(S$3="","",IF(COUNTIFS(BD!$A$3:$A$5001,S$3,BD!$B$3:$B$5001,$A$5,BD!$V$3:$V$5001,"&lt;&gt;")=0,"",SUMIFS(BD!$V$3:$V$5001,BD!$A$3:$A$5001,S$3,BD!$B$3:$B$5001,$A$5)))</f>
        <v/>
      </c>
      <c r="T10" s="175" t="str">
        <f>IF(T$3="","",IF(COUNTIFS(BD!$A$3:$A$5001,T$3,BD!$B$3:$B$5001,$A$5,BD!$V$3:$V$5001,"&lt;&gt;")=0,"",SUMIFS(BD!$V$3:$V$5001,BD!$A$3:$A$5001,T$3,BD!$B$3:$B$5001,$A$5)))</f>
        <v/>
      </c>
      <c r="U10" s="175" t="str">
        <f>IF(U$3="","",IF(COUNTIFS(BD!$A$3:$A$5001,U$3,BD!$B$3:$B$5001,$A$5,BD!$V$3:$V$5001,"&lt;&gt;")=0,"",SUMIFS(BD!$V$3:$V$5001,BD!$A$3:$A$5001,U$3,BD!$B$3:$B$5001,$A$5)))</f>
        <v/>
      </c>
      <c r="V10" s="175" t="str">
        <f>IF(V$3="","",IF(COUNTIFS(BD!$A$3:$A$5001,V$3,BD!$B$3:$B$5001,$A$5,BD!$V$3:$V$5001,"&lt;&gt;")=0,"",SUMIFS(BD!$V$3:$V$5001,BD!$A$3:$A$5001,V$3,BD!$B$3:$B$5001,$A$5)))</f>
        <v/>
      </c>
      <c r="W10" s="175" t="str">
        <f>IF(W$3="","",IF(COUNTIFS(BD!$A$3:$A$5001,W$3,BD!$B$3:$B$5001,$A$5,BD!$V$3:$V$5001,"&lt;&gt;")=0,"",SUMIFS(BD!$V$3:$V$5001,BD!$A$3:$A$5001,W$3,BD!$B$3:$B$5001,$A$5)))</f>
        <v/>
      </c>
      <c r="X10" s="175" t="str">
        <f>IF(X$3="","",IF(COUNTIFS(BD!$A$3:$A$5001,X$3,BD!$B$3:$B$5001,$A$5,BD!$V$3:$V$5001,"&lt;&gt;")=0,"",SUMIFS(BD!$V$3:$V$5001,BD!$A$3:$A$5001,X$3,BD!$B$3:$B$5001,$A$5)))</f>
        <v/>
      </c>
      <c r="Y10" s="175" t="str">
        <f>IF(Y$3="","",IF(COUNTIFS(BD!$A$3:$A$5001,Y$3,BD!$B$3:$B$5001,$A$5,BD!$V$3:$V$5001,"&lt;&gt;")=0,"",SUMIFS(BD!$V$3:$V$5001,BD!$A$3:$A$5001,Y$3,BD!$B$3:$B$5001,$A$5)))</f>
        <v/>
      </c>
      <c r="Z10" s="175" t="str">
        <f>IF(Z$3="","",IF(COUNTIFS(BD!$A$3:$A$5001,Z$3,BD!$B$3:$B$5001,$A$5,BD!$V$3:$V$5001,"&lt;&gt;")=0,"",SUMIFS(BD!$V$3:$V$5001,BD!$A$3:$A$5001,Z$3,BD!$B$3:$B$5001,$A$5)))</f>
        <v/>
      </c>
      <c r="AA10" s="175" t="str">
        <f>IF(AA$3="","",IF(COUNTIFS(BD!$A$3:$A$5001,AA$3,BD!$B$3:$B$5001,$A$5,BD!$V$3:$V$5001,"&lt;&gt;")=0,"",SUMIFS(BD!$V$3:$V$5001,BD!$A$3:$A$5001,AA$3,BD!$B$3:$B$5001,$A$5)))</f>
        <v/>
      </c>
      <c r="AB10" s="175" t="str">
        <f>IF(AB$3="","",IF(COUNTIFS(BD!$A$3:$A$5001,AB$3,BD!$B$3:$B$5001,$A$5,BD!$V$3:$V$5001,"&lt;&gt;")=0,"",SUMIFS(BD!$V$3:$V$5001,BD!$A$3:$A$5001,AB$3,BD!$B$3:$B$5001,$A$5)))</f>
        <v/>
      </c>
      <c r="AC10" s="175" t="str">
        <f>IF(AC$3="","",IF(COUNTIFS(BD!$A$3:$A$5001,AC$3,BD!$B$3:$B$5001,$A$5,BD!$V$3:$V$5001,"&lt;&gt;")=0,"",SUMIFS(BD!$V$3:$V$5001,BD!$A$3:$A$5001,AC$3,BD!$B$3:$B$5001,$A$5)))</f>
        <v/>
      </c>
      <c r="AD10" s="175" t="str">
        <f>IF(AD$3="","",IF(COUNTIFS(BD!$A$3:$A$5001,AD$3,BD!$B$3:$B$5001,$A$5,BD!$V$3:$V$5001,"&lt;&gt;")=0,"",SUMIFS(BD!$V$3:$V$5001,BD!$A$3:$A$5001,AD$3,BD!$B$3:$B$5001,$A$5)))</f>
        <v/>
      </c>
      <c r="AE10" s="175" t="str">
        <f>IF(AE$3="","",IF(COUNTIFS(BD!$A$3:$A$5001,AE$3,BD!$B$3:$B$5001,$A$5,BD!$V$3:$V$5001,"&lt;&gt;")=0,"",SUMIFS(BD!$V$3:$V$5001,BD!$A$3:$A$5001,AE$3,BD!$B$3:$B$5001,$A$5)))</f>
        <v/>
      </c>
      <c r="AF10" s="175" t="str">
        <f>IF(AF$3="","",IF(COUNTIFS(BD!$A$3:$A$5001,AF$3,BD!$B$3:$B$5001,$A$5,BD!$V$3:$V$5001,"&lt;&gt;")=0,"",SUMIFS(BD!$V$3:$V$5001,BD!$A$3:$A$5001,AF$3,BD!$B$3:$B$5001,$A$5)))</f>
        <v/>
      </c>
      <c r="AG10" s="175" t="str">
        <f>IF(AG$3="","",IF(COUNTIFS(BD!$A$3:$A$5001,AG$3,BD!$B$3:$B$5001,$A$5,BD!$V$3:$V$5001,"&lt;&gt;")=0,"",SUMIFS(BD!$V$3:$V$5001,BD!$A$3:$A$5001,AG$3,BD!$B$3:$B$5001,$A$5)))</f>
        <v/>
      </c>
      <c r="AH10" s="175" t="str">
        <f>IF(AH$3="","",IF(COUNTIFS(BD!$A$3:$A$5001,AH$3,BD!$B$3:$B$5001,$A$5,BD!$V$3:$V$5001,"&lt;&gt;")=0,"",SUMIFS(BD!$V$3:$V$5001,BD!$A$3:$A$5001,AH$3,BD!$B$3:$B$5001,$A$5)))</f>
        <v/>
      </c>
      <c r="AI10" s="175" t="str">
        <f>IF(AI$3="","",IF(COUNTIFS(BD!$A$3:$A$5001,AI$3,BD!$B$3:$B$5001,$A$5,BD!$V$3:$V$5001,"&lt;&gt;")=0,"",SUMIFS(BD!$V$3:$V$5001,BD!$A$3:$A$5001,AI$3,BD!$B$3:$B$5001,$A$5)))</f>
        <v/>
      </c>
      <c r="AJ10" s="176" t="str">
        <f>IF(AJ$3="","",IF(COUNTIFS(BD!$A$3:$A$5001,AJ$3,BD!$B$3:$B$5001,$A$5,BD!$V$3:$V$5001,"&lt;&gt;")=0,"",SUMIFS(BD!$V$3:$V$5001,BD!$A$3:$A$5001,AJ$3,BD!$B$3:$B$5001,$A$5)))</f>
        <v/>
      </c>
      <c r="AK10" s="177" t="str">
        <f>IF(COUNT(F10:AJ10)=0,"",SUM(F10:AJ10))</f>
        <v/>
      </c>
    </row>
    <row r="11" ht="15.75" customHeight="1">
      <c r="A11" s="227"/>
      <c r="B11" s="221"/>
      <c r="C11" s="178" t="inlineStr">
        <is>
          <t xml:space="preserve">Backlog</t>
        </is>
      </c>
      <c r="D11" s="179" t="str">
        <f>IFERROR(1/(1/INDEX(BD!$AK$43:$AT$43,MATCH($A$5,BD!$AK$22:$AT$22,0))),"")</f>
        <v/>
      </c>
      <c r="E11" s="180"/>
      <c r="F11" s="181" t="str">
        <f>IF(F$3="","",IF(COUNTIFS(BD!$A$3:$A$5001,F$3,BD!$B$3:$B$5001,$A$5,BD!$W$3:$W$5001,"&lt;&gt;")=0,"",SUMIFS(BD!$W$3:$W$5001,BD!$A$3:$A$5001,F$3,BD!$B$3:$B$5001,$A$5)))</f>
        <v/>
      </c>
      <c r="G11" s="182" t="str">
        <f>IF(G$3="","",IF(COUNTIFS(BD!$A$3:$A$5001,G$3,BD!$B$3:$B$5001,$A$5,BD!$W$3:$W$5001,"&lt;&gt;")=0,"",SUMIFS(BD!$W$3:$W$5001,BD!$A$3:$A$5001,G$3,BD!$B$3:$B$5001,$A$5)))</f>
        <v/>
      </c>
      <c r="H11" s="182" t="str">
        <f>IF(H$3="","",IF(COUNTIFS(BD!$A$3:$A$5001,H$3,BD!$B$3:$B$5001,$A$5,BD!$W$3:$W$5001,"&lt;&gt;")=0,"",SUMIFS(BD!$W$3:$W$5001,BD!$A$3:$A$5001,H$3,BD!$B$3:$B$5001,$A$5)))</f>
        <v/>
      </c>
      <c r="I11" s="182" t="str">
        <f>IF(I$3="","",IF(COUNTIFS(BD!$A$3:$A$5001,I$3,BD!$B$3:$B$5001,$A$5,BD!$W$3:$W$5001,"&lt;&gt;")=0,"",SUMIFS(BD!$W$3:$W$5001,BD!$A$3:$A$5001,I$3,BD!$B$3:$B$5001,$A$5)))</f>
        <v/>
      </c>
      <c r="J11" s="182" t="str">
        <f>IF(J$3="","",IF(COUNTIFS(BD!$A$3:$A$5001,J$3,BD!$B$3:$B$5001,$A$5,BD!$W$3:$W$5001,"&lt;&gt;")=0,"",SUMIFS(BD!$W$3:$W$5001,BD!$A$3:$A$5001,J$3,BD!$B$3:$B$5001,$A$5)))</f>
        <v/>
      </c>
      <c r="K11" s="182" t="str">
        <f>IF(K$3="","",IF(COUNTIFS(BD!$A$3:$A$5001,K$3,BD!$B$3:$B$5001,$A$5,BD!$W$3:$W$5001,"&lt;&gt;")=0,"",SUMIFS(BD!$W$3:$W$5001,BD!$A$3:$A$5001,K$3,BD!$B$3:$B$5001,$A$5)))</f>
        <v/>
      </c>
      <c r="L11" s="182" t="str">
        <f>IF(L$3="","",IF(COUNTIFS(BD!$A$3:$A$5001,L$3,BD!$B$3:$B$5001,$A$5,BD!$W$3:$W$5001,"&lt;&gt;")=0,"",SUMIFS(BD!$W$3:$W$5001,BD!$A$3:$A$5001,L$3,BD!$B$3:$B$5001,$A$5)))</f>
        <v/>
      </c>
      <c r="M11" s="182" t="str">
        <f>IF(M$3="","",IF(COUNTIFS(BD!$A$3:$A$5001,M$3,BD!$B$3:$B$5001,$A$5,BD!$W$3:$W$5001,"&lt;&gt;")=0,"",SUMIFS(BD!$W$3:$W$5001,BD!$A$3:$A$5001,M$3,BD!$B$3:$B$5001,$A$5)))</f>
        <v/>
      </c>
      <c r="N11" s="182" t="str">
        <f>IF(N$3="","",IF(COUNTIFS(BD!$A$3:$A$5001,N$3,BD!$B$3:$B$5001,$A$5,BD!$W$3:$W$5001,"&lt;&gt;")=0,"",SUMIFS(BD!$W$3:$W$5001,BD!$A$3:$A$5001,N$3,BD!$B$3:$B$5001,$A$5)))</f>
        <v/>
      </c>
      <c r="O11" s="182" t="str">
        <f>IF(O$3="","",IF(COUNTIFS(BD!$A$3:$A$5001,O$3,BD!$B$3:$B$5001,$A$5,BD!$W$3:$W$5001,"&lt;&gt;")=0,"",SUMIFS(BD!$W$3:$W$5001,BD!$A$3:$A$5001,O$3,BD!$B$3:$B$5001,$A$5)))</f>
        <v/>
      </c>
      <c r="P11" s="182" t="str">
        <f>IF(P$3="","",IF(COUNTIFS(BD!$A$3:$A$5001,P$3,BD!$B$3:$B$5001,$A$5,BD!$W$3:$W$5001,"&lt;&gt;")=0,"",SUMIFS(BD!$W$3:$W$5001,BD!$A$3:$A$5001,P$3,BD!$B$3:$B$5001,$A$5)))</f>
        <v/>
      </c>
      <c r="Q11" s="182" t="str">
        <f>IF(Q$3="","",IF(COUNTIFS(BD!$A$3:$A$5001,Q$3,BD!$B$3:$B$5001,$A$5,BD!$W$3:$W$5001,"&lt;&gt;")=0,"",SUMIFS(BD!$W$3:$W$5001,BD!$A$3:$A$5001,Q$3,BD!$B$3:$B$5001,$A$5)))</f>
        <v/>
      </c>
      <c r="R11" s="182" t="str">
        <f>IF(R$3="","",IF(COUNTIFS(BD!$A$3:$A$5001,R$3,BD!$B$3:$B$5001,$A$5,BD!$W$3:$W$5001,"&lt;&gt;")=0,"",SUMIFS(BD!$W$3:$W$5001,BD!$A$3:$A$5001,R$3,BD!$B$3:$B$5001,$A$5)))</f>
        <v/>
      </c>
      <c r="S11" s="182" t="str">
        <f>IF(S$3="","",IF(COUNTIFS(BD!$A$3:$A$5001,S$3,BD!$B$3:$B$5001,$A$5,BD!$W$3:$W$5001,"&lt;&gt;")=0,"",SUMIFS(BD!$W$3:$W$5001,BD!$A$3:$A$5001,S$3,BD!$B$3:$B$5001,$A$5)))</f>
        <v/>
      </c>
      <c r="T11" s="182" t="str">
        <f>IF(T$3="","",IF(COUNTIFS(BD!$A$3:$A$5001,T$3,BD!$B$3:$B$5001,$A$5,BD!$W$3:$W$5001,"&lt;&gt;")=0,"",SUMIFS(BD!$W$3:$W$5001,BD!$A$3:$A$5001,T$3,BD!$B$3:$B$5001,$A$5)))</f>
        <v/>
      </c>
      <c r="U11" s="182" t="str">
        <f>IF(U$3="","",IF(COUNTIFS(BD!$A$3:$A$5001,U$3,BD!$B$3:$B$5001,$A$5,BD!$W$3:$W$5001,"&lt;&gt;")=0,"",SUMIFS(BD!$W$3:$W$5001,BD!$A$3:$A$5001,U$3,BD!$B$3:$B$5001,$A$5)))</f>
        <v/>
      </c>
      <c r="V11" s="182" t="str">
        <f>IF(V$3="","",IF(COUNTIFS(BD!$A$3:$A$5001,V$3,BD!$B$3:$B$5001,$A$5,BD!$W$3:$W$5001,"&lt;&gt;")=0,"",SUMIFS(BD!$W$3:$W$5001,BD!$A$3:$A$5001,V$3,BD!$B$3:$B$5001,$A$5)))</f>
        <v/>
      </c>
      <c r="W11" s="182" t="str">
        <f>IF(W$3="","",IF(COUNTIFS(BD!$A$3:$A$5001,W$3,BD!$B$3:$B$5001,$A$5,BD!$W$3:$W$5001,"&lt;&gt;")=0,"",SUMIFS(BD!$W$3:$W$5001,BD!$A$3:$A$5001,W$3,BD!$B$3:$B$5001,$A$5)))</f>
        <v/>
      </c>
      <c r="X11" s="182" t="str">
        <f>IF(X$3="","",IF(COUNTIFS(BD!$A$3:$A$5001,X$3,BD!$B$3:$B$5001,$A$5,BD!$W$3:$W$5001,"&lt;&gt;")=0,"",SUMIFS(BD!$W$3:$W$5001,BD!$A$3:$A$5001,X$3,BD!$B$3:$B$5001,$A$5)))</f>
        <v/>
      </c>
      <c r="Y11" s="182" t="str">
        <f>IF(Y$3="","",IF(COUNTIFS(BD!$A$3:$A$5001,Y$3,BD!$B$3:$B$5001,$A$5,BD!$W$3:$W$5001,"&lt;&gt;")=0,"",SUMIFS(BD!$W$3:$W$5001,BD!$A$3:$A$5001,Y$3,BD!$B$3:$B$5001,$A$5)))</f>
        <v/>
      </c>
      <c r="Z11" s="182" t="str">
        <f>IF(Z$3="","",IF(COUNTIFS(BD!$A$3:$A$5001,Z$3,BD!$B$3:$B$5001,$A$5,BD!$W$3:$W$5001,"&lt;&gt;")=0,"",SUMIFS(BD!$W$3:$W$5001,BD!$A$3:$A$5001,Z$3,BD!$B$3:$B$5001,$A$5)))</f>
        <v/>
      </c>
      <c r="AA11" s="182" t="str">
        <f>IF(AA$3="","",IF(COUNTIFS(BD!$A$3:$A$5001,AA$3,BD!$B$3:$B$5001,$A$5,BD!$W$3:$W$5001,"&lt;&gt;")=0,"",SUMIFS(BD!$W$3:$W$5001,BD!$A$3:$A$5001,AA$3,BD!$B$3:$B$5001,$A$5)))</f>
        <v/>
      </c>
      <c r="AB11" s="182" t="str">
        <f>IF(AB$3="","",IF(COUNTIFS(BD!$A$3:$A$5001,AB$3,BD!$B$3:$B$5001,$A$5,BD!$W$3:$W$5001,"&lt;&gt;")=0,"",SUMIFS(BD!$W$3:$W$5001,BD!$A$3:$A$5001,AB$3,BD!$B$3:$B$5001,$A$5)))</f>
        <v/>
      </c>
      <c r="AC11" s="182" t="str">
        <f>IF(AC$3="","",IF(COUNTIFS(BD!$A$3:$A$5001,AC$3,BD!$B$3:$B$5001,$A$5,BD!$W$3:$W$5001,"&lt;&gt;")=0,"",SUMIFS(BD!$W$3:$W$5001,BD!$A$3:$A$5001,AC$3,BD!$B$3:$B$5001,$A$5)))</f>
        <v/>
      </c>
      <c r="AD11" s="182" t="str">
        <f>IF(AD$3="","",IF(COUNTIFS(BD!$A$3:$A$5001,AD$3,BD!$B$3:$B$5001,$A$5,BD!$W$3:$W$5001,"&lt;&gt;")=0,"",SUMIFS(BD!$W$3:$W$5001,BD!$A$3:$A$5001,AD$3,BD!$B$3:$B$5001,$A$5)))</f>
        <v/>
      </c>
      <c r="AE11" s="182" t="str">
        <f>IF(AE$3="","",IF(COUNTIFS(BD!$A$3:$A$5001,AE$3,BD!$B$3:$B$5001,$A$5,BD!$W$3:$W$5001,"&lt;&gt;")=0,"",SUMIFS(BD!$W$3:$W$5001,BD!$A$3:$A$5001,AE$3,BD!$B$3:$B$5001,$A$5)))</f>
        <v/>
      </c>
      <c r="AF11" s="182" t="str">
        <f>IF(AF$3="","",IF(COUNTIFS(BD!$A$3:$A$5001,AF$3,BD!$B$3:$B$5001,$A$5,BD!$W$3:$W$5001,"&lt;&gt;")=0,"",SUMIFS(BD!$W$3:$W$5001,BD!$A$3:$A$5001,AF$3,BD!$B$3:$B$5001,$A$5)))</f>
        <v/>
      </c>
      <c r="AG11" s="182" t="str">
        <f>IF(AG$3="","",IF(COUNTIFS(BD!$A$3:$A$5001,AG$3,BD!$B$3:$B$5001,$A$5,BD!$W$3:$W$5001,"&lt;&gt;")=0,"",SUMIFS(BD!$W$3:$W$5001,BD!$A$3:$A$5001,AG$3,BD!$B$3:$B$5001,$A$5)))</f>
        <v/>
      </c>
      <c r="AH11" s="182" t="str">
        <f>IF(AH$3="","",IF(COUNTIFS(BD!$A$3:$A$5001,AH$3,BD!$B$3:$B$5001,$A$5,BD!$W$3:$W$5001,"&lt;&gt;")=0,"",SUMIFS(BD!$W$3:$W$5001,BD!$A$3:$A$5001,AH$3,BD!$B$3:$B$5001,$A$5)))</f>
        <v/>
      </c>
      <c r="AI11" s="182" t="str">
        <f>IF(AI$3="","",IF(COUNTIFS(BD!$A$3:$A$5001,AI$3,BD!$B$3:$B$5001,$A$5,BD!$W$3:$W$5001,"&lt;&gt;")=0,"",SUMIFS(BD!$W$3:$W$5001,BD!$A$3:$A$5001,AI$3,BD!$B$3:$B$5001,$A$5)))</f>
        <v/>
      </c>
      <c r="AJ11" s="183" t="str">
        <f>IF(AJ$3="","",IF(COUNTIFS(BD!$A$3:$A$5001,AJ$3,BD!$B$3:$B$5001,$A$5,BD!$W$3:$W$5001,"&lt;&gt;")=0,"",SUMIFS(BD!$W$3:$W$5001,BD!$A$3:$A$5001,AJ$3,BD!$B$3:$B$5001,$A$5)))</f>
        <v/>
      </c>
      <c r="AK11" s="179" t="str">
        <f>IFERROR(LOOKUP(9.99E+307,F11:AJ11),"")</f>
        <v/>
      </c>
    </row>
    <row r="12" ht="15.75" customHeight="1">
      <c r="A12" s="227"/>
      <c r="B12" s="215" t="inlineStr">
        <is>
          <t xml:space="preserve">OCUPAÇÃO (P.P)</t>
        </is>
      </c>
      <c r="C12" s="138" t="inlineStr">
        <is>
          <t xml:space="preserve">Posições Disponíveis</t>
        </is>
      </c>
      <c r="D12" s="139" t="str">
        <f>IFERROR(1/(1/INDEX(BD!$AK$44:$AT$44,MATCH($A$5,BD!$AK$22:$AT$22,0))),"")</f>
        <v/>
      </c>
      <c r="E12" s="140"/>
      <c r="F12" s="141" t="str">
        <f>IF(F$3="","",IF(COUNTIFS(BD!$A$3:$A$5001,F$3,BD!$B$3:$B$5001,$A$5,BD!$X$3:$X$5001,"&lt;&gt;")=0,"",SUMIFS(BD!$X$3:$X$5001,BD!$A$3:$A$5001,F$3,BD!$B$3:$B$5001,$A$5)))</f>
        <v/>
      </c>
      <c r="G12" s="142" t="str">
        <f>IF(G$3="","",IF(COUNTIFS(BD!$A$3:$A$5001,G$3,BD!$B$3:$B$5001,$A$5,BD!$X$3:$X$5001,"&lt;&gt;")=0,"",SUMIFS(BD!$X$3:$X$5001,BD!$A$3:$A$5001,G$3,BD!$B$3:$B$5001,$A$5)))</f>
        <v/>
      </c>
      <c r="H12" s="142" t="str">
        <f>IF(H$3="","",IF(COUNTIFS(BD!$A$3:$A$5001,H$3,BD!$B$3:$B$5001,$A$5,BD!$X$3:$X$5001,"&lt;&gt;")=0,"",SUMIFS(BD!$X$3:$X$5001,BD!$A$3:$A$5001,H$3,BD!$B$3:$B$5001,$A$5)))</f>
        <v/>
      </c>
      <c r="I12" s="142" t="str">
        <f>IF(I$3="","",IF(COUNTIFS(BD!$A$3:$A$5001,I$3,BD!$B$3:$B$5001,$A$5,BD!$X$3:$X$5001,"&lt;&gt;")=0,"",SUMIFS(BD!$X$3:$X$5001,BD!$A$3:$A$5001,I$3,BD!$B$3:$B$5001,$A$5)))</f>
        <v/>
      </c>
      <c r="J12" s="142" t="str">
        <f>IF(J$3="","",IF(COUNTIFS(BD!$A$3:$A$5001,J$3,BD!$B$3:$B$5001,$A$5,BD!$X$3:$X$5001,"&lt;&gt;")=0,"",SUMIFS(BD!$X$3:$X$5001,BD!$A$3:$A$5001,J$3,BD!$B$3:$B$5001,$A$5)))</f>
        <v/>
      </c>
      <c r="K12" s="142" t="str">
        <f>IF(K$3="","",IF(COUNTIFS(BD!$A$3:$A$5001,K$3,BD!$B$3:$B$5001,$A$5,BD!$X$3:$X$5001,"&lt;&gt;")=0,"",SUMIFS(BD!$X$3:$X$5001,BD!$A$3:$A$5001,K$3,BD!$B$3:$B$5001,$A$5)))</f>
        <v/>
      </c>
      <c r="L12" s="142" t="str">
        <f>IF(L$3="","",IF(COUNTIFS(BD!$A$3:$A$5001,L$3,BD!$B$3:$B$5001,$A$5,BD!$X$3:$X$5001,"&lt;&gt;")=0,"",SUMIFS(BD!$X$3:$X$5001,BD!$A$3:$A$5001,L$3,BD!$B$3:$B$5001,$A$5)))</f>
        <v/>
      </c>
      <c r="M12" s="142" t="str">
        <f>IF(M$3="","",IF(COUNTIFS(BD!$A$3:$A$5001,M$3,BD!$B$3:$B$5001,$A$5,BD!$X$3:$X$5001,"&lt;&gt;")=0,"",SUMIFS(BD!$X$3:$X$5001,BD!$A$3:$A$5001,M$3,BD!$B$3:$B$5001,$A$5)))</f>
        <v/>
      </c>
      <c r="N12" s="142" t="str">
        <f>IF(N$3="","",IF(COUNTIFS(BD!$A$3:$A$5001,N$3,BD!$B$3:$B$5001,$A$5,BD!$X$3:$X$5001,"&lt;&gt;")=0,"",SUMIFS(BD!$X$3:$X$5001,BD!$A$3:$A$5001,N$3,BD!$B$3:$B$5001,$A$5)))</f>
        <v/>
      </c>
      <c r="O12" s="142" t="str">
        <f>IF(O$3="","",IF(COUNTIFS(BD!$A$3:$A$5001,O$3,BD!$B$3:$B$5001,$A$5,BD!$X$3:$X$5001,"&lt;&gt;")=0,"",SUMIFS(BD!$X$3:$X$5001,BD!$A$3:$A$5001,O$3,BD!$B$3:$B$5001,$A$5)))</f>
        <v/>
      </c>
      <c r="P12" s="142" t="str">
        <f>IF(P$3="","",IF(COUNTIFS(BD!$A$3:$A$5001,P$3,BD!$B$3:$B$5001,$A$5,BD!$X$3:$X$5001,"&lt;&gt;")=0,"",SUMIFS(BD!$X$3:$X$5001,BD!$A$3:$A$5001,P$3,BD!$B$3:$B$5001,$A$5)))</f>
        <v/>
      </c>
      <c r="Q12" s="142" t="str">
        <f>IF(Q$3="","",IF(COUNTIFS(BD!$A$3:$A$5001,Q$3,BD!$B$3:$B$5001,$A$5,BD!$X$3:$X$5001,"&lt;&gt;")=0,"",SUMIFS(BD!$X$3:$X$5001,BD!$A$3:$A$5001,Q$3,BD!$B$3:$B$5001,$A$5)))</f>
        <v/>
      </c>
      <c r="R12" s="142" t="str">
        <f>IF(R$3="","",IF(COUNTIFS(BD!$A$3:$A$5001,R$3,BD!$B$3:$B$5001,$A$5,BD!$X$3:$X$5001,"&lt;&gt;")=0,"",SUMIFS(BD!$X$3:$X$5001,BD!$A$3:$A$5001,R$3,BD!$B$3:$B$5001,$A$5)))</f>
        <v/>
      </c>
      <c r="S12" s="142" t="str">
        <f>IF(S$3="","",IF(COUNTIFS(BD!$A$3:$A$5001,S$3,BD!$B$3:$B$5001,$A$5,BD!$X$3:$X$5001,"&lt;&gt;")=0,"",SUMIFS(BD!$X$3:$X$5001,BD!$A$3:$A$5001,S$3,BD!$B$3:$B$5001,$A$5)))</f>
        <v/>
      </c>
      <c r="T12" s="142" t="str">
        <f>IF(T$3="","",IF(COUNTIFS(BD!$A$3:$A$5001,T$3,BD!$B$3:$B$5001,$A$5,BD!$X$3:$X$5001,"&lt;&gt;")=0,"",SUMIFS(BD!$X$3:$X$5001,BD!$A$3:$A$5001,T$3,BD!$B$3:$B$5001,$A$5)))</f>
        <v/>
      </c>
      <c r="U12" s="142" t="str">
        <f>IF(U$3="","",IF(COUNTIFS(BD!$A$3:$A$5001,U$3,BD!$B$3:$B$5001,$A$5,BD!$X$3:$X$5001,"&lt;&gt;")=0,"",SUMIFS(BD!$X$3:$X$5001,BD!$A$3:$A$5001,U$3,BD!$B$3:$B$5001,$A$5)))</f>
        <v/>
      </c>
      <c r="V12" s="142" t="str">
        <f>IF(V$3="","",IF(COUNTIFS(BD!$A$3:$A$5001,V$3,BD!$B$3:$B$5001,$A$5,BD!$X$3:$X$5001,"&lt;&gt;")=0,"",SUMIFS(BD!$X$3:$X$5001,BD!$A$3:$A$5001,V$3,BD!$B$3:$B$5001,$A$5)))</f>
        <v/>
      </c>
      <c r="W12" s="142" t="str">
        <f>IF(W$3="","",IF(COUNTIFS(BD!$A$3:$A$5001,W$3,BD!$B$3:$B$5001,$A$5,BD!$X$3:$X$5001,"&lt;&gt;")=0,"",SUMIFS(BD!$X$3:$X$5001,BD!$A$3:$A$5001,W$3,BD!$B$3:$B$5001,$A$5)))</f>
        <v/>
      </c>
      <c r="X12" s="142" t="str">
        <f>IF(X$3="","",IF(COUNTIFS(BD!$A$3:$A$5001,X$3,BD!$B$3:$B$5001,$A$5,BD!$X$3:$X$5001,"&lt;&gt;")=0,"",SUMIFS(BD!$X$3:$X$5001,BD!$A$3:$A$5001,X$3,BD!$B$3:$B$5001,$A$5)))</f>
        <v/>
      </c>
      <c r="Y12" s="142" t="str">
        <f>IF(Y$3="","",IF(COUNTIFS(BD!$A$3:$A$5001,Y$3,BD!$B$3:$B$5001,$A$5,BD!$X$3:$X$5001,"&lt;&gt;")=0,"",SUMIFS(BD!$X$3:$X$5001,BD!$A$3:$A$5001,Y$3,BD!$B$3:$B$5001,$A$5)))</f>
        <v/>
      </c>
      <c r="Z12" s="142" t="str">
        <f>IF(Z$3="","",IF(COUNTIFS(BD!$A$3:$A$5001,Z$3,BD!$B$3:$B$5001,$A$5,BD!$X$3:$X$5001,"&lt;&gt;")=0,"",SUMIFS(BD!$X$3:$X$5001,BD!$A$3:$A$5001,Z$3,BD!$B$3:$B$5001,$A$5)))</f>
        <v/>
      </c>
      <c r="AA12" s="142" t="str">
        <f>IF(AA$3="","",IF(COUNTIFS(BD!$A$3:$A$5001,AA$3,BD!$B$3:$B$5001,$A$5,BD!$X$3:$X$5001,"&lt;&gt;")=0,"",SUMIFS(BD!$X$3:$X$5001,BD!$A$3:$A$5001,AA$3,BD!$B$3:$B$5001,$A$5)))</f>
        <v/>
      </c>
      <c r="AB12" s="142" t="str">
        <f>IF(AB$3="","",IF(COUNTIFS(BD!$A$3:$A$5001,AB$3,BD!$B$3:$B$5001,$A$5,BD!$X$3:$X$5001,"&lt;&gt;")=0,"",SUMIFS(BD!$X$3:$X$5001,BD!$A$3:$A$5001,AB$3,BD!$B$3:$B$5001,$A$5)))</f>
        <v/>
      </c>
      <c r="AC12" s="142" t="str">
        <f>IF(AC$3="","",IF(COUNTIFS(BD!$A$3:$A$5001,AC$3,BD!$B$3:$B$5001,$A$5,BD!$X$3:$X$5001,"&lt;&gt;")=0,"",SUMIFS(BD!$X$3:$X$5001,BD!$A$3:$A$5001,AC$3,BD!$B$3:$B$5001,$A$5)))</f>
        <v/>
      </c>
      <c r="AD12" s="142" t="str">
        <f>IF(AD$3="","",IF(COUNTIFS(BD!$A$3:$A$5001,AD$3,BD!$B$3:$B$5001,$A$5,BD!$X$3:$X$5001,"&lt;&gt;")=0,"",SUMIFS(BD!$X$3:$X$5001,BD!$A$3:$A$5001,AD$3,BD!$B$3:$B$5001,$A$5)))</f>
        <v/>
      </c>
      <c r="AE12" s="142" t="str">
        <f>IF(AE$3="","",IF(COUNTIFS(BD!$A$3:$A$5001,AE$3,BD!$B$3:$B$5001,$A$5,BD!$X$3:$X$5001,"&lt;&gt;")=0,"",SUMIFS(BD!$X$3:$X$5001,BD!$A$3:$A$5001,AE$3,BD!$B$3:$B$5001,$A$5)))</f>
        <v/>
      </c>
      <c r="AF12" s="142" t="str">
        <f>IF(AF$3="","",IF(COUNTIFS(BD!$A$3:$A$5001,AF$3,BD!$B$3:$B$5001,$A$5,BD!$X$3:$X$5001,"&lt;&gt;")=0,"",SUMIFS(BD!$X$3:$X$5001,BD!$A$3:$A$5001,AF$3,BD!$B$3:$B$5001,$A$5)))</f>
        <v/>
      </c>
      <c r="AG12" s="142" t="str">
        <f>IF(AG$3="","",IF(COUNTIFS(BD!$A$3:$A$5001,AG$3,BD!$B$3:$B$5001,$A$5,BD!$X$3:$X$5001,"&lt;&gt;")=0,"",SUMIFS(BD!$X$3:$X$5001,BD!$A$3:$A$5001,AG$3,BD!$B$3:$B$5001,$A$5)))</f>
        <v/>
      </c>
      <c r="AH12" s="142" t="str">
        <f>IF(AH$3="","",IF(COUNTIFS(BD!$A$3:$A$5001,AH$3,BD!$B$3:$B$5001,$A$5,BD!$X$3:$X$5001,"&lt;&gt;")=0,"",SUMIFS(BD!$X$3:$X$5001,BD!$A$3:$A$5001,AH$3,BD!$B$3:$B$5001,$A$5)))</f>
        <v/>
      </c>
      <c r="AI12" s="142" t="str">
        <f>IF(AI$3="","",IF(COUNTIFS(BD!$A$3:$A$5001,AI$3,BD!$B$3:$B$5001,$A$5,BD!$X$3:$X$5001,"&lt;&gt;")=0,"",SUMIFS(BD!$X$3:$X$5001,BD!$A$3:$A$5001,AI$3,BD!$B$3:$B$5001,$A$5)))</f>
        <v/>
      </c>
      <c r="AJ12" s="143" t="str">
        <f>IF(AJ$3="","",IF(COUNTIFS(BD!$A$3:$A$5001,AJ$3,BD!$B$3:$B$5001,$A$5,BD!$X$3:$X$5001,"&lt;&gt;")=0,"",SUMIFS(BD!$X$3:$X$5001,BD!$A$3:$A$5001,AJ$3,BD!$B$3:$B$5001,$A$5)))</f>
        <v/>
      </c>
      <c r="AK12" s="144" t="str">
        <f>IF(COUNT(F12:AJ12)&gt;0,LOOKUP(9.99E+307,F12:AJ12),IFERROR(IF(INDEX(BD!$AH$3:$AH$5001,MATCH($A$5,BD!$B$3:$B$5001,0))&amp;""="Contrato","",INDEX(BD!$AH$3:$AH$5001,MATCH($A$5,BD!$B$3:$B$5001,0))&amp;""),""))</f>
        <v/>
      </c>
    </row>
    <row r="13" ht="15.75" customHeight="1">
      <c r="A13" s="227"/>
      <c r="B13" s="222"/>
      <c r="C13" s="184" t="inlineStr">
        <is>
          <t xml:space="preserve">Posições Ocupadas</t>
        </is>
      </c>
      <c r="D13" s="185" t="str">
        <f>IFERROR(1/(1/INDEX(BD!$AK$45:$AT$45,MATCH($A$5,BD!$AK$22:$AT$22,0))),"")</f>
        <v/>
      </c>
      <c r="E13" s="186"/>
      <c r="F13" s="187" t="str">
        <f>IF(F$3="","",IF(COUNTIFS(BD!$A$3:$A$5001,F$3,BD!$B$3:$B$5001,$A$5,BD!$Y$3:$Y$5001,"&lt;&gt;")=0,"",SUMIFS(BD!$Y$3:$Y$5001,BD!$A$3:$A$5001,F$3,BD!$B$3:$B$5001,$A$5)))</f>
        <v/>
      </c>
      <c r="G13" s="188" t="str">
        <f>IF(G$3="","",IF(COUNTIFS(BD!$A$3:$A$5001,G$3,BD!$B$3:$B$5001,$A$5,BD!$Y$3:$Y$5001,"&lt;&gt;")=0,"",SUMIFS(BD!$Y$3:$Y$5001,BD!$A$3:$A$5001,G$3,BD!$B$3:$B$5001,$A$5)))</f>
        <v/>
      </c>
      <c r="H13" s="188" t="str">
        <f>IF(H$3="","",IF(COUNTIFS(BD!$A$3:$A$5001,H$3,BD!$B$3:$B$5001,$A$5,BD!$Y$3:$Y$5001,"&lt;&gt;")=0,"",SUMIFS(BD!$Y$3:$Y$5001,BD!$A$3:$A$5001,H$3,BD!$B$3:$B$5001,$A$5)))</f>
        <v/>
      </c>
      <c r="I13" s="188" t="str">
        <f>IF(I$3="","",IF(COUNTIFS(BD!$A$3:$A$5001,I$3,BD!$B$3:$B$5001,$A$5,BD!$Y$3:$Y$5001,"&lt;&gt;")=0,"",SUMIFS(BD!$Y$3:$Y$5001,BD!$A$3:$A$5001,I$3,BD!$B$3:$B$5001,$A$5)))</f>
        <v/>
      </c>
      <c r="J13" s="188" t="str">
        <f>IF(J$3="","",IF(COUNTIFS(BD!$A$3:$A$5001,J$3,BD!$B$3:$B$5001,$A$5,BD!$Y$3:$Y$5001,"&lt;&gt;")=0,"",SUMIFS(BD!$Y$3:$Y$5001,BD!$A$3:$A$5001,J$3,BD!$B$3:$B$5001,$A$5)))</f>
        <v/>
      </c>
      <c r="K13" s="188" t="str">
        <f>IF(K$3="","",IF(COUNTIFS(BD!$A$3:$A$5001,K$3,BD!$B$3:$B$5001,$A$5,BD!$Y$3:$Y$5001,"&lt;&gt;")=0,"",SUMIFS(BD!$Y$3:$Y$5001,BD!$A$3:$A$5001,K$3,BD!$B$3:$B$5001,$A$5)))</f>
        <v/>
      </c>
      <c r="L13" s="188" t="str">
        <f>IF(L$3="","",IF(COUNTIFS(BD!$A$3:$A$5001,L$3,BD!$B$3:$B$5001,$A$5,BD!$Y$3:$Y$5001,"&lt;&gt;")=0,"",SUMIFS(BD!$Y$3:$Y$5001,BD!$A$3:$A$5001,L$3,BD!$B$3:$B$5001,$A$5)))</f>
        <v/>
      </c>
      <c r="M13" s="188" t="str">
        <f>IF(M$3="","",IF(COUNTIFS(BD!$A$3:$A$5001,M$3,BD!$B$3:$B$5001,$A$5,BD!$Y$3:$Y$5001,"&lt;&gt;")=0,"",SUMIFS(BD!$Y$3:$Y$5001,BD!$A$3:$A$5001,M$3,BD!$B$3:$B$5001,$A$5)))</f>
        <v/>
      </c>
      <c r="N13" s="188" t="str">
        <f>IF(N$3="","",IF(COUNTIFS(BD!$A$3:$A$5001,N$3,BD!$B$3:$B$5001,$A$5,BD!$Y$3:$Y$5001,"&lt;&gt;")=0,"",SUMIFS(BD!$Y$3:$Y$5001,BD!$A$3:$A$5001,N$3,BD!$B$3:$B$5001,$A$5)))</f>
        <v/>
      </c>
      <c r="O13" s="188" t="str">
        <f>IF(O$3="","",IF(COUNTIFS(BD!$A$3:$A$5001,O$3,BD!$B$3:$B$5001,$A$5,BD!$Y$3:$Y$5001,"&lt;&gt;")=0,"",SUMIFS(BD!$Y$3:$Y$5001,BD!$A$3:$A$5001,O$3,BD!$B$3:$B$5001,$A$5)))</f>
        <v/>
      </c>
      <c r="P13" s="188" t="str">
        <f>IF(P$3="","",IF(COUNTIFS(BD!$A$3:$A$5001,P$3,BD!$B$3:$B$5001,$A$5,BD!$Y$3:$Y$5001,"&lt;&gt;")=0,"",SUMIFS(BD!$Y$3:$Y$5001,BD!$A$3:$A$5001,P$3,BD!$B$3:$B$5001,$A$5)))</f>
        <v/>
      </c>
      <c r="Q13" s="188" t="str">
        <f>IF(Q$3="","",IF(COUNTIFS(BD!$A$3:$A$5001,Q$3,BD!$B$3:$B$5001,$A$5,BD!$Y$3:$Y$5001,"&lt;&gt;")=0,"",SUMIFS(BD!$Y$3:$Y$5001,BD!$A$3:$A$5001,Q$3,BD!$B$3:$B$5001,$A$5)))</f>
        <v/>
      </c>
      <c r="R13" s="188" t="str">
        <f>IF(R$3="","",IF(COUNTIFS(BD!$A$3:$A$5001,R$3,BD!$B$3:$B$5001,$A$5,BD!$Y$3:$Y$5001,"&lt;&gt;")=0,"",SUMIFS(BD!$Y$3:$Y$5001,BD!$A$3:$A$5001,R$3,BD!$B$3:$B$5001,$A$5)))</f>
        <v/>
      </c>
      <c r="S13" s="188" t="str">
        <f>IF(S$3="","",IF(COUNTIFS(BD!$A$3:$A$5001,S$3,BD!$B$3:$B$5001,$A$5,BD!$Y$3:$Y$5001,"&lt;&gt;")=0,"",SUMIFS(BD!$Y$3:$Y$5001,BD!$A$3:$A$5001,S$3,BD!$B$3:$B$5001,$A$5)))</f>
        <v/>
      </c>
      <c r="T13" s="188" t="str">
        <f>IF(T$3="","",IF(COUNTIFS(BD!$A$3:$A$5001,T$3,BD!$B$3:$B$5001,$A$5,BD!$Y$3:$Y$5001,"&lt;&gt;")=0,"",SUMIFS(BD!$Y$3:$Y$5001,BD!$A$3:$A$5001,T$3,BD!$B$3:$B$5001,$A$5)))</f>
        <v/>
      </c>
      <c r="U13" s="188" t="str">
        <f>IF(U$3="","",IF(COUNTIFS(BD!$A$3:$A$5001,U$3,BD!$B$3:$B$5001,$A$5,BD!$Y$3:$Y$5001,"&lt;&gt;")=0,"",SUMIFS(BD!$Y$3:$Y$5001,BD!$A$3:$A$5001,U$3,BD!$B$3:$B$5001,$A$5)))</f>
        <v/>
      </c>
      <c r="V13" s="188" t="str">
        <f>IF(V$3="","",IF(COUNTIFS(BD!$A$3:$A$5001,V$3,BD!$B$3:$B$5001,$A$5,BD!$Y$3:$Y$5001,"&lt;&gt;")=0,"",SUMIFS(BD!$Y$3:$Y$5001,BD!$A$3:$A$5001,V$3,BD!$B$3:$B$5001,$A$5)))</f>
        <v/>
      </c>
      <c r="W13" s="188" t="str">
        <f>IF(W$3="","",IF(COUNTIFS(BD!$A$3:$A$5001,W$3,BD!$B$3:$B$5001,$A$5,BD!$Y$3:$Y$5001,"&lt;&gt;")=0,"",SUMIFS(BD!$Y$3:$Y$5001,BD!$A$3:$A$5001,W$3,BD!$B$3:$B$5001,$A$5)))</f>
        <v/>
      </c>
      <c r="X13" s="188" t="str">
        <f>IF(X$3="","",IF(COUNTIFS(BD!$A$3:$A$5001,X$3,BD!$B$3:$B$5001,$A$5,BD!$Y$3:$Y$5001,"&lt;&gt;")=0,"",SUMIFS(BD!$Y$3:$Y$5001,BD!$A$3:$A$5001,X$3,BD!$B$3:$B$5001,$A$5)))</f>
        <v/>
      </c>
      <c r="Y13" s="188" t="str">
        <f>IF(Y$3="","",IF(COUNTIFS(BD!$A$3:$A$5001,Y$3,BD!$B$3:$B$5001,$A$5,BD!$Y$3:$Y$5001,"&lt;&gt;")=0,"",SUMIFS(BD!$Y$3:$Y$5001,BD!$A$3:$A$5001,Y$3,BD!$B$3:$B$5001,$A$5)))</f>
        <v/>
      </c>
      <c r="Z13" s="188" t="str">
        <f>IF(Z$3="","",IF(COUNTIFS(BD!$A$3:$A$5001,Z$3,BD!$B$3:$B$5001,$A$5,BD!$Y$3:$Y$5001,"&lt;&gt;")=0,"",SUMIFS(BD!$Y$3:$Y$5001,BD!$A$3:$A$5001,Z$3,BD!$B$3:$B$5001,$A$5)))</f>
        <v/>
      </c>
      <c r="AA13" s="188" t="str">
        <f>IF(AA$3="","",IF(COUNTIFS(BD!$A$3:$A$5001,AA$3,BD!$B$3:$B$5001,$A$5,BD!$Y$3:$Y$5001,"&lt;&gt;")=0,"",SUMIFS(BD!$Y$3:$Y$5001,BD!$A$3:$A$5001,AA$3,BD!$B$3:$B$5001,$A$5)))</f>
        <v/>
      </c>
      <c r="AB13" s="188" t="str">
        <f>IF(AB$3="","",IF(COUNTIFS(BD!$A$3:$A$5001,AB$3,BD!$B$3:$B$5001,$A$5,BD!$Y$3:$Y$5001,"&lt;&gt;")=0,"",SUMIFS(BD!$Y$3:$Y$5001,BD!$A$3:$A$5001,AB$3,BD!$B$3:$B$5001,$A$5)))</f>
        <v/>
      </c>
      <c r="AC13" s="188" t="str">
        <f>IF(AC$3="","",IF(COUNTIFS(BD!$A$3:$A$5001,AC$3,BD!$B$3:$B$5001,$A$5,BD!$Y$3:$Y$5001,"&lt;&gt;")=0,"",SUMIFS(BD!$Y$3:$Y$5001,BD!$A$3:$A$5001,AC$3,BD!$B$3:$B$5001,$A$5)))</f>
        <v/>
      </c>
      <c r="AD13" s="188" t="str">
        <f>IF(AD$3="","",IF(COUNTIFS(BD!$A$3:$A$5001,AD$3,BD!$B$3:$B$5001,$A$5,BD!$Y$3:$Y$5001,"&lt;&gt;")=0,"",SUMIFS(BD!$Y$3:$Y$5001,BD!$A$3:$A$5001,AD$3,BD!$B$3:$B$5001,$A$5)))</f>
        <v/>
      </c>
      <c r="AE13" s="188" t="str">
        <f>IF(AE$3="","",IF(COUNTIFS(BD!$A$3:$A$5001,AE$3,BD!$B$3:$B$5001,$A$5,BD!$Y$3:$Y$5001,"&lt;&gt;")=0,"",SUMIFS(BD!$Y$3:$Y$5001,BD!$A$3:$A$5001,AE$3,BD!$B$3:$B$5001,$A$5)))</f>
        <v/>
      </c>
      <c r="AF13" s="188" t="str">
        <f>IF(AF$3="","",IF(COUNTIFS(BD!$A$3:$A$5001,AF$3,BD!$B$3:$B$5001,$A$5,BD!$Y$3:$Y$5001,"&lt;&gt;")=0,"",SUMIFS(BD!$Y$3:$Y$5001,BD!$A$3:$A$5001,AF$3,BD!$B$3:$B$5001,$A$5)))</f>
        <v/>
      </c>
      <c r="AG13" s="188" t="str">
        <f>IF(AG$3="","",IF(COUNTIFS(BD!$A$3:$A$5001,AG$3,BD!$B$3:$B$5001,$A$5,BD!$Y$3:$Y$5001,"&lt;&gt;")=0,"",SUMIFS(BD!$Y$3:$Y$5001,BD!$A$3:$A$5001,AG$3,BD!$B$3:$B$5001,$A$5)))</f>
        <v/>
      </c>
      <c r="AH13" s="188" t="str">
        <f>IF(AH$3="","",IF(COUNTIFS(BD!$A$3:$A$5001,AH$3,BD!$B$3:$B$5001,$A$5,BD!$Y$3:$Y$5001,"&lt;&gt;")=0,"",SUMIFS(BD!$Y$3:$Y$5001,BD!$A$3:$A$5001,AH$3,BD!$B$3:$B$5001,$A$5)))</f>
        <v/>
      </c>
      <c r="AI13" s="188" t="str">
        <f>IF(AI$3="","",IF(COUNTIFS(BD!$A$3:$A$5001,AI$3,BD!$B$3:$B$5001,$A$5,BD!$Y$3:$Y$5001,"&lt;&gt;")=0,"",SUMIFS(BD!$Y$3:$Y$5001,BD!$A$3:$A$5001,AI$3,BD!$B$3:$B$5001,$A$5)))</f>
        <v/>
      </c>
      <c r="AJ13" s="189" t="str">
        <f>IF(AJ$3="","",IF(COUNTIFS(BD!$A$3:$A$5001,AJ$3,BD!$B$3:$B$5001,$A$5,BD!$Y$3:$Y$5001,"&lt;&gt;")=0,"",SUMIFS(BD!$Y$3:$Y$5001,BD!$A$3:$A$5001,AJ$3,BD!$B$3:$B$5001,$A$5)))</f>
        <v/>
      </c>
      <c r="AK13" s="190" t="str">
        <f>IFERROR(LOOKUP(9.99E+307,F13:AJ13),"")</f>
        <v/>
      </c>
    </row>
    <row r="14" ht="15.75" customHeight="1">
      <c r="A14" s="227"/>
      <c r="B14" s="216"/>
      <c r="C14" s="145" t="inlineStr">
        <is>
          <t xml:space="preserve">Taxa de Ocupação</t>
        </is>
      </c>
      <c r="D14" s="191" t="str">
        <f>IFERROR(1/(1/INDEX(BD!$AK$46:$AT$46,MATCH($A$5,BD!$AK$22:$AT$22,0))),"")</f>
        <v/>
      </c>
      <c r="E14" s="147"/>
      <c r="F14" s="192" t="str">
        <f>IF(AND(ISNUMBER(F12),ISNUMBER(F13)),IF(F12&gt;0,F13/F12,""),"")</f>
        <v/>
      </c>
      <c r="G14" s="193" t="str">
        <f>IF(AND(ISNUMBER(G12),ISNUMBER(G13)),IF(G12&gt;0,G13/G12,""),"")</f>
        <v/>
      </c>
      <c r="H14" s="193" t="str">
        <f>IF(AND(ISNUMBER(H12),ISNUMBER(H13)),IF(H12&gt;0,H13/H12,""),"")</f>
        <v/>
      </c>
      <c r="I14" s="193" t="str">
        <f>IF(AND(ISNUMBER(I12),ISNUMBER(I13)),IF(I12&gt;0,I13/I12,""),"")</f>
        <v/>
      </c>
      <c r="J14" s="193" t="str">
        <f>IF(AND(ISNUMBER(J12),ISNUMBER(J13)),IF(J12&gt;0,J13/J12,""),"")</f>
        <v/>
      </c>
      <c r="K14" s="193" t="str">
        <f>IF(AND(ISNUMBER(K12),ISNUMBER(K13)),IF(K12&gt;0,K13/K12,""),"")</f>
        <v/>
      </c>
      <c r="L14" s="193" t="str">
        <f>IF(AND(ISNUMBER(L12),ISNUMBER(L13)),IF(L12&gt;0,L13/L12,""),"")</f>
        <v/>
      </c>
      <c r="M14" s="193" t="str">
        <f>IF(AND(ISNUMBER(M12),ISNUMBER(M13)),IF(M12&gt;0,M13/M12,""),"")</f>
        <v/>
      </c>
      <c r="N14" s="193" t="str">
        <f>IF(AND(ISNUMBER(N12),ISNUMBER(N13)),IF(N12&gt;0,N13/N12,""),"")</f>
        <v/>
      </c>
      <c r="O14" s="193" t="str">
        <f>IF(AND(ISNUMBER(O12),ISNUMBER(O13)),IF(O12&gt;0,O13/O12,""),"")</f>
        <v/>
      </c>
      <c r="P14" s="193" t="str">
        <f>IF(AND(ISNUMBER(P12),ISNUMBER(P13)),IF(P12&gt;0,P13/P12,""),"")</f>
        <v/>
      </c>
      <c r="Q14" s="193" t="str">
        <f>IF(AND(ISNUMBER(Q12),ISNUMBER(Q13)),IF(Q12&gt;0,Q13/Q12,""),"")</f>
        <v/>
      </c>
      <c r="R14" s="193" t="str">
        <f>IF(AND(ISNUMBER(R12),ISNUMBER(R13)),IF(R12&gt;0,R13/R12,""),"")</f>
        <v/>
      </c>
      <c r="S14" s="193" t="str">
        <f>IF(AND(ISNUMBER(S12),ISNUMBER(S13)),IF(S12&gt;0,S13/S12,""),"")</f>
        <v/>
      </c>
      <c r="T14" s="193" t="str">
        <f>IF(AND(ISNUMBER(T12),ISNUMBER(T13)),IF(T12&gt;0,T13/T12,""),"")</f>
        <v/>
      </c>
      <c r="U14" s="193" t="str">
        <f>IF(AND(ISNUMBER(U12),ISNUMBER(U13)),IF(U12&gt;0,U13/U12,""),"")</f>
        <v/>
      </c>
      <c r="V14" s="193" t="str">
        <f>IF(AND(ISNUMBER(V12),ISNUMBER(V13)),IF(V12&gt;0,V13/V12,""),"")</f>
        <v/>
      </c>
      <c r="W14" s="193" t="str">
        <f>IF(AND(ISNUMBER(W12),ISNUMBER(W13)),IF(W12&gt;0,W13/W12,""),"")</f>
        <v/>
      </c>
      <c r="X14" s="193" t="str">
        <f>IF(AND(ISNUMBER(X12),ISNUMBER(X13)),IF(X12&gt;0,X13/X12,""),"")</f>
        <v/>
      </c>
      <c r="Y14" s="193" t="str">
        <f>IF(AND(ISNUMBER(Y12),ISNUMBER(Y13)),IF(Y12&gt;0,Y13/Y12,""),"")</f>
        <v/>
      </c>
      <c r="Z14" s="193" t="str">
        <f>IF(AND(ISNUMBER(Z12),ISNUMBER(Z13)),IF(Z12&gt;0,Z13/Z12,""),"")</f>
        <v/>
      </c>
      <c r="AA14" s="193" t="str">
        <f>IF(AND(ISNUMBER(AA12),ISNUMBER(AA13)),IF(AA12&gt;0,AA13/AA12,""),"")</f>
        <v/>
      </c>
      <c r="AB14" s="193" t="str">
        <f>IF(AND(ISNUMBER(AB12),ISNUMBER(AB13)),IF(AB12&gt;0,AB13/AB12,""),"")</f>
        <v/>
      </c>
      <c r="AC14" s="193" t="str">
        <f>IF(AND(ISNUMBER(AC12),ISNUMBER(AC13)),IF(AC12&gt;0,AC13/AC12,""),"")</f>
        <v/>
      </c>
      <c r="AD14" s="193" t="str">
        <f>IF(AND(ISNUMBER(AD12),ISNUMBER(AD13)),IF(AD12&gt;0,AD13/AD12,""),"")</f>
        <v/>
      </c>
      <c r="AE14" s="193" t="str">
        <f>IF(AND(ISNUMBER(AE12),ISNUMBER(AE13)),IF(AE12&gt;0,AE13/AE12,""),"")</f>
        <v/>
      </c>
      <c r="AF14" s="193" t="str">
        <f>IF(AND(ISNUMBER(AF12),ISNUMBER(AF13)),IF(AF12&gt;0,AF13/AF12,""),"")</f>
        <v/>
      </c>
      <c r="AG14" s="193" t="str">
        <f>IF(AND(ISNUMBER(AG12),ISNUMBER(AG13)),IF(AG12&gt;0,AG13/AG12,""),"")</f>
        <v/>
      </c>
      <c r="AH14" s="193" t="str">
        <f>IF(AND(ISNUMBER(AH12),ISNUMBER(AH13)),IF(AH12&gt;0,AH13/AH12,""),"")</f>
        <v/>
      </c>
      <c r="AI14" s="193" t="str">
        <f>IF(AND(ISNUMBER(AI12),ISNUMBER(AI13)),IF(AI12&gt;0,AI13/AI12,""),"")</f>
        <v/>
      </c>
      <c r="AJ14" s="194" t="str">
        <f>IF(AND(ISNUMBER(AJ12),ISNUMBER(AJ13)),IF(AJ12&gt;0,AJ13/AJ12,""),"")</f>
        <v/>
      </c>
      <c r="AK14" s="191" t="str">
        <f>IF(AND(ISNUMBER(AK12),ISNUMBER(AK13)),IF(AK12&gt;0,AK13/AK12,""),"")</f>
        <v/>
      </c>
    </row>
    <row r="15" ht="15.75" customHeight="1">
      <c r="A15" s="227"/>
      <c r="B15" s="223" t="inlineStr">
        <is>
          <t xml:space="preserve">GENTE</t>
        </is>
      </c>
      <c r="C15" s="195" t="inlineStr">
        <is>
          <t xml:space="preserve">Efetivo Op.</t>
        </is>
      </c>
      <c r="D15" s="196" t="str">
        <f>IFERROR(1/(1/INDEX(BD!$AK$47:$AT$47,MATCH($A$5,BD!$AK$22:$AT$22,0))),"")</f>
        <v/>
      </c>
      <c r="E15" s="197"/>
      <c r="F15" s="198" t="str">
        <f>IF(F$3="","",IF(COUNTIFS(BD!$A$3:$A$5001,F$3,BD!$B$3:$B$5001,$A$5,BD!$Z$3:$Z$5001,"&lt;&gt;")=0,"",SUMIFS(BD!$Z$3:$Z$5001,BD!$A$3:$A$5001,F$3,BD!$B$3:$B$5001,$A$5)))</f>
        <v/>
      </c>
      <c r="G15" s="199" t="str">
        <f>IF(G$3="","",IF(COUNTIFS(BD!$A$3:$A$5001,G$3,BD!$B$3:$B$5001,$A$5,BD!$Z$3:$Z$5001,"&lt;&gt;")=0,"",SUMIFS(BD!$Z$3:$Z$5001,BD!$A$3:$A$5001,G$3,BD!$B$3:$B$5001,$A$5)))</f>
        <v/>
      </c>
      <c r="H15" s="199" t="str">
        <f>IF(H$3="","",IF(COUNTIFS(BD!$A$3:$A$5001,H$3,BD!$B$3:$B$5001,$A$5,BD!$Z$3:$Z$5001,"&lt;&gt;")=0,"",SUMIFS(BD!$Z$3:$Z$5001,BD!$A$3:$A$5001,H$3,BD!$B$3:$B$5001,$A$5)))</f>
        <v/>
      </c>
      <c r="I15" s="199" t="str">
        <f>IF(I$3="","",IF(COUNTIFS(BD!$A$3:$A$5001,I$3,BD!$B$3:$B$5001,$A$5,BD!$Z$3:$Z$5001,"&lt;&gt;")=0,"",SUMIFS(BD!$Z$3:$Z$5001,BD!$A$3:$A$5001,I$3,BD!$B$3:$B$5001,$A$5)))</f>
        <v/>
      </c>
      <c r="J15" s="199" t="str">
        <f>IF(J$3="","",IF(COUNTIFS(BD!$A$3:$A$5001,J$3,BD!$B$3:$B$5001,$A$5,BD!$Z$3:$Z$5001,"&lt;&gt;")=0,"",SUMIFS(BD!$Z$3:$Z$5001,BD!$A$3:$A$5001,J$3,BD!$B$3:$B$5001,$A$5)))</f>
        <v/>
      </c>
      <c r="K15" s="199" t="str">
        <f>IF(K$3="","",IF(COUNTIFS(BD!$A$3:$A$5001,K$3,BD!$B$3:$B$5001,$A$5,BD!$Z$3:$Z$5001,"&lt;&gt;")=0,"",SUMIFS(BD!$Z$3:$Z$5001,BD!$A$3:$A$5001,K$3,BD!$B$3:$B$5001,$A$5)))</f>
        <v/>
      </c>
      <c r="L15" s="199" t="str">
        <f>IF(L$3="","",IF(COUNTIFS(BD!$A$3:$A$5001,L$3,BD!$B$3:$B$5001,$A$5,BD!$Z$3:$Z$5001,"&lt;&gt;")=0,"",SUMIFS(BD!$Z$3:$Z$5001,BD!$A$3:$A$5001,L$3,BD!$B$3:$B$5001,$A$5)))</f>
        <v/>
      </c>
      <c r="M15" s="199" t="str">
        <f>IF(M$3="","",IF(COUNTIFS(BD!$A$3:$A$5001,M$3,BD!$B$3:$B$5001,$A$5,BD!$Z$3:$Z$5001,"&lt;&gt;")=0,"",SUMIFS(BD!$Z$3:$Z$5001,BD!$A$3:$A$5001,M$3,BD!$B$3:$B$5001,$A$5)))</f>
        <v/>
      </c>
      <c r="N15" s="199" t="str">
        <f>IF(N$3="","",IF(COUNTIFS(BD!$A$3:$A$5001,N$3,BD!$B$3:$B$5001,$A$5,BD!$Z$3:$Z$5001,"&lt;&gt;")=0,"",SUMIFS(BD!$Z$3:$Z$5001,BD!$A$3:$A$5001,N$3,BD!$B$3:$B$5001,$A$5)))</f>
        <v/>
      </c>
      <c r="O15" s="199" t="str">
        <f>IF(O$3="","",IF(COUNTIFS(BD!$A$3:$A$5001,O$3,BD!$B$3:$B$5001,$A$5,BD!$Z$3:$Z$5001,"&lt;&gt;")=0,"",SUMIFS(BD!$Z$3:$Z$5001,BD!$A$3:$A$5001,O$3,BD!$B$3:$B$5001,$A$5)))</f>
        <v/>
      </c>
      <c r="P15" s="199" t="str">
        <f>IF(P$3="","",IF(COUNTIFS(BD!$A$3:$A$5001,P$3,BD!$B$3:$B$5001,$A$5,BD!$Z$3:$Z$5001,"&lt;&gt;")=0,"",SUMIFS(BD!$Z$3:$Z$5001,BD!$A$3:$A$5001,P$3,BD!$B$3:$B$5001,$A$5)))</f>
        <v/>
      </c>
      <c r="Q15" s="199" t="str">
        <f>IF(Q$3="","",IF(COUNTIFS(BD!$A$3:$A$5001,Q$3,BD!$B$3:$B$5001,$A$5,BD!$Z$3:$Z$5001,"&lt;&gt;")=0,"",SUMIFS(BD!$Z$3:$Z$5001,BD!$A$3:$A$5001,Q$3,BD!$B$3:$B$5001,$A$5)))</f>
        <v/>
      </c>
      <c r="R15" s="199" t="str">
        <f>IF(R$3="","",IF(COUNTIFS(BD!$A$3:$A$5001,R$3,BD!$B$3:$B$5001,$A$5,BD!$Z$3:$Z$5001,"&lt;&gt;")=0,"",SUMIFS(BD!$Z$3:$Z$5001,BD!$A$3:$A$5001,R$3,BD!$B$3:$B$5001,$A$5)))</f>
        <v/>
      </c>
      <c r="S15" s="199" t="str">
        <f>IF(S$3="","",IF(COUNTIFS(BD!$A$3:$A$5001,S$3,BD!$B$3:$B$5001,$A$5,BD!$Z$3:$Z$5001,"&lt;&gt;")=0,"",SUMIFS(BD!$Z$3:$Z$5001,BD!$A$3:$A$5001,S$3,BD!$B$3:$B$5001,$A$5)))</f>
        <v/>
      </c>
      <c r="T15" s="199" t="str">
        <f>IF(T$3="","",IF(COUNTIFS(BD!$A$3:$A$5001,T$3,BD!$B$3:$B$5001,$A$5,BD!$Z$3:$Z$5001,"&lt;&gt;")=0,"",SUMIFS(BD!$Z$3:$Z$5001,BD!$A$3:$A$5001,T$3,BD!$B$3:$B$5001,$A$5)))</f>
        <v/>
      </c>
      <c r="U15" s="199" t="str">
        <f>IF(U$3="","",IF(COUNTIFS(BD!$A$3:$A$5001,U$3,BD!$B$3:$B$5001,$A$5,BD!$Z$3:$Z$5001,"&lt;&gt;")=0,"",SUMIFS(BD!$Z$3:$Z$5001,BD!$A$3:$A$5001,U$3,BD!$B$3:$B$5001,$A$5)))</f>
        <v/>
      </c>
      <c r="V15" s="199" t="str">
        <f>IF(V$3="","",IF(COUNTIFS(BD!$A$3:$A$5001,V$3,BD!$B$3:$B$5001,$A$5,BD!$Z$3:$Z$5001,"&lt;&gt;")=0,"",SUMIFS(BD!$Z$3:$Z$5001,BD!$A$3:$A$5001,V$3,BD!$B$3:$B$5001,$A$5)))</f>
        <v/>
      </c>
      <c r="W15" s="199" t="str">
        <f>IF(W$3="","",IF(COUNTIFS(BD!$A$3:$A$5001,W$3,BD!$B$3:$B$5001,$A$5,BD!$Z$3:$Z$5001,"&lt;&gt;")=0,"",SUMIFS(BD!$Z$3:$Z$5001,BD!$A$3:$A$5001,W$3,BD!$B$3:$B$5001,$A$5)))</f>
        <v/>
      </c>
      <c r="X15" s="199" t="str">
        <f>IF(X$3="","",IF(COUNTIFS(BD!$A$3:$A$5001,X$3,BD!$B$3:$B$5001,$A$5,BD!$Z$3:$Z$5001,"&lt;&gt;")=0,"",SUMIFS(BD!$Z$3:$Z$5001,BD!$A$3:$A$5001,X$3,BD!$B$3:$B$5001,$A$5)))</f>
        <v/>
      </c>
      <c r="Y15" s="199" t="str">
        <f>IF(Y$3="","",IF(COUNTIFS(BD!$A$3:$A$5001,Y$3,BD!$B$3:$B$5001,$A$5,BD!$Z$3:$Z$5001,"&lt;&gt;")=0,"",SUMIFS(BD!$Z$3:$Z$5001,BD!$A$3:$A$5001,Y$3,BD!$B$3:$B$5001,$A$5)))</f>
        <v/>
      </c>
      <c r="Z15" s="199" t="str">
        <f>IF(Z$3="","",IF(COUNTIFS(BD!$A$3:$A$5001,Z$3,BD!$B$3:$B$5001,$A$5,BD!$Z$3:$Z$5001,"&lt;&gt;")=0,"",SUMIFS(BD!$Z$3:$Z$5001,BD!$A$3:$A$5001,Z$3,BD!$B$3:$B$5001,$A$5)))</f>
        <v/>
      </c>
      <c r="AA15" s="199" t="str">
        <f>IF(AA$3="","",IF(COUNTIFS(BD!$A$3:$A$5001,AA$3,BD!$B$3:$B$5001,$A$5,BD!$Z$3:$Z$5001,"&lt;&gt;")=0,"",SUMIFS(BD!$Z$3:$Z$5001,BD!$A$3:$A$5001,AA$3,BD!$B$3:$B$5001,$A$5)))</f>
        <v/>
      </c>
      <c r="AB15" s="199" t="str">
        <f>IF(AB$3="","",IF(COUNTIFS(BD!$A$3:$A$5001,AB$3,BD!$B$3:$B$5001,$A$5,BD!$Z$3:$Z$5001,"&lt;&gt;")=0,"",SUMIFS(BD!$Z$3:$Z$5001,BD!$A$3:$A$5001,AB$3,BD!$B$3:$B$5001,$A$5)))</f>
        <v/>
      </c>
      <c r="AC15" s="199" t="str">
        <f>IF(AC$3="","",IF(COUNTIFS(BD!$A$3:$A$5001,AC$3,BD!$B$3:$B$5001,$A$5,BD!$Z$3:$Z$5001,"&lt;&gt;")=0,"",SUMIFS(BD!$Z$3:$Z$5001,BD!$A$3:$A$5001,AC$3,BD!$B$3:$B$5001,$A$5)))</f>
        <v/>
      </c>
      <c r="AD15" s="199" t="str">
        <f>IF(AD$3="","",IF(COUNTIFS(BD!$A$3:$A$5001,AD$3,BD!$B$3:$B$5001,$A$5,BD!$Z$3:$Z$5001,"&lt;&gt;")=0,"",SUMIFS(BD!$Z$3:$Z$5001,BD!$A$3:$A$5001,AD$3,BD!$B$3:$B$5001,$A$5)))</f>
        <v/>
      </c>
      <c r="AE15" s="199" t="str">
        <f>IF(AE$3="","",IF(COUNTIFS(BD!$A$3:$A$5001,AE$3,BD!$B$3:$B$5001,$A$5,BD!$Z$3:$Z$5001,"&lt;&gt;")=0,"",SUMIFS(BD!$Z$3:$Z$5001,BD!$A$3:$A$5001,AE$3,BD!$B$3:$B$5001,$A$5)))</f>
        <v/>
      </c>
      <c r="AF15" s="199" t="str">
        <f>IF(AF$3="","",IF(COUNTIFS(BD!$A$3:$A$5001,AF$3,BD!$B$3:$B$5001,$A$5,BD!$Z$3:$Z$5001,"&lt;&gt;")=0,"",SUMIFS(BD!$Z$3:$Z$5001,BD!$A$3:$A$5001,AF$3,BD!$B$3:$B$5001,$A$5)))</f>
        <v/>
      </c>
      <c r="AG15" s="199" t="str">
        <f>IF(AG$3="","",IF(COUNTIFS(BD!$A$3:$A$5001,AG$3,BD!$B$3:$B$5001,$A$5,BD!$Z$3:$Z$5001,"&lt;&gt;")=0,"",SUMIFS(BD!$Z$3:$Z$5001,BD!$A$3:$A$5001,AG$3,BD!$B$3:$B$5001,$A$5)))</f>
        <v/>
      </c>
      <c r="AH15" s="199" t="str">
        <f>IF(AH$3="","",IF(COUNTIFS(BD!$A$3:$A$5001,AH$3,BD!$B$3:$B$5001,$A$5,BD!$Z$3:$Z$5001,"&lt;&gt;")=0,"",SUMIFS(BD!$Z$3:$Z$5001,BD!$A$3:$A$5001,AH$3,BD!$B$3:$B$5001,$A$5)))</f>
        <v/>
      </c>
      <c r="AI15" s="199" t="str">
        <f>IF(AI$3="","",IF(COUNTIFS(BD!$A$3:$A$5001,AI$3,BD!$B$3:$B$5001,$A$5,BD!$Z$3:$Z$5001,"&lt;&gt;")=0,"",SUMIFS(BD!$Z$3:$Z$5001,BD!$A$3:$A$5001,AI$3,BD!$B$3:$B$5001,$A$5)))</f>
        <v/>
      </c>
      <c r="AJ15" s="200" t="str">
        <f>IF(AJ$3="","",IF(COUNTIFS(BD!$A$3:$A$5001,AJ$3,BD!$B$3:$B$5001,$A$5,BD!$Z$3:$Z$5001,"&lt;&gt;")=0,"",SUMIFS(BD!$Z$3:$Z$5001,BD!$A$3:$A$5001,AJ$3,BD!$B$3:$B$5001,$A$5)))</f>
        <v/>
      </c>
      <c r="AK15" s="201" t="str">
        <f>IFERROR(LOOKUP(9.99E+307,F15:AJ15),"")</f>
        <v/>
      </c>
    </row>
    <row r="16" ht="15.75" customHeight="1">
      <c r="A16" s="227"/>
      <c r="B16" s="224"/>
      <c r="C16" s="202" t="inlineStr">
        <is>
          <t xml:space="preserve">Falta</t>
        </is>
      </c>
      <c r="D16" s="203" t="str">
        <f>IFERROR(1/(1/INDEX(BD!$AK$48:$AT$48,MATCH($A$5,BD!$AK$22:$AT$22,0))),"")</f>
        <v/>
      </c>
      <c r="E16" s="204"/>
      <c r="F16" s="205" t="str">
        <f>IF(F$3="","",IF(COUNTIFS(BD!$A$3:$A$5001,F$3,BD!$B$3:$B$5001,$A$5,BD!$AA$3:$AA$5001,"&lt;&gt;")=0,"",SUMIFS(BD!$AA$3:$AA$5001,BD!$A$3:$A$5001,F$3,BD!$B$3:$B$5001,$A$5)))</f>
        <v/>
      </c>
      <c r="G16" s="206" t="str">
        <f>IF(G$3="","",IF(COUNTIFS(BD!$A$3:$A$5001,G$3,BD!$B$3:$B$5001,$A$5,BD!$AA$3:$AA$5001,"&lt;&gt;")=0,"",SUMIFS(BD!$AA$3:$AA$5001,BD!$A$3:$A$5001,G$3,BD!$B$3:$B$5001,$A$5)))</f>
        <v/>
      </c>
      <c r="H16" s="206" t="str">
        <f>IF(H$3="","",IF(COUNTIFS(BD!$A$3:$A$5001,H$3,BD!$B$3:$B$5001,$A$5,BD!$AA$3:$AA$5001,"&lt;&gt;")=0,"",SUMIFS(BD!$AA$3:$AA$5001,BD!$A$3:$A$5001,H$3,BD!$B$3:$B$5001,$A$5)))</f>
        <v/>
      </c>
      <c r="I16" s="206" t="str">
        <f>IF(I$3="","",IF(COUNTIFS(BD!$A$3:$A$5001,I$3,BD!$B$3:$B$5001,$A$5,BD!$AA$3:$AA$5001,"&lt;&gt;")=0,"",SUMIFS(BD!$AA$3:$AA$5001,BD!$A$3:$A$5001,I$3,BD!$B$3:$B$5001,$A$5)))</f>
        <v/>
      </c>
      <c r="J16" s="206" t="str">
        <f>IF(J$3="","",IF(COUNTIFS(BD!$A$3:$A$5001,J$3,BD!$B$3:$B$5001,$A$5,BD!$AA$3:$AA$5001,"&lt;&gt;")=0,"",SUMIFS(BD!$AA$3:$AA$5001,BD!$A$3:$A$5001,J$3,BD!$B$3:$B$5001,$A$5)))</f>
        <v/>
      </c>
      <c r="K16" s="206" t="str">
        <f>IF(K$3="","",IF(COUNTIFS(BD!$A$3:$A$5001,K$3,BD!$B$3:$B$5001,$A$5,BD!$AA$3:$AA$5001,"&lt;&gt;")=0,"",SUMIFS(BD!$AA$3:$AA$5001,BD!$A$3:$A$5001,K$3,BD!$B$3:$B$5001,$A$5)))</f>
        <v/>
      </c>
      <c r="L16" s="206" t="str">
        <f>IF(L$3="","",IF(COUNTIFS(BD!$A$3:$A$5001,L$3,BD!$B$3:$B$5001,$A$5,BD!$AA$3:$AA$5001,"&lt;&gt;")=0,"",SUMIFS(BD!$AA$3:$AA$5001,BD!$A$3:$A$5001,L$3,BD!$B$3:$B$5001,$A$5)))</f>
        <v/>
      </c>
      <c r="M16" s="206" t="str">
        <f>IF(M$3="","",IF(COUNTIFS(BD!$A$3:$A$5001,M$3,BD!$B$3:$B$5001,$A$5,BD!$AA$3:$AA$5001,"&lt;&gt;")=0,"",SUMIFS(BD!$AA$3:$AA$5001,BD!$A$3:$A$5001,M$3,BD!$B$3:$B$5001,$A$5)))</f>
        <v/>
      </c>
      <c r="N16" s="206" t="str">
        <f>IF(N$3="","",IF(COUNTIFS(BD!$A$3:$A$5001,N$3,BD!$B$3:$B$5001,$A$5,BD!$AA$3:$AA$5001,"&lt;&gt;")=0,"",SUMIFS(BD!$AA$3:$AA$5001,BD!$A$3:$A$5001,N$3,BD!$B$3:$B$5001,$A$5)))</f>
        <v/>
      </c>
      <c r="O16" s="206" t="str">
        <f>IF(O$3="","",IF(COUNTIFS(BD!$A$3:$A$5001,O$3,BD!$B$3:$B$5001,$A$5,BD!$AA$3:$AA$5001,"&lt;&gt;")=0,"",SUMIFS(BD!$AA$3:$AA$5001,BD!$A$3:$A$5001,O$3,BD!$B$3:$B$5001,$A$5)))</f>
        <v/>
      </c>
      <c r="P16" s="206" t="str">
        <f>IF(P$3="","",IF(COUNTIFS(BD!$A$3:$A$5001,P$3,BD!$B$3:$B$5001,$A$5,BD!$AA$3:$AA$5001,"&lt;&gt;")=0,"",SUMIFS(BD!$AA$3:$AA$5001,BD!$A$3:$A$5001,P$3,BD!$B$3:$B$5001,$A$5)))</f>
        <v/>
      </c>
      <c r="Q16" s="206" t="str">
        <f>IF(Q$3="","",IF(COUNTIFS(BD!$A$3:$A$5001,Q$3,BD!$B$3:$B$5001,$A$5,BD!$AA$3:$AA$5001,"&lt;&gt;")=0,"",SUMIFS(BD!$AA$3:$AA$5001,BD!$A$3:$A$5001,Q$3,BD!$B$3:$B$5001,$A$5)))</f>
        <v/>
      </c>
      <c r="R16" s="206" t="str">
        <f>IF(R$3="","",IF(COUNTIFS(BD!$A$3:$A$5001,R$3,BD!$B$3:$B$5001,$A$5,BD!$AA$3:$AA$5001,"&lt;&gt;")=0,"",SUMIFS(BD!$AA$3:$AA$5001,BD!$A$3:$A$5001,R$3,BD!$B$3:$B$5001,$A$5)))</f>
        <v/>
      </c>
      <c r="S16" s="206" t="str">
        <f>IF(S$3="","",IF(COUNTIFS(BD!$A$3:$A$5001,S$3,BD!$B$3:$B$5001,$A$5,BD!$AA$3:$AA$5001,"&lt;&gt;")=0,"",SUMIFS(BD!$AA$3:$AA$5001,BD!$A$3:$A$5001,S$3,BD!$B$3:$B$5001,$A$5)))</f>
        <v/>
      </c>
      <c r="T16" s="206" t="str">
        <f>IF(T$3="","",IF(COUNTIFS(BD!$A$3:$A$5001,T$3,BD!$B$3:$B$5001,$A$5,BD!$AA$3:$AA$5001,"&lt;&gt;")=0,"",SUMIFS(BD!$AA$3:$AA$5001,BD!$A$3:$A$5001,T$3,BD!$B$3:$B$5001,$A$5)))</f>
        <v/>
      </c>
      <c r="U16" s="206" t="str">
        <f>IF(U$3="","",IF(COUNTIFS(BD!$A$3:$A$5001,U$3,BD!$B$3:$B$5001,$A$5,BD!$AA$3:$AA$5001,"&lt;&gt;")=0,"",SUMIFS(BD!$AA$3:$AA$5001,BD!$A$3:$A$5001,U$3,BD!$B$3:$B$5001,$A$5)))</f>
        <v/>
      </c>
      <c r="V16" s="206" t="str">
        <f>IF(V$3="","",IF(COUNTIFS(BD!$A$3:$A$5001,V$3,BD!$B$3:$B$5001,$A$5,BD!$AA$3:$AA$5001,"&lt;&gt;")=0,"",SUMIFS(BD!$AA$3:$AA$5001,BD!$A$3:$A$5001,V$3,BD!$B$3:$B$5001,$A$5)))</f>
        <v/>
      </c>
      <c r="W16" s="206" t="str">
        <f>IF(W$3="","",IF(COUNTIFS(BD!$A$3:$A$5001,W$3,BD!$B$3:$B$5001,$A$5,BD!$AA$3:$AA$5001,"&lt;&gt;")=0,"",SUMIFS(BD!$AA$3:$AA$5001,BD!$A$3:$A$5001,W$3,BD!$B$3:$B$5001,$A$5)))</f>
        <v/>
      </c>
      <c r="X16" s="206" t="str">
        <f>IF(X$3="","",IF(COUNTIFS(BD!$A$3:$A$5001,X$3,BD!$B$3:$B$5001,$A$5,BD!$AA$3:$AA$5001,"&lt;&gt;")=0,"",SUMIFS(BD!$AA$3:$AA$5001,BD!$A$3:$A$5001,X$3,BD!$B$3:$B$5001,$A$5)))</f>
        <v/>
      </c>
      <c r="Y16" s="206" t="str">
        <f>IF(Y$3="","",IF(COUNTIFS(BD!$A$3:$A$5001,Y$3,BD!$B$3:$B$5001,$A$5,BD!$AA$3:$AA$5001,"&lt;&gt;")=0,"",SUMIFS(BD!$AA$3:$AA$5001,BD!$A$3:$A$5001,Y$3,BD!$B$3:$B$5001,$A$5)))</f>
        <v/>
      </c>
      <c r="Z16" s="206" t="str">
        <f>IF(Z$3="","",IF(COUNTIFS(BD!$A$3:$A$5001,Z$3,BD!$B$3:$B$5001,$A$5,BD!$AA$3:$AA$5001,"&lt;&gt;")=0,"",SUMIFS(BD!$AA$3:$AA$5001,BD!$A$3:$A$5001,Z$3,BD!$B$3:$B$5001,$A$5)))</f>
        <v/>
      </c>
      <c r="AA16" s="206" t="str">
        <f>IF(AA$3="","",IF(COUNTIFS(BD!$A$3:$A$5001,AA$3,BD!$B$3:$B$5001,$A$5,BD!$AA$3:$AA$5001,"&lt;&gt;")=0,"",SUMIFS(BD!$AA$3:$AA$5001,BD!$A$3:$A$5001,AA$3,BD!$B$3:$B$5001,$A$5)))</f>
        <v/>
      </c>
      <c r="AB16" s="206" t="str">
        <f>IF(AB$3="","",IF(COUNTIFS(BD!$A$3:$A$5001,AB$3,BD!$B$3:$B$5001,$A$5,BD!$AA$3:$AA$5001,"&lt;&gt;")=0,"",SUMIFS(BD!$AA$3:$AA$5001,BD!$A$3:$A$5001,AB$3,BD!$B$3:$B$5001,$A$5)))</f>
        <v/>
      </c>
      <c r="AC16" s="206" t="str">
        <f>IF(AC$3="","",IF(COUNTIFS(BD!$A$3:$A$5001,AC$3,BD!$B$3:$B$5001,$A$5,BD!$AA$3:$AA$5001,"&lt;&gt;")=0,"",SUMIFS(BD!$AA$3:$AA$5001,BD!$A$3:$A$5001,AC$3,BD!$B$3:$B$5001,$A$5)))</f>
        <v/>
      </c>
      <c r="AD16" s="206" t="str">
        <f>IF(AD$3="","",IF(COUNTIFS(BD!$A$3:$A$5001,AD$3,BD!$B$3:$B$5001,$A$5,BD!$AA$3:$AA$5001,"&lt;&gt;")=0,"",SUMIFS(BD!$AA$3:$AA$5001,BD!$A$3:$A$5001,AD$3,BD!$B$3:$B$5001,$A$5)))</f>
        <v/>
      </c>
      <c r="AE16" s="206" t="str">
        <f>IF(AE$3="","",IF(COUNTIFS(BD!$A$3:$A$5001,AE$3,BD!$B$3:$B$5001,$A$5,BD!$AA$3:$AA$5001,"&lt;&gt;")=0,"",SUMIFS(BD!$AA$3:$AA$5001,BD!$A$3:$A$5001,AE$3,BD!$B$3:$B$5001,$A$5)))</f>
        <v/>
      </c>
      <c r="AF16" s="206" t="str">
        <f>IF(AF$3="","",IF(COUNTIFS(BD!$A$3:$A$5001,AF$3,BD!$B$3:$B$5001,$A$5,BD!$AA$3:$AA$5001,"&lt;&gt;")=0,"",SUMIFS(BD!$AA$3:$AA$5001,BD!$A$3:$A$5001,AF$3,BD!$B$3:$B$5001,$A$5)))</f>
        <v/>
      </c>
      <c r="AG16" s="206" t="str">
        <f>IF(AG$3="","",IF(COUNTIFS(BD!$A$3:$A$5001,AG$3,BD!$B$3:$B$5001,$A$5,BD!$AA$3:$AA$5001,"&lt;&gt;")=0,"",SUMIFS(BD!$AA$3:$AA$5001,BD!$A$3:$A$5001,AG$3,BD!$B$3:$B$5001,$A$5)))</f>
        <v/>
      </c>
      <c r="AH16" s="206" t="str">
        <f>IF(AH$3="","",IF(COUNTIFS(BD!$A$3:$A$5001,AH$3,BD!$B$3:$B$5001,$A$5,BD!$AA$3:$AA$5001,"&lt;&gt;")=0,"",SUMIFS(BD!$AA$3:$AA$5001,BD!$A$3:$A$5001,AH$3,BD!$B$3:$B$5001,$A$5)))</f>
        <v/>
      </c>
      <c r="AI16" s="206" t="str">
        <f>IF(AI$3="","",IF(COUNTIFS(BD!$A$3:$A$5001,AI$3,BD!$B$3:$B$5001,$A$5,BD!$AA$3:$AA$5001,"&lt;&gt;")=0,"",SUMIFS(BD!$AA$3:$AA$5001,BD!$A$3:$A$5001,AI$3,BD!$B$3:$B$5001,$A$5)))</f>
        <v/>
      </c>
      <c r="AJ16" s="207" t="str">
        <f>IF(AJ$3="","",IF(COUNTIFS(BD!$A$3:$A$5001,AJ$3,BD!$B$3:$B$5001,$A$5,BD!$AA$3:$AA$5001,"&lt;&gt;")=0,"",SUMIFS(BD!$AA$3:$AA$5001,BD!$A$3:$A$5001,AJ$3,BD!$B$3:$B$5001,$A$5)))</f>
        <v/>
      </c>
      <c r="AK16" s="208" t="str">
        <f>IF(COUNT(F16:AJ16)=0,"",SUM(F16:AJ16))</f>
        <v/>
      </c>
    </row>
    <row r="17" ht="15.75" customHeight="1">
      <c r="A17" s="227"/>
      <c r="B17" s="224"/>
      <c r="C17" s="202" t="inlineStr">
        <is>
          <t xml:space="preserve">Folga</t>
        </is>
      </c>
      <c r="D17" s="203" t="str">
        <f>IFERROR(1/(1/INDEX(BD!$AK$49:$AT$49,MATCH($A$5,BD!$AK$22:$AT$22,0))),"")</f>
        <v/>
      </c>
      <c r="E17" s="204"/>
      <c r="F17" s="205" t="str">
        <f>IF(F$3="","",IF(COUNTIFS(BD!$A$3:$A$5001,F$3,BD!$B$3:$B$5001,$A$5,BD!$AB$3:$AB$5001,"&lt;&gt;")=0,"",SUMIFS(BD!$AB$3:$AB$5001,BD!$A$3:$A$5001,F$3,BD!$B$3:$B$5001,$A$5)))</f>
        <v/>
      </c>
      <c r="G17" s="206" t="str">
        <f>IF(G$3="","",IF(COUNTIFS(BD!$A$3:$A$5001,G$3,BD!$B$3:$B$5001,$A$5,BD!$AB$3:$AB$5001,"&lt;&gt;")=0,"",SUMIFS(BD!$AB$3:$AB$5001,BD!$A$3:$A$5001,G$3,BD!$B$3:$B$5001,$A$5)))</f>
        <v/>
      </c>
      <c r="H17" s="206" t="str">
        <f>IF(H$3="","",IF(COUNTIFS(BD!$A$3:$A$5001,H$3,BD!$B$3:$B$5001,$A$5,BD!$AB$3:$AB$5001,"&lt;&gt;")=0,"",SUMIFS(BD!$AB$3:$AB$5001,BD!$A$3:$A$5001,H$3,BD!$B$3:$B$5001,$A$5)))</f>
        <v/>
      </c>
      <c r="I17" s="206" t="str">
        <f>IF(I$3="","",IF(COUNTIFS(BD!$A$3:$A$5001,I$3,BD!$B$3:$B$5001,$A$5,BD!$AB$3:$AB$5001,"&lt;&gt;")=0,"",SUMIFS(BD!$AB$3:$AB$5001,BD!$A$3:$A$5001,I$3,BD!$B$3:$B$5001,$A$5)))</f>
        <v/>
      </c>
      <c r="J17" s="206" t="str">
        <f>IF(J$3="","",IF(COUNTIFS(BD!$A$3:$A$5001,J$3,BD!$B$3:$B$5001,$A$5,BD!$AB$3:$AB$5001,"&lt;&gt;")=0,"",SUMIFS(BD!$AB$3:$AB$5001,BD!$A$3:$A$5001,J$3,BD!$B$3:$B$5001,$A$5)))</f>
        <v/>
      </c>
      <c r="K17" s="206" t="str">
        <f>IF(K$3="","",IF(COUNTIFS(BD!$A$3:$A$5001,K$3,BD!$B$3:$B$5001,$A$5,BD!$AB$3:$AB$5001,"&lt;&gt;")=0,"",SUMIFS(BD!$AB$3:$AB$5001,BD!$A$3:$A$5001,K$3,BD!$B$3:$B$5001,$A$5)))</f>
        <v/>
      </c>
      <c r="L17" s="206" t="str">
        <f>IF(L$3="","",IF(COUNTIFS(BD!$A$3:$A$5001,L$3,BD!$B$3:$B$5001,$A$5,BD!$AB$3:$AB$5001,"&lt;&gt;")=0,"",SUMIFS(BD!$AB$3:$AB$5001,BD!$A$3:$A$5001,L$3,BD!$B$3:$B$5001,$A$5)))</f>
        <v/>
      </c>
      <c r="M17" s="206" t="str">
        <f>IF(M$3="","",IF(COUNTIFS(BD!$A$3:$A$5001,M$3,BD!$B$3:$B$5001,$A$5,BD!$AB$3:$AB$5001,"&lt;&gt;")=0,"",SUMIFS(BD!$AB$3:$AB$5001,BD!$A$3:$A$5001,M$3,BD!$B$3:$B$5001,$A$5)))</f>
        <v/>
      </c>
      <c r="N17" s="206" t="str">
        <f>IF(N$3="","",IF(COUNTIFS(BD!$A$3:$A$5001,N$3,BD!$B$3:$B$5001,$A$5,BD!$AB$3:$AB$5001,"&lt;&gt;")=0,"",SUMIFS(BD!$AB$3:$AB$5001,BD!$A$3:$A$5001,N$3,BD!$B$3:$B$5001,$A$5)))</f>
        <v/>
      </c>
      <c r="O17" s="206" t="str">
        <f>IF(O$3="","",IF(COUNTIFS(BD!$A$3:$A$5001,O$3,BD!$B$3:$B$5001,$A$5,BD!$AB$3:$AB$5001,"&lt;&gt;")=0,"",SUMIFS(BD!$AB$3:$AB$5001,BD!$A$3:$A$5001,O$3,BD!$B$3:$B$5001,$A$5)))</f>
        <v/>
      </c>
      <c r="P17" s="206" t="str">
        <f>IF(P$3="","",IF(COUNTIFS(BD!$A$3:$A$5001,P$3,BD!$B$3:$B$5001,$A$5,BD!$AB$3:$AB$5001,"&lt;&gt;")=0,"",SUMIFS(BD!$AB$3:$AB$5001,BD!$A$3:$A$5001,P$3,BD!$B$3:$B$5001,$A$5)))</f>
        <v/>
      </c>
      <c r="Q17" s="206" t="str">
        <f>IF(Q$3="","",IF(COUNTIFS(BD!$A$3:$A$5001,Q$3,BD!$B$3:$B$5001,$A$5,BD!$AB$3:$AB$5001,"&lt;&gt;")=0,"",SUMIFS(BD!$AB$3:$AB$5001,BD!$A$3:$A$5001,Q$3,BD!$B$3:$B$5001,$A$5)))</f>
        <v/>
      </c>
      <c r="R17" s="206" t="str">
        <f>IF(R$3="","",IF(COUNTIFS(BD!$A$3:$A$5001,R$3,BD!$B$3:$B$5001,$A$5,BD!$AB$3:$AB$5001,"&lt;&gt;")=0,"",SUMIFS(BD!$AB$3:$AB$5001,BD!$A$3:$A$5001,R$3,BD!$B$3:$B$5001,$A$5)))</f>
        <v/>
      </c>
      <c r="S17" s="206" t="str">
        <f>IF(S$3="","",IF(COUNTIFS(BD!$A$3:$A$5001,S$3,BD!$B$3:$B$5001,$A$5,BD!$AB$3:$AB$5001,"&lt;&gt;")=0,"",SUMIFS(BD!$AB$3:$AB$5001,BD!$A$3:$A$5001,S$3,BD!$B$3:$B$5001,$A$5)))</f>
        <v/>
      </c>
      <c r="T17" s="206" t="str">
        <f>IF(T$3="","",IF(COUNTIFS(BD!$A$3:$A$5001,T$3,BD!$B$3:$B$5001,$A$5,BD!$AB$3:$AB$5001,"&lt;&gt;")=0,"",SUMIFS(BD!$AB$3:$AB$5001,BD!$A$3:$A$5001,T$3,BD!$B$3:$B$5001,$A$5)))</f>
        <v/>
      </c>
      <c r="U17" s="206" t="str">
        <f>IF(U$3="","",IF(COUNTIFS(BD!$A$3:$A$5001,U$3,BD!$B$3:$B$5001,$A$5,BD!$AB$3:$AB$5001,"&lt;&gt;")=0,"",SUMIFS(BD!$AB$3:$AB$5001,BD!$A$3:$A$5001,U$3,BD!$B$3:$B$5001,$A$5)))</f>
        <v/>
      </c>
      <c r="V17" s="206" t="str">
        <f>IF(V$3="","",IF(COUNTIFS(BD!$A$3:$A$5001,V$3,BD!$B$3:$B$5001,$A$5,BD!$AB$3:$AB$5001,"&lt;&gt;")=0,"",SUMIFS(BD!$AB$3:$AB$5001,BD!$A$3:$A$5001,V$3,BD!$B$3:$B$5001,$A$5)))</f>
        <v/>
      </c>
      <c r="W17" s="206" t="str">
        <f>IF(W$3="","",IF(COUNTIFS(BD!$A$3:$A$5001,W$3,BD!$B$3:$B$5001,$A$5,BD!$AB$3:$AB$5001,"&lt;&gt;")=0,"",SUMIFS(BD!$AB$3:$AB$5001,BD!$A$3:$A$5001,W$3,BD!$B$3:$B$5001,$A$5)))</f>
        <v/>
      </c>
      <c r="X17" s="206" t="str">
        <f>IF(X$3="","",IF(COUNTIFS(BD!$A$3:$A$5001,X$3,BD!$B$3:$B$5001,$A$5,BD!$AB$3:$AB$5001,"&lt;&gt;")=0,"",SUMIFS(BD!$AB$3:$AB$5001,BD!$A$3:$A$5001,X$3,BD!$B$3:$B$5001,$A$5)))</f>
        <v/>
      </c>
      <c r="Y17" s="206" t="str">
        <f>IF(Y$3="","",IF(COUNTIFS(BD!$A$3:$A$5001,Y$3,BD!$B$3:$B$5001,$A$5,BD!$AB$3:$AB$5001,"&lt;&gt;")=0,"",SUMIFS(BD!$AB$3:$AB$5001,BD!$A$3:$A$5001,Y$3,BD!$B$3:$B$5001,$A$5)))</f>
        <v/>
      </c>
      <c r="Z17" s="206" t="str">
        <f>IF(Z$3="","",IF(COUNTIFS(BD!$A$3:$A$5001,Z$3,BD!$B$3:$B$5001,$A$5,BD!$AB$3:$AB$5001,"&lt;&gt;")=0,"",SUMIFS(BD!$AB$3:$AB$5001,BD!$A$3:$A$5001,Z$3,BD!$B$3:$B$5001,$A$5)))</f>
        <v/>
      </c>
      <c r="AA17" s="206" t="str">
        <f>IF(AA$3="","",IF(COUNTIFS(BD!$A$3:$A$5001,AA$3,BD!$B$3:$B$5001,$A$5,BD!$AB$3:$AB$5001,"&lt;&gt;")=0,"",SUMIFS(BD!$AB$3:$AB$5001,BD!$A$3:$A$5001,AA$3,BD!$B$3:$B$5001,$A$5)))</f>
        <v/>
      </c>
      <c r="AB17" s="206" t="str">
        <f>IF(AB$3="","",IF(COUNTIFS(BD!$A$3:$A$5001,AB$3,BD!$B$3:$B$5001,$A$5,BD!$AB$3:$AB$5001,"&lt;&gt;")=0,"",SUMIFS(BD!$AB$3:$AB$5001,BD!$A$3:$A$5001,AB$3,BD!$B$3:$B$5001,$A$5)))</f>
        <v/>
      </c>
      <c r="AC17" s="206" t="str">
        <f>IF(AC$3="","",IF(COUNTIFS(BD!$A$3:$A$5001,AC$3,BD!$B$3:$B$5001,$A$5,BD!$AB$3:$AB$5001,"&lt;&gt;")=0,"",SUMIFS(BD!$AB$3:$AB$5001,BD!$A$3:$A$5001,AC$3,BD!$B$3:$B$5001,$A$5)))</f>
        <v/>
      </c>
      <c r="AD17" s="206" t="str">
        <f>IF(AD$3="","",IF(COUNTIFS(BD!$A$3:$A$5001,AD$3,BD!$B$3:$B$5001,$A$5,BD!$AB$3:$AB$5001,"&lt;&gt;")=0,"",SUMIFS(BD!$AB$3:$AB$5001,BD!$A$3:$A$5001,AD$3,BD!$B$3:$B$5001,$A$5)))</f>
        <v/>
      </c>
      <c r="AE17" s="206" t="str">
        <f>IF(AE$3="","",IF(COUNTIFS(BD!$A$3:$A$5001,AE$3,BD!$B$3:$B$5001,$A$5,BD!$AB$3:$AB$5001,"&lt;&gt;")=0,"",SUMIFS(BD!$AB$3:$AB$5001,BD!$A$3:$A$5001,AE$3,BD!$B$3:$B$5001,$A$5)))</f>
        <v/>
      </c>
      <c r="AF17" s="206" t="str">
        <f>IF(AF$3="","",IF(COUNTIFS(BD!$A$3:$A$5001,AF$3,BD!$B$3:$B$5001,$A$5,BD!$AB$3:$AB$5001,"&lt;&gt;")=0,"",SUMIFS(BD!$AB$3:$AB$5001,BD!$A$3:$A$5001,AF$3,BD!$B$3:$B$5001,$A$5)))</f>
        <v/>
      </c>
      <c r="AG17" s="206" t="str">
        <f>IF(AG$3="","",IF(COUNTIFS(BD!$A$3:$A$5001,AG$3,BD!$B$3:$B$5001,$A$5,BD!$AB$3:$AB$5001,"&lt;&gt;")=0,"",SUMIFS(BD!$AB$3:$AB$5001,BD!$A$3:$A$5001,AG$3,BD!$B$3:$B$5001,$A$5)))</f>
        <v/>
      </c>
      <c r="AH17" s="206" t="str">
        <f>IF(AH$3="","",IF(COUNTIFS(BD!$A$3:$A$5001,AH$3,BD!$B$3:$B$5001,$A$5,BD!$AB$3:$AB$5001,"&lt;&gt;")=0,"",SUMIFS(BD!$AB$3:$AB$5001,BD!$A$3:$A$5001,AH$3,BD!$B$3:$B$5001,$A$5)))</f>
        <v/>
      </c>
      <c r="AI17" s="206" t="str">
        <f>IF(AI$3="","",IF(COUNTIFS(BD!$A$3:$A$5001,AI$3,BD!$B$3:$B$5001,$A$5,BD!$AB$3:$AB$5001,"&lt;&gt;")=0,"",SUMIFS(BD!$AB$3:$AB$5001,BD!$A$3:$A$5001,AI$3,BD!$B$3:$B$5001,$A$5)))</f>
        <v/>
      </c>
      <c r="AJ17" s="207" t="str">
        <f>IF(AJ$3="","",IF(COUNTIFS(BD!$A$3:$A$5001,AJ$3,BD!$B$3:$B$5001,$A$5,BD!$AB$3:$AB$5001,"&lt;&gt;")=0,"",SUMIFS(BD!$AB$3:$AB$5001,BD!$A$3:$A$5001,AJ$3,BD!$B$3:$B$5001,$A$5)))</f>
        <v/>
      </c>
      <c r="AK17" s="208" t="str">
        <f>IF(COUNT(F17:AJ17)=0,"",SUM(F17:AJ17))</f>
        <v/>
      </c>
    </row>
    <row r="18" ht="15.75" customHeight="1">
      <c r="A18" s="227"/>
      <c r="B18" s="224"/>
      <c r="C18" s="202" t="inlineStr">
        <is>
          <t xml:space="preserve">Férias</t>
        </is>
      </c>
      <c r="D18" s="203" t="str">
        <f>IFERROR(1/(1/INDEX(BD!$AK$50:$AT$50,MATCH($A$5,BD!$AK$22:$AT$22,0))),"")</f>
        <v/>
      </c>
      <c r="E18" s="204"/>
      <c r="F18" s="205" t="str">
        <f>IF(F$3="","",IF(COUNTIFS(BD!$A$3:$A$5001,F$3,BD!$B$3:$B$5001,$A$5,BD!$AC$3:$AC$5001,"&lt;&gt;")=0,"",SUMIFS(BD!$AC$3:$AC$5001,BD!$A$3:$A$5001,F$3,BD!$B$3:$B$5001,$A$5)))</f>
        <v/>
      </c>
      <c r="G18" s="206" t="str">
        <f>IF(G$3="","",IF(COUNTIFS(BD!$A$3:$A$5001,G$3,BD!$B$3:$B$5001,$A$5,BD!$AC$3:$AC$5001,"&lt;&gt;")=0,"",SUMIFS(BD!$AC$3:$AC$5001,BD!$A$3:$A$5001,G$3,BD!$B$3:$B$5001,$A$5)))</f>
        <v/>
      </c>
      <c r="H18" s="206" t="str">
        <f>IF(H$3="","",IF(COUNTIFS(BD!$A$3:$A$5001,H$3,BD!$B$3:$B$5001,$A$5,BD!$AC$3:$AC$5001,"&lt;&gt;")=0,"",SUMIFS(BD!$AC$3:$AC$5001,BD!$A$3:$A$5001,H$3,BD!$B$3:$B$5001,$A$5)))</f>
        <v/>
      </c>
      <c r="I18" s="206" t="str">
        <f>IF(I$3="","",IF(COUNTIFS(BD!$A$3:$A$5001,I$3,BD!$B$3:$B$5001,$A$5,BD!$AC$3:$AC$5001,"&lt;&gt;")=0,"",SUMIFS(BD!$AC$3:$AC$5001,BD!$A$3:$A$5001,I$3,BD!$B$3:$B$5001,$A$5)))</f>
        <v/>
      </c>
      <c r="J18" s="206" t="str">
        <f>IF(J$3="","",IF(COUNTIFS(BD!$A$3:$A$5001,J$3,BD!$B$3:$B$5001,$A$5,BD!$AC$3:$AC$5001,"&lt;&gt;")=0,"",SUMIFS(BD!$AC$3:$AC$5001,BD!$A$3:$A$5001,J$3,BD!$B$3:$B$5001,$A$5)))</f>
        <v/>
      </c>
      <c r="K18" s="206" t="str">
        <f>IF(K$3="","",IF(COUNTIFS(BD!$A$3:$A$5001,K$3,BD!$B$3:$B$5001,$A$5,BD!$AC$3:$AC$5001,"&lt;&gt;")=0,"",SUMIFS(BD!$AC$3:$AC$5001,BD!$A$3:$A$5001,K$3,BD!$B$3:$B$5001,$A$5)))</f>
        <v/>
      </c>
      <c r="L18" s="206" t="str">
        <f>IF(L$3="","",IF(COUNTIFS(BD!$A$3:$A$5001,L$3,BD!$B$3:$B$5001,$A$5,BD!$AC$3:$AC$5001,"&lt;&gt;")=0,"",SUMIFS(BD!$AC$3:$AC$5001,BD!$A$3:$A$5001,L$3,BD!$B$3:$B$5001,$A$5)))</f>
        <v/>
      </c>
      <c r="M18" s="206" t="str">
        <f>IF(M$3="","",IF(COUNTIFS(BD!$A$3:$A$5001,M$3,BD!$B$3:$B$5001,$A$5,BD!$AC$3:$AC$5001,"&lt;&gt;")=0,"",SUMIFS(BD!$AC$3:$AC$5001,BD!$A$3:$A$5001,M$3,BD!$B$3:$B$5001,$A$5)))</f>
        <v/>
      </c>
      <c r="N18" s="206" t="str">
        <f>IF(N$3="","",IF(COUNTIFS(BD!$A$3:$A$5001,N$3,BD!$B$3:$B$5001,$A$5,BD!$AC$3:$AC$5001,"&lt;&gt;")=0,"",SUMIFS(BD!$AC$3:$AC$5001,BD!$A$3:$A$5001,N$3,BD!$B$3:$B$5001,$A$5)))</f>
        <v/>
      </c>
      <c r="O18" s="206" t="str">
        <f>IF(O$3="","",IF(COUNTIFS(BD!$A$3:$A$5001,O$3,BD!$B$3:$B$5001,$A$5,BD!$AC$3:$AC$5001,"&lt;&gt;")=0,"",SUMIFS(BD!$AC$3:$AC$5001,BD!$A$3:$A$5001,O$3,BD!$B$3:$B$5001,$A$5)))</f>
        <v/>
      </c>
      <c r="P18" s="206" t="str">
        <f>IF(P$3="","",IF(COUNTIFS(BD!$A$3:$A$5001,P$3,BD!$B$3:$B$5001,$A$5,BD!$AC$3:$AC$5001,"&lt;&gt;")=0,"",SUMIFS(BD!$AC$3:$AC$5001,BD!$A$3:$A$5001,P$3,BD!$B$3:$B$5001,$A$5)))</f>
        <v/>
      </c>
      <c r="Q18" s="206" t="str">
        <f>IF(Q$3="","",IF(COUNTIFS(BD!$A$3:$A$5001,Q$3,BD!$B$3:$B$5001,$A$5,BD!$AC$3:$AC$5001,"&lt;&gt;")=0,"",SUMIFS(BD!$AC$3:$AC$5001,BD!$A$3:$A$5001,Q$3,BD!$B$3:$B$5001,$A$5)))</f>
        <v/>
      </c>
      <c r="R18" s="206" t="str">
        <f>IF(R$3="","",IF(COUNTIFS(BD!$A$3:$A$5001,R$3,BD!$B$3:$B$5001,$A$5,BD!$AC$3:$AC$5001,"&lt;&gt;")=0,"",SUMIFS(BD!$AC$3:$AC$5001,BD!$A$3:$A$5001,R$3,BD!$B$3:$B$5001,$A$5)))</f>
        <v/>
      </c>
      <c r="S18" s="206" t="str">
        <f>IF(S$3="","",IF(COUNTIFS(BD!$A$3:$A$5001,S$3,BD!$B$3:$B$5001,$A$5,BD!$AC$3:$AC$5001,"&lt;&gt;")=0,"",SUMIFS(BD!$AC$3:$AC$5001,BD!$A$3:$A$5001,S$3,BD!$B$3:$B$5001,$A$5)))</f>
        <v/>
      </c>
      <c r="T18" s="206" t="str">
        <f>IF(T$3="","",IF(COUNTIFS(BD!$A$3:$A$5001,T$3,BD!$B$3:$B$5001,$A$5,BD!$AC$3:$AC$5001,"&lt;&gt;")=0,"",SUMIFS(BD!$AC$3:$AC$5001,BD!$A$3:$A$5001,T$3,BD!$B$3:$B$5001,$A$5)))</f>
        <v/>
      </c>
      <c r="U18" s="206" t="str">
        <f>IF(U$3="","",IF(COUNTIFS(BD!$A$3:$A$5001,U$3,BD!$B$3:$B$5001,$A$5,BD!$AC$3:$AC$5001,"&lt;&gt;")=0,"",SUMIFS(BD!$AC$3:$AC$5001,BD!$A$3:$A$5001,U$3,BD!$B$3:$B$5001,$A$5)))</f>
        <v/>
      </c>
      <c r="V18" s="206" t="str">
        <f>IF(V$3="","",IF(COUNTIFS(BD!$A$3:$A$5001,V$3,BD!$B$3:$B$5001,$A$5,BD!$AC$3:$AC$5001,"&lt;&gt;")=0,"",SUMIFS(BD!$AC$3:$AC$5001,BD!$A$3:$A$5001,V$3,BD!$B$3:$B$5001,$A$5)))</f>
        <v/>
      </c>
      <c r="W18" s="206" t="str">
        <f>IF(W$3="","",IF(COUNTIFS(BD!$A$3:$A$5001,W$3,BD!$B$3:$B$5001,$A$5,BD!$AC$3:$AC$5001,"&lt;&gt;")=0,"",SUMIFS(BD!$AC$3:$AC$5001,BD!$A$3:$A$5001,W$3,BD!$B$3:$B$5001,$A$5)))</f>
        <v/>
      </c>
      <c r="X18" s="206" t="str">
        <f>IF(X$3="","",IF(COUNTIFS(BD!$A$3:$A$5001,X$3,BD!$B$3:$B$5001,$A$5,BD!$AC$3:$AC$5001,"&lt;&gt;")=0,"",SUMIFS(BD!$AC$3:$AC$5001,BD!$A$3:$A$5001,X$3,BD!$B$3:$B$5001,$A$5)))</f>
        <v/>
      </c>
      <c r="Y18" s="206" t="str">
        <f>IF(Y$3="","",IF(COUNTIFS(BD!$A$3:$A$5001,Y$3,BD!$B$3:$B$5001,$A$5,BD!$AC$3:$AC$5001,"&lt;&gt;")=0,"",SUMIFS(BD!$AC$3:$AC$5001,BD!$A$3:$A$5001,Y$3,BD!$B$3:$B$5001,$A$5)))</f>
        <v/>
      </c>
      <c r="Z18" s="206" t="str">
        <f>IF(Z$3="","",IF(COUNTIFS(BD!$A$3:$A$5001,Z$3,BD!$B$3:$B$5001,$A$5,BD!$AC$3:$AC$5001,"&lt;&gt;")=0,"",SUMIFS(BD!$AC$3:$AC$5001,BD!$A$3:$A$5001,Z$3,BD!$B$3:$B$5001,$A$5)))</f>
        <v/>
      </c>
      <c r="AA18" s="206" t="str">
        <f>IF(AA$3="","",IF(COUNTIFS(BD!$A$3:$A$5001,AA$3,BD!$B$3:$B$5001,$A$5,BD!$AC$3:$AC$5001,"&lt;&gt;")=0,"",SUMIFS(BD!$AC$3:$AC$5001,BD!$A$3:$A$5001,AA$3,BD!$B$3:$B$5001,$A$5)))</f>
        <v/>
      </c>
      <c r="AB18" s="206" t="str">
        <f>IF(AB$3="","",IF(COUNTIFS(BD!$A$3:$A$5001,AB$3,BD!$B$3:$B$5001,$A$5,BD!$AC$3:$AC$5001,"&lt;&gt;")=0,"",SUMIFS(BD!$AC$3:$AC$5001,BD!$A$3:$A$5001,AB$3,BD!$B$3:$B$5001,$A$5)))</f>
        <v/>
      </c>
      <c r="AC18" s="206" t="str">
        <f>IF(AC$3="","",IF(COUNTIFS(BD!$A$3:$A$5001,AC$3,BD!$B$3:$B$5001,$A$5,BD!$AC$3:$AC$5001,"&lt;&gt;")=0,"",SUMIFS(BD!$AC$3:$AC$5001,BD!$A$3:$A$5001,AC$3,BD!$B$3:$B$5001,$A$5)))</f>
        <v/>
      </c>
      <c r="AD18" s="206" t="str">
        <f>IF(AD$3="","",IF(COUNTIFS(BD!$A$3:$A$5001,AD$3,BD!$B$3:$B$5001,$A$5,BD!$AC$3:$AC$5001,"&lt;&gt;")=0,"",SUMIFS(BD!$AC$3:$AC$5001,BD!$A$3:$A$5001,AD$3,BD!$B$3:$B$5001,$A$5)))</f>
        <v/>
      </c>
      <c r="AE18" s="206" t="str">
        <f>IF(AE$3="","",IF(COUNTIFS(BD!$A$3:$A$5001,AE$3,BD!$B$3:$B$5001,$A$5,BD!$AC$3:$AC$5001,"&lt;&gt;")=0,"",SUMIFS(BD!$AC$3:$AC$5001,BD!$A$3:$A$5001,AE$3,BD!$B$3:$B$5001,$A$5)))</f>
        <v/>
      </c>
      <c r="AF18" s="206" t="str">
        <f>IF(AF$3="","",IF(COUNTIFS(BD!$A$3:$A$5001,AF$3,BD!$B$3:$B$5001,$A$5,BD!$AC$3:$AC$5001,"&lt;&gt;")=0,"",SUMIFS(BD!$AC$3:$AC$5001,BD!$A$3:$A$5001,AF$3,BD!$B$3:$B$5001,$A$5)))</f>
        <v/>
      </c>
      <c r="AG18" s="206" t="str">
        <f>IF(AG$3="","",IF(COUNTIFS(BD!$A$3:$A$5001,AG$3,BD!$B$3:$B$5001,$A$5,BD!$AC$3:$AC$5001,"&lt;&gt;")=0,"",SUMIFS(BD!$AC$3:$AC$5001,BD!$A$3:$A$5001,AG$3,BD!$B$3:$B$5001,$A$5)))</f>
        <v/>
      </c>
      <c r="AH18" s="206" t="str">
        <f>IF(AH$3="","",IF(COUNTIFS(BD!$A$3:$A$5001,AH$3,BD!$B$3:$B$5001,$A$5,BD!$AC$3:$AC$5001,"&lt;&gt;")=0,"",SUMIFS(BD!$AC$3:$AC$5001,BD!$A$3:$A$5001,AH$3,BD!$B$3:$B$5001,$A$5)))</f>
        <v/>
      </c>
      <c r="AI18" s="206" t="str">
        <f>IF(AI$3="","",IF(COUNTIFS(BD!$A$3:$A$5001,AI$3,BD!$B$3:$B$5001,$A$5,BD!$AC$3:$AC$5001,"&lt;&gt;")=0,"",SUMIFS(BD!$AC$3:$AC$5001,BD!$A$3:$A$5001,AI$3,BD!$B$3:$B$5001,$A$5)))</f>
        <v/>
      </c>
      <c r="AJ18" s="207" t="str">
        <f>IF(AJ$3="","",IF(COUNTIFS(BD!$A$3:$A$5001,AJ$3,BD!$B$3:$B$5001,$A$5,BD!$AC$3:$AC$5001,"&lt;&gt;")=0,"",SUMIFS(BD!$AC$3:$AC$5001,BD!$A$3:$A$5001,AJ$3,BD!$B$3:$B$5001,$A$5)))</f>
        <v/>
      </c>
      <c r="AK18" s="208" t="str">
        <f>IF(COUNT(F18:AJ18)=0,"",SUM(F18:AJ18))</f>
        <v/>
      </c>
    </row>
    <row r="19" ht="15.75" customHeight="1">
      <c r="A19" s="227"/>
      <c r="B19" s="224"/>
      <c r="C19" s="202" t="inlineStr">
        <is>
          <t xml:space="preserve">Desligamento</t>
        </is>
      </c>
      <c r="D19" s="203" t="str">
        <f>IFERROR(1/(1/INDEX(BD!$AK$51:$AT$51,MATCH($A$5,BD!$AK$22:$AT$22,0))),"")</f>
        <v/>
      </c>
      <c r="E19" s="204"/>
      <c r="F19" s="205" t="str">
        <f>IF(F$3="","",IF(COUNTIFS(BD!$A$3:$A$5001,F$3,BD!$B$3:$B$5001,$A$5,BD!$AD$3:$AD$5001,"&lt;&gt;")=0,"",SUMIFS(BD!$AD$3:$AD$5001,BD!$A$3:$A$5001,F$3,BD!$B$3:$B$5001,$A$5)))</f>
        <v/>
      </c>
      <c r="G19" s="206" t="str">
        <f>IF(G$3="","",IF(COUNTIFS(BD!$A$3:$A$5001,G$3,BD!$B$3:$B$5001,$A$5,BD!$AD$3:$AD$5001,"&lt;&gt;")=0,"",SUMIFS(BD!$AD$3:$AD$5001,BD!$A$3:$A$5001,G$3,BD!$B$3:$B$5001,$A$5)))</f>
        <v/>
      </c>
      <c r="H19" s="206" t="str">
        <f>IF(H$3="","",IF(COUNTIFS(BD!$A$3:$A$5001,H$3,BD!$B$3:$B$5001,$A$5,BD!$AD$3:$AD$5001,"&lt;&gt;")=0,"",SUMIFS(BD!$AD$3:$AD$5001,BD!$A$3:$A$5001,H$3,BD!$B$3:$B$5001,$A$5)))</f>
        <v/>
      </c>
      <c r="I19" s="206" t="str">
        <f>IF(I$3="","",IF(COUNTIFS(BD!$A$3:$A$5001,I$3,BD!$B$3:$B$5001,$A$5,BD!$AD$3:$AD$5001,"&lt;&gt;")=0,"",SUMIFS(BD!$AD$3:$AD$5001,BD!$A$3:$A$5001,I$3,BD!$B$3:$B$5001,$A$5)))</f>
        <v/>
      </c>
      <c r="J19" s="206" t="str">
        <f>IF(J$3="","",IF(COUNTIFS(BD!$A$3:$A$5001,J$3,BD!$B$3:$B$5001,$A$5,BD!$AD$3:$AD$5001,"&lt;&gt;")=0,"",SUMIFS(BD!$AD$3:$AD$5001,BD!$A$3:$A$5001,J$3,BD!$B$3:$B$5001,$A$5)))</f>
        <v/>
      </c>
      <c r="K19" s="206" t="str">
        <f>IF(K$3="","",IF(COUNTIFS(BD!$A$3:$A$5001,K$3,BD!$B$3:$B$5001,$A$5,BD!$AD$3:$AD$5001,"&lt;&gt;")=0,"",SUMIFS(BD!$AD$3:$AD$5001,BD!$A$3:$A$5001,K$3,BD!$B$3:$B$5001,$A$5)))</f>
        <v/>
      </c>
      <c r="L19" s="206" t="str">
        <f>IF(L$3="","",IF(COUNTIFS(BD!$A$3:$A$5001,L$3,BD!$B$3:$B$5001,$A$5,BD!$AD$3:$AD$5001,"&lt;&gt;")=0,"",SUMIFS(BD!$AD$3:$AD$5001,BD!$A$3:$A$5001,L$3,BD!$B$3:$B$5001,$A$5)))</f>
        <v/>
      </c>
      <c r="M19" s="206" t="str">
        <f>IF(M$3="","",IF(COUNTIFS(BD!$A$3:$A$5001,M$3,BD!$B$3:$B$5001,$A$5,BD!$AD$3:$AD$5001,"&lt;&gt;")=0,"",SUMIFS(BD!$AD$3:$AD$5001,BD!$A$3:$A$5001,M$3,BD!$B$3:$B$5001,$A$5)))</f>
        <v/>
      </c>
      <c r="N19" s="206" t="str">
        <f>IF(N$3="","",IF(COUNTIFS(BD!$A$3:$A$5001,N$3,BD!$B$3:$B$5001,$A$5,BD!$AD$3:$AD$5001,"&lt;&gt;")=0,"",SUMIFS(BD!$AD$3:$AD$5001,BD!$A$3:$A$5001,N$3,BD!$B$3:$B$5001,$A$5)))</f>
        <v/>
      </c>
      <c r="O19" s="206" t="str">
        <f>IF(O$3="","",IF(COUNTIFS(BD!$A$3:$A$5001,O$3,BD!$B$3:$B$5001,$A$5,BD!$AD$3:$AD$5001,"&lt;&gt;")=0,"",SUMIFS(BD!$AD$3:$AD$5001,BD!$A$3:$A$5001,O$3,BD!$B$3:$B$5001,$A$5)))</f>
        <v/>
      </c>
      <c r="P19" s="206" t="str">
        <f>IF(P$3="","",IF(COUNTIFS(BD!$A$3:$A$5001,P$3,BD!$B$3:$B$5001,$A$5,BD!$AD$3:$AD$5001,"&lt;&gt;")=0,"",SUMIFS(BD!$AD$3:$AD$5001,BD!$A$3:$A$5001,P$3,BD!$B$3:$B$5001,$A$5)))</f>
        <v/>
      </c>
      <c r="Q19" s="206" t="str">
        <f>IF(Q$3="","",IF(COUNTIFS(BD!$A$3:$A$5001,Q$3,BD!$B$3:$B$5001,$A$5,BD!$AD$3:$AD$5001,"&lt;&gt;")=0,"",SUMIFS(BD!$AD$3:$AD$5001,BD!$A$3:$A$5001,Q$3,BD!$B$3:$B$5001,$A$5)))</f>
        <v/>
      </c>
      <c r="R19" s="206" t="str">
        <f>IF(R$3="","",IF(COUNTIFS(BD!$A$3:$A$5001,R$3,BD!$B$3:$B$5001,$A$5,BD!$AD$3:$AD$5001,"&lt;&gt;")=0,"",SUMIFS(BD!$AD$3:$AD$5001,BD!$A$3:$A$5001,R$3,BD!$B$3:$B$5001,$A$5)))</f>
        <v/>
      </c>
      <c r="S19" s="206" t="str">
        <f>IF(S$3="","",IF(COUNTIFS(BD!$A$3:$A$5001,S$3,BD!$B$3:$B$5001,$A$5,BD!$AD$3:$AD$5001,"&lt;&gt;")=0,"",SUMIFS(BD!$AD$3:$AD$5001,BD!$A$3:$A$5001,S$3,BD!$B$3:$B$5001,$A$5)))</f>
        <v/>
      </c>
      <c r="T19" s="206" t="str">
        <f>IF(T$3="","",IF(COUNTIFS(BD!$A$3:$A$5001,T$3,BD!$B$3:$B$5001,$A$5,BD!$AD$3:$AD$5001,"&lt;&gt;")=0,"",SUMIFS(BD!$AD$3:$AD$5001,BD!$A$3:$A$5001,T$3,BD!$B$3:$B$5001,$A$5)))</f>
        <v/>
      </c>
      <c r="U19" s="206" t="str">
        <f>IF(U$3="","",IF(COUNTIFS(BD!$A$3:$A$5001,U$3,BD!$B$3:$B$5001,$A$5,BD!$AD$3:$AD$5001,"&lt;&gt;")=0,"",SUMIFS(BD!$AD$3:$AD$5001,BD!$A$3:$A$5001,U$3,BD!$B$3:$B$5001,$A$5)))</f>
        <v/>
      </c>
      <c r="V19" s="206" t="str">
        <f>IF(V$3="","",IF(COUNTIFS(BD!$A$3:$A$5001,V$3,BD!$B$3:$B$5001,$A$5,BD!$AD$3:$AD$5001,"&lt;&gt;")=0,"",SUMIFS(BD!$AD$3:$AD$5001,BD!$A$3:$A$5001,V$3,BD!$B$3:$B$5001,$A$5)))</f>
        <v/>
      </c>
      <c r="W19" s="206" t="str">
        <f>IF(W$3="","",IF(COUNTIFS(BD!$A$3:$A$5001,W$3,BD!$B$3:$B$5001,$A$5,BD!$AD$3:$AD$5001,"&lt;&gt;")=0,"",SUMIFS(BD!$AD$3:$AD$5001,BD!$A$3:$A$5001,W$3,BD!$B$3:$B$5001,$A$5)))</f>
        <v/>
      </c>
      <c r="X19" s="206" t="str">
        <f>IF(X$3="","",IF(COUNTIFS(BD!$A$3:$A$5001,X$3,BD!$B$3:$B$5001,$A$5,BD!$AD$3:$AD$5001,"&lt;&gt;")=0,"",SUMIFS(BD!$AD$3:$AD$5001,BD!$A$3:$A$5001,X$3,BD!$B$3:$B$5001,$A$5)))</f>
        <v/>
      </c>
      <c r="Y19" s="206" t="str">
        <f>IF(Y$3="","",IF(COUNTIFS(BD!$A$3:$A$5001,Y$3,BD!$B$3:$B$5001,$A$5,BD!$AD$3:$AD$5001,"&lt;&gt;")=0,"",SUMIFS(BD!$AD$3:$AD$5001,BD!$A$3:$A$5001,Y$3,BD!$B$3:$B$5001,$A$5)))</f>
        <v/>
      </c>
      <c r="Z19" s="206" t="str">
        <f>IF(Z$3="","",IF(COUNTIFS(BD!$A$3:$A$5001,Z$3,BD!$B$3:$B$5001,$A$5,BD!$AD$3:$AD$5001,"&lt;&gt;")=0,"",SUMIFS(BD!$AD$3:$AD$5001,BD!$A$3:$A$5001,Z$3,BD!$B$3:$B$5001,$A$5)))</f>
        <v/>
      </c>
      <c r="AA19" s="206" t="str">
        <f>IF(AA$3="","",IF(COUNTIFS(BD!$A$3:$A$5001,AA$3,BD!$B$3:$B$5001,$A$5,BD!$AD$3:$AD$5001,"&lt;&gt;")=0,"",SUMIFS(BD!$AD$3:$AD$5001,BD!$A$3:$A$5001,AA$3,BD!$B$3:$B$5001,$A$5)))</f>
        <v/>
      </c>
      <c r="AB19" s="206" t="str">
        <f>IF(AB$3="","",IF(COUNTIFS(BD!$A$3:$A$5001,AB$3,BD!$B$3:$B$5001,$A$5,BD!$AD$3:$AD$5001,"&lt;&gt;")=0,"",SUMIFS(BD!$AD$3:$AD$5001,BD!$A$3:$A$5001,AB$3,BD!$B$3:$B$5001,$A$5)))</f>
        <v/>
      </c>
      <c r="AC19" s="206" t="str">
        <f>IF(AC$3="","",IF(COUNTIFS(BD!$A$3:$A$5001,AC$3,BD!$B$3:$B$5001,$A$5,BD!$AD$3:$AD$5001,"&lt;&gt;")=0,"",SUMIFS(BD!$AD$3:$AD$5001,BD!$A$3:$A$5001,AC$3,BD!$B$3:$B$5001,$A$5)))</f>
        <v/>
      </c>
      <c r="AD19" s="206" t="str">
        <f>IF(AD$3="","",IF(COUNTIFS(BD!$A$3:$A$5001,AD$3,BD!$B$3:$B$5001,$A$5,BD!$AD$3:$AD$5001,"&lt;&gt;")=0,"",SUMIFS(BD!$AD$3:$AD$5001,BD!$A$3:$A$5001,AD$3,BD!$B$3:$B$5001,$A$5)))</f>
        <v/>
      </c>
      <c r="AE19" s="206" t="str">
        <f>IF(AE$3="","",IF(COUNTIFS(BD!$A$3:$A$5001,AE$3,BD!$B$3:$B$5001,$A$5,BD!$AD$3:$AD$5001,"&lt;&gt;")=0,"",SUMIFS(BD!$AD$3:$AD$5001,BD!$A$3:$A$5001,AE$3,BD!$B$3:$B$5001,$A$5)))</f>
        <v/>
      </c>
      <c r="AF19" s="206" t="str">
        <f>IF(AF$3="","",IF(COUNTIFS(BD!$A$3:$A$5001,AF$3,BD!$B$3:$B$5001,$A$5,BD!$AD$3:$AD$5001,"&lt;&gt;")=0,"",SUMIFS(BD!$AD$3:$AD$5001,BD!$A$3:$A$5001,AF$3,BD!$B$3:$B$5001,$A$5)))</f>
        <v/>
      </c>
      <c r="AG19" s="206" t="str">
        <f>IF(AG$3="","",IF(COUNTIFS(BD!$A$3:$A$5001,AG$3,BD!$B$3:$B$5001,$A$5,BD!$AD$3:$AD$5001,"&lt;&gt;")=0,"",SUMIFS(BD!$AD$3:$AD$5001,BD!$A$3:$A$5001,AG$3,BD!$B$3:$B$5001,$A$5)))</f>
        <v/>
      </c>
      <c r="AH19" s="206" t="str">
        <f>IF(AH$3="","",IF(COUNTIFS(BD!$A$3:$A$5001,AH$3,BD!$B$3:$B$5001,$A$5,BD!$AD$3:$AD$5001,"&lt;&gt;")=0,"",SUMIFS(BD!$AD$3:$AD$5001,BD!$A$3:$A$5001,AH$3,BD!$B$3:$B$5001,$A$5)))</f>
        <v/>
      </c>
      <c r="AI19" s="206" t="str">
        <f>IF(AI$3="","",IF(COUNTIFS(BD!$A$3:$A$5001,AI$3,BD!$B$3:$B$5001,$A$5,BD!$AD$3:$AD$5001,"&lt;&gt;")=0,"",SUMIFS(BD!$AD$3:$AD$5001,BD!$A$3:$A$5001,AI$3,BD!$B$3:$B$5001,$A$5)))</f>
        <v/>
      </c>
      <c r="AJ19" s="207" t="str">
        <f>IF(AJ$3="","",IF(COUNTIFS(BD!$A$3:$A$5001,AJ$3,BD!$B$3:$B$5001,$A$5,BD!$AD$3:$AD$5001,"&lt;&gt;")=0,"",SUMIFS(BD!$AD$3:$AD$5001,BD!$A$3:$A$5001,AJ$3,BD!$B$3:$B$5001,$A$5)))</f>
        <v/>
      </c>
      <c r="AK19" s="208" t="str">
        <f>IF(COUNT(F19:AJ19)=0,"",SUM(F19:AJ19))</f>
        <v/>
      </c>
    </row>
    <row r="20" ht="15.75" customHeight="1">
      <c r="A20" s="227"/>
      <c r="B20" s="224"/>
      <c r="C20" s="202" t="inlineStr">
        <is>
          <t xml:space="preserve">Desvios Comportamentais</t>
        </is>
      </c>
      <c r="D20" s="203" t="str">
        <f>IFERROR(1/(1/INDEX(BD!$AK$52:$AT$52,MATCH($A$5,BD!$AK$22:$AT$22,0))),"")</f>
        <v/>
      </c>
      <c r="E20" s="204"/>
      <c r="F20" s="205" t="str">
        <f>IF(F$3="","",IF(COUNTIFS(BD!$A$3:$A$5001,F$3,BD!$B$3:$B$5001,$A$5,BD!$AE$3:$AE$5001,"&lt;&gt;")=0,"",SUMIFS(BD!$AE$3:$AE$5001,BD!$A$3:$A$5001,F$3,BD!$B$3:$B$5001,$A$5)))</f>
        <v/>
      </c>
      <c r="G20" s="206" t="str">
        <f>IF(G$3="","",IF(COUNTIFS(BD!$A$3:$A$5001,G$3,BD!$B$3:$B$5001,$A$5,BD!$AE$3:$AE$5001,"&lt;&gt;")=0,"",SUMIFS(BD!$AE$3:$AE$5001,BD!$A$3:$A$5001,G$3,BD!$B$3:$B$5001,$A$5)))</f>
        <v/>
      </c>
      <c r="H20" s="206" t="str">
        <f>IF(H$3="","",IF(COUNTIFS(BD!$A$3:$A$5001,H$3,BD!$B$3:$B$5001,$A$5,BD!$AE$3:$AE$5001,"&lt;&gt;")=0,"",SUMIFS(BD!$AE$3:$AE$5001,BD!$A$3:$A$5001,H$3,BD!$B$3:$B$5001,$A$5)))</f>
        <v/>
      </c>
      <c r="I20" s="206" t="str">
        <f>IF(I$3="","",IF(COUNTIFS(BD!$A$3:$A$5001,I$3,BD!$B$3:$B$5001,$A$5,BD!$AE$3:$AE$5001,"&lt;&gt;")=0,"",SUMIFS(BD!$AE$3:$AE$5001,BD!$A$3:$A$5001,I$3,BD!$B$3:$B$5001,$A$5)))</f>
        <v/>
      </c>
      <c r="J20" s="206" t="str">
        <f>IF(J$3="","",IF(COUNTIFS(BD!$A$3:$A$5001,J$3,BD!$B$3:$B$5001,$A$5,BD!$AE$3:$AE$5001,"&lt;&gt;")=0,"",SUMIFS(BD!$AE$3:$AE$5001,BD!$A$3:$A$5001,J$3,BD!$B$3:$B$5001,$A$5)))</f>
        <v/>
      </c>
      <c r="K20" s="206" t="str">
        <f>IF(K$3="","",IF(COUNTIFS(BD!$A$3:$A$5001,K$3,BD!$B$3:$B$5001,$A$5,BD!$AE$3:$AE$5001,"&lt;&gt;")=0,"",SUMIFS(BD!$AE$3:$AE$5001,BD!$A$3:$A$5001,K$3,BD!$B$3:$B$5001,$A$5)))</f>
        <v/>
      </c>
      <c r="L20" s="206" t="str">
        <f>IF(L$3="","",IF(COUNTIFS(BD!$A$3:$A$5001,L$3,BD!$B$3:$B$5001,$A$5,BD!$AE$3:$AE$5001,"&lt;&gt;")=0,"",SUMIFS(BD!$AE$3:$AE$5001,BD!$A$3:$A$5001,L$3,BD!$B$3:$B$5001,$A$5)))</f>
        <v/>
      </c>
      <c r="M20" s="206" t="str">
        <f>IF(M$3="","",IF(COUNTIFS(BD!$A$3:$A$5001,M$3,BD!$B$3:$B$5001,$A$5,BD!$AE$3:$AE$5001,"&lt;&gt;")=0,"",SUMIFS(BD!$AE$3:$AE$5001,BD!$A$3:$A$5001,M$3,BD!$B$3:$B$5001,$A$5)))</f>
        <v/>
      </c>
      <c r="N20" s="206" t="str">
        <f>IF(N$3="","",IF(COUNTIFS(BD!$A$3:$A$5001,N$3,BD!$B$3:$B$5001,$A$5,BD!$AE$3:$AE$5001,"&lt;&gt;")=0,"",SUMIFS(BD!$AE$3:$AE$5001,BD!$A$3:$A$5001,N$3,BD!$B$3:$B$5001,$A$5)))</f>
        <v/>
      </c>
      <c r="O20" s="206" t="str">
        <f>IF(O$3="","",IF(COUNTIFS(BD!$A$3:$A$5001,O$3,BD!$B$3:$B$5001,$A$5,BD!$AE$3:$AE$5001,"&lt;&gt;")=0,"",SUMIFS(BD!$AE$3:$AE$5001,BD!$A$3:$A$5001,O$3,BD!$B$3:$B$5001,$A$5)))</f>
        <v/>
      </c>
      <c r="P20" s="206" t="str">
        <f>IF(P$3="","",IF(COUNTIFS(BD!$A$3:$A$5001,P$3,BD!$B$3:$B$5001,$A$5,BD!$AE$3:$AE$5001,"&lt;&gt;")=0,"",SUMIFS(BD!$AE$3:$AE$5001,BD!$A$3:$A$5001,P$3,BD!$B$3:$B$5001,$A$5)))</f>
        <v/>
      </c>
      <c r="Q20" s="206" t="str">
        <f>IF(Q$3="","",IF(COUNTIFS(BD!$A$3:$A$5001,Q$3,BD!$B$3:$B$5001,$A$5,BD!$AE$3:$AE$5001,"&lt;&gt;")=0,"",SUMIFS(BD!$AE$3:$AE$5001,BD!$A$3:$A$5001,Q$3,BD!$B$3:$B$5001,$A$5)))</f>
        <v/>
      </c>
      <c r="R20" s="206" t="str">
        <f>IF(R$3="","",IF(COUNTIFS(BD!$A$3:$A$5001,R$3,BD!$B$3:$B$5001,$A$5,BD!$AE$3:$AE$5001,"&lt;&gt;")=0,"",SUMIFS(BD!$AE$3:$AE$5001,BD!$A$3:$A$5001,R$3,BD!$B$3:$B$5001,$A$5)))</f>
        <v/>
      </c>
      <c r="S20" s="206" t="str">
        <f>IF(S$3="","",IF(COUNTIFS(BD!$A$3:$A$5001,S$3,BD!$B$3:$B$5001,$A$5,BD!$AE$3:$AE$5001,"&lt;&gt;")=0,"",SUMIFS(BD!$AE$3:$AE$5001,BD!$A$3:$A$5001,S$3,BD!$B$3:$B$5001,$A$5)))</f>
        <v/>
      </c>
      <c r="T20" s="206" t="str">
        <f>IF(T$3="","",IF(COUNTIFS(BD!$A$3:$A$5001,T$3,BD!$B$3:$B$5001,$A$5,BD!$AE$3:$AE$5001,"&lt;&gt;")=0,"",SUMIFS(BD!$AE$3:$AE$5001,BD!$A$3:$A$5001,T$3,BD!$B$3:$B$5001,$A$5)))</f>
        <v/>
      </c>
      <c r="U20" s="206" t="str">
        <f>IF(U$3="","",IF(COUNTIFS(BD!$A$3:$A$5001,U$3,BD!$B$3:$B$5001,$A$5,BD!$AE$3:$AE$5001,"&lt;&gt;")=0,"",SUMIFS(BD!$AE$3:$AE$5001,BD!$A$3:$A$5001,U$3,BD!$B$3:$B$5001,$A$5)))</f>
        <v/>
      </c>
      <c r="V20" s="206" t="str">
        <f>IF(V$3="","",IF(COUNTIFS(BD!$A$3:$A$5001,V$3,BD!$B$3:$B$5001,$A$5,BD!$AE$3:$AE$5001,"&lt;&gt;")=0,"",SUMIFS(BD!$AE$3:$AE$5001,BD!$A$3:$A$5001,V$3,BD!$B$3:$B$5001,$A$5)))</f>
        <v/>
      </c>
      <c r="W20" s="206" t="str">
        <f>IF(W$3="","",IF(COUNTIFS(BD!$A$3:$A$5001,W$3,BD!$B$3:$B$5001,$A$5,BD!$AE$3:$AE$5001,"&lt;&gt;")=0,"",SUMIFS(BD!$AE$3:$AE$5001,BD!$A$3:$A$5001,W$3,BD!$B$3:$B$5001,$A$5)))</f>
        <v/>
      </c>
      <c r="X20" s="206" t="str">
        <f>IF(X$3="","",IF(COUNTIFS(BD!$A$3:$A$5001,X$3,BD!$B$3:$B$5001,$A$5,BD!$AE$3:$AE$5001,"&lt;&gt;")=0,"",SUMIFS(BD!$AE$3:$AE$5001,BD!$A$3:$A$5001,X$3,BD!$B$3:$B$5001,$A$5)))</f>
        <v/>
      </c>
      <c r="Y20" s="206" t="str">
        <f>IF(Y$3="","",IF(COUNTIFS(BD!$A$3:$A$5001,Y$3,BD!$B$3:$B$5001,$A$5,BD!$AE$3:$AE$5001,"&lt;&gt;")=0,"",SUMIFS(BD!$AE$3:$AE$5001,BD!$A$3:$A$5001,Y$3,BD!$B$3:$B$5001,$A$5)))</f>
        <v/>
      </c>
      <c r="Z20" s="206" t="str">
        <f>IF(Z$3="","",IF(COUNTIFS(BD!$A$3:$A$5001,Z$3,BD!$B$3:$B$5001,$A$5,BD!$AE$3:$AE$5001,"&lt;&gt;")=0,"",SUMIFS(BD!$AE$3:$AE$5001,BD!$A$3:$A$5001,Z$3,BD!$B$3:$B$5001,$A$5)))</f>
        <v/>
      </c>
      <c r="AA20" s="206" t="str">
        <f>IF(AA$3="","",IF(COUNTIFS(BD!$A$3:$A$5001,AA$3,BD!$B$3:$B$5001,$A$5,BD!$AE$3:$AE$5001,"&lt;&gt;")=0,"",SUMIFS(BD!$AE$3:$AE$5001,BD!$A$3:$A$5001,AA$3,BD!$B$3:$B$5001,$A$5)))</f>
        <v/>
      </c>
      <c r="AB20" s="206" t="str">
        <f>IF(AB$3="","",IF(COUNTIFS(BD!$A$3:$A$5001,AB$3,BD!$B$3:$B$5001,$A$5,BD!$AE$3:$AE$5001,"&lt;&gt;")=0,"",SUMIFS(BD!$AE$3:$AE$5001,BD!$A$3:$A$5001,AB$3,BD!$B$3:$B$5001,$A$5)))</f>
        <v/>
      </c>
      <c r="AC20" s="206" t="str">
        <f>IF(AC$3="","",IF(COUNTIFS(BD!$A$3:$A$5001,AC$3,BD!$B$3:$B$5001,$A$5,BD!$AE$3:$AE$5001,"&lt;&gt;")=0,"",SUMIFS(BD!$AE$3:$AE$5001,BD!$A$3:$A$5001,AC$3,BD!$B$3:$B$5001,$A$5)))</f>
        <v/>
      </c>
      <c r="AD20" s="206" t="str">
        <f>IF(AD$3="","",IF(COUNTIFS(BD!$A$3:$A$5001,AD$3,BD!$B$3:$B$5001,$A$5,BD!$AE$3:$AE$5001,"&lt;&gt;")=0,"",SUMIFS(BD!$AE$3:$AE$5001,BD!$A$3:$A$5001,AD$3,BD!$B$3:$B$5001,$A$5)))</f>
        <v/>
      </c>
      <c r="AE20" s="206" t="str">
        <f>IF(AE$3="","",IF(COUNTIFS(BD!$A$3:$A$5001,AE$3,BD!$B$3:$B$5001,$A$5,BD!$AE$3:$AE$5001,"&lt;&gt;")=0,"",SUMIFS(BD!$AE$3:$AE$5001,BD!$A$3:$A$5001,AE$3,BD!$B$3:$B$5001,$A$5)))</f>
        <v/>
      </c>
      <c r="AF20" s="206" t="str">
        <f>IF(AF$3="","",IF(COUNTIFS(BD!$A$3:$A$5001,AF$3,BD!$B$3:$B$5001,$A$5,BD!$AE$3:$AE$5001,"&lt;&gt;")=0,"",SUMIFS(BD!$AE$3:$AE$5001,BD!$A$3:$A$5001,AF$3,BD!$B$3:$B$5001,$A$5)))</f>
        <v/>
      </c>
      <c r="AG20" s="206" t="str">
        <f>IF(AG$3="","",IF(COUNTIFS(BD!$A$3:$A$5001,AG$3,BD!$B$3:$B$5001,$A$5,BD!$AE$3:$AE$5001,"&lt;&gt;")=0,"",SUMIFS(BD!$AE$3:$AE$5001,BD!$A$3:$A$5001,AG$3,BD!$B$3:$B$5001,$A$5)))</f>
        <v/>
      </c>
      <c r="AH20" s="206" t="str">
        <f>IF(AH$3="","",IF(COUNTIFS(BD!$A$3:$A$5001,AH$3,BD!$B$3:$B$5001,$A$5,BD!$AE$3:$AE$5001,"&lt;&gt;")=0,"",SUMIFS(BD!$AE$3:$AE$5001,BD!$A$3:$A$5001,AH$3,BD!$B$3:$B$5001,$A$5)))</f>
        <v/>
      </c>
      <c r="AI20" s="206" t="str">
        <f>IF(AI$3="","",IF(COUNTIFS(BD!$A$3:$A$5001,AI$3,BD!$B$3:$B$5001,$A$5,BD!$AE$3:$AE$5001,"&lt;&gt;")=0,"",SUMIFS(BD!$AE$3:$AE$5001,BD!$A$3:$A$5001,AI$3,BD!$B$3:$B$5001,$A$5)))</f>
        <v/>
      </c>
      <c r="AJ20" s="207" t="str">
        <f>IF(AJ$3="","",IF(COUNTIFS(BD!$A$3:$A$5001,AJ$3,BD!$B$3:$B$5001,$A$5,BD!$AE$3:$AE$5001,"&lt;&gt;")=0,"",SUMIFS(BD!$AE$3:$AE$5001,BD!$A$3:$A$5001,AJ$3,BD!$B$3:$B$5001,$A$5)))</f>
        <v/>
      </c>
      <c r="AK20" s="208" t="str">
        <f>IF(COUNT(F20:AJ20)=0,"",SUM(F20:AJ20))</f>
        <v/>
      </c>
    </row>
    <row r="21" ht="15.75" customHeight="1">
      <c r="A21" s="227"/>
      <c r="B21" s="224"/>
      <c r="C21" s="202" t="inlineStr">
        <is>
          <t xml:space="preserve">Acidentes CAF</t>
        </is>
      </c>
      <c r="D21" s="203" t="str">
        <f>IFERROR(1/(1/INDEX(BD!$AK$53:$AT$53,MATCH($A$5,BD!$AK$22:$AT$22,0))),"")</f>
        <v/>
      </c>
      <c r="E21" s="204"/>
      <c r="F21" s="205" t="str">
        <f>IF(F$3="","",IF(COUNTIFS(BD!$A$3:$A$5001,F$3,BD!$B$3:$B$5001,$A$5,BD!$AF$3:$AF$5001,"&lt;&gt;")=0,"",SUMIFS(BD!$AF$3:$AF$5001,BD!$A$3:$A$5001,F$3,BD!$B$3:$B$5001,$A$5)))</f>
        <v/>
      </c>
      <c r="G21" s="206" t="str">
        <f>IF(G$3="","",IF(COUNTIFS(BD!$A$3:$A$5001,G$3,BD!$B$3:$B$5001,$A$5,BD!$AF$3:$AF$5001,"&lt;&gt;")=0,"",SUMIFS(BD!$AF$3:$AF$5001,BD!$A$3:$A$5001,G$3,BD!$B$3:$B$5001,$A$5)))</f>
        <v/>
      </c>
      <c r="H21" s="206" t="str">
        <f>IF(H$3="","",IF(COUNTIFS(BD!$A$3:$A$5001,H$3,BD!$B$3:$B$5001,$A$5,BD!$AF$3:$AF$5001,"&lt;&gt;")=0,"",SUMIFS(BD!$AF$3:$AF$5001,BD!$A$3:$A$5001,H$3,BD!$B$3:$B$5001,$A$5)))</f>
        <v/>
      </c>
      <c r="I21" s="206" t="str">
        <f>IF(I$3="","",IF(COUNTIFS(BD!$A$3:$A$5001,I$3,BD!$B$3:$B$5001,$A$5,BD!$AF$3:$AF$5001,"&lt;&gt;")=0,"",SUMIFS(BD!$AF$3:$AF$5001,BD!$A$3:$A$5001,I$3,BD!$B$3:$B$5001,$A$5)))</f>
        <v/>
      </c>
      <c r="J21" s="206" t="str">
        <f>IF(J$3="","",IF(COUNTIFS(BD!$A$3:$A$5001,J$3,BD!$B$3:$B$5001,$A$5,BD!$AF$3:$AF$5001,"&lt;&gt;")=0,"",SUMIFS(BD!$AF$3:$AF$5001,BD!$A$3:$A$5001,J$3,BD!$B$3:$B$5001,$A$5)))</f>
        <v/>
      </c>
      <c r="K21" s="206" t="str">
        <f>IF(K$3="","",IF(COUNTIFS(BD!$A$3:$A$5001,K$3,BD!$B$3:$B$5001,$A$5,BD!$AF$3:$AF$5001,"&lt;&gt;")=0,"",SUMIFS(BD!$AF$3:$AF$5001,BD!$A$3:$A$5001,K$3,BD!$B$3:$B$5001,$A$5)))</f>
        <v/>
      </c>
      <c r="L21" s="206" t="str">
        <f>IF(L$3="","",IF(COUNTIFS(BD!$A$3:$A$5001,L$3,BD!$B$3:$B$5001,$A$5,BD!$AF$3:$AF$5001,"&lt;&gt;")=0,"",SUMIFS(BD!$AF$3:$AF$5001,BD!$A$3:$A$5001,L$3,BD!$B$3:$B$5001,$A$5)))</f>
        <v/>
      </c>
      <c r="M21" s="206" t="str">
        <f>IF(M$3="","",IF(COUNTIFS(BD!$A$3:$A$5001,M$3,BD!$B$3:$B$5001,$A$5,BD!$AF$3:$AF$5001,"&lt;&gt;")=0,"",SUMIFS(BD!$AF$3:$AF$5001,BD!$A$3:$A$5001,M$3,BD!$B$3:$B$5001,$A$5)))</f>
        <v/>
      </c>
      <c r="N21" s="206" t="str">
        <f>IF(N$3="","",IF(COUNTIFS(BD!$A$3:$A$5001,N$3,BD!$B$3:$B$5001,$A$5,BD!$AF$3:$AF$5001,"&lt;&gt;")=0,"",SUMIFS(BD!$AF$3:$AF$5001,BD!$A$3:$A$5001,N$3,BD!$B$3:$B$5001,$A$5)))</f>
        <v/>
      </c>
      <c r="O21" s="206" t="str">
        <f>IF(O$3="","",IF(COUNTIFS(BD!$A$3:$A$5001,O$3,BD!$B$3:$B$5001,$A$5,BD!$AF$3:$AF$5001,"&lt;&gt;")=0,"",SUMIFS(BD!$AF$3:$AF$5001,BD!$A$3:$A$5001,O$3,BD!$B$3:$B$5001,$A$5)))</f>
        <v/>
      </c>
      <c r="P21" s="206" t="str">
        <f>IF(P$3="","",IF(COUNTIFS(BD!$A$3:$A$5001,P$3,BD!$B$3:$B$5001,$A$5,BD!$AF$3:$AF$5001,"&lt;&gt;")=0,"",SUMIFS(BD!$AF$3:$AF$5001,BD!$A$3:$A$5001,P$3,BD!$B$3:$B$5001,$A$5)))</f>
        <v/>
      </c>
      <c r="Q21" s="206" t="str">
        <f>IF(Q$3="","",IF(COUNTIFS(BD!$A$3:$A$5001,Q$3,BD!$B$3:$B$5001,$A$5,BD!$AF$3:$AF$5001,"&lt;&gt;")=0,"",SUMIFS(BD!$AF$3:$AF$5001,BD!$A$3:$A$5001,Q$3,BD!$B$3:$B$5001,$A$5)))</f>
        <v/>
      </c>
      <c r="R21" s="206" t="str">
        <f>IF(R$3="","",IF(COUNTIFS(BD!$A$3:$A$5001,R$3,BD!$B$3:$B$5001,$A$5,BD!$AF$3:$AF$5001,"&lt;&gt;")=0,"",SUMIFS(BD!$AF$3:$AF$5001,BD!$A$3:$A$5001,R$3,BD!$B$3:$B$5001,$A$5)))</f>
        <v/>
      </c>
      <c r="S21" s="206" t="str">
        <f>IF(S$3="","",IF(COUNTIFS(BD!$A$3:$A$5001,S$3,BD!$B$3:$B$5001,$A$5,BD!$AF$3:$AF$5001,"&lt;&gt;")=0,"",SUMIFS(BD!$AF$3:$AF$5001,BD!$A$3:$A$5001,S$3,BD!$B$3:$B$5001,$A$5)))</f>
        <v/>
      </c>
      <c r="T21" s="206" t="str">
        <f>IF(T$3="","",IF(COUNTIFS(BD!$A$3:$A$5001,T$3,BD!$B$3:$B$5001,$A$5,BD!$AF$3:$AF$5001,"&lt;&gt;")=0,"",SUMIFS(BD!$AF$3:$AF$5001,BD!$A$3:$A$5001,T$3,BD!$B$3:$B$5001,$A$5)))</f>
        <v/>
      </c>
      <c r="U21" s="206" t="str">
        <f>IF(U$3="","",IF(COUNTIFS(BD!$A$3:$A$5001,U$3,BD!$B$3:$B$5001,$A$5,BD!$AF$3:$AF$5001,"&lt;&gt;")=0,"",SUMIFS(BD!$AF$3:$AF$5001,BD!$A$3:$A$5001,U$3,BD!$B$3:$B$5001,$A$5)))</f>
        <v/>
      </c>
      <c r="V21" s="206" t="str">
        <f>IF(V$3="","",IF(COUNTIFS(BD!$A$3:$A$5001,V$3,BD!$B$3:$B$5001,$A$5,BD!$AF$3:$AF$5001,"&lt;&gt;")=0,"",SUMIFS(BD!$AF$3:$AF$5001,BD!$A$3:$A$5001,V$3,BD!$B$3:$B$5001,$A$5)))</f>
        <v/>
      </c>
      <c r="W21" s="206" t="str">
        <f>IF(W$3="","",IF(COUNTIFS(BD!$A$3:$A$5001,W$3,BD!$B$3:$B$5001,$A$5,BD!$AF$3:$AF$5001,"&lt;&gt;")=0,"",SUMIFS(BD!$AF$3:$AF$5001,BD!$A$3:$A$5001,W$3,BD!$B$3:$B$5001,$A$5)))</f>
        <v/>
      </c>
      <c r="X21" s="206" t="str">
        <f>IF(X$3="","",IF(COUNTIFS(BD!$A$3:$A$5001,X$3,BD!$B$3:$B$5001,$A$5,BD!$AF$3:$AF$5001,"&lt;&gt;")=0,"",SUMIFS(BD!$AF$3:$AF$5001,BD!$A$3:$A$5001,X$3,BD!$B$3:$B$5001,$A$5)))</f>
        <v/>
      </c>
      <c r="Y21" s="206" t="str">
        <f>IF(Y$3="","",IF(COUNTIFS(BD!$A$3:$A$5001,Y$3,BD!$B$3:$B$5001,$A$5,BD!$AF$3:$AF$5001,"&lt;&gt;")=0,"",SUMIFS(BD!$AF$3:$AF$5001,BD!$A$3:$A$5001,Y$3,BD!$B$3:$B$5001,$A$5)))</f>
        <v/>
      </c>
      <c r="Z21" s="206" t="str">
        <f>IF(Z$3="","",IF(COUNTIFS(BD!$A$3:$A$5001,Z$3,BD!$B$3:$B$5001,$A$5,BD!$AF$3:$AF$5001,"&lt;&gt;")=0,"",SUMIFS(BD!$AF$3:$AF$5001,BD!$A$3:$A$5001,Z$3,BD!$B$3:$B$5001,$A$5)))</f>
        <v/>
      </c>
      <c r="AA21" s="206" t="str">
        <f>IF(AA$3="","",IF(COUNTIFS(BD!$A$3:$A$5001,AA$3,BD!$B$3:$B$5001,$A$5,BD!$AF$3:$AF$5001,"&lt;&gt;")=0,"",SUMIFS(BD!$AF$3:$AF$5001,BD!$A$3:$A$5001,AA$3,BD!$B$3:$B$5001,$A$5)))</f>
        <v/>
      </c>
      <c r="AB21" s="206" t="str">
        <f>IF(AB$3="","",IF(COUNTIFS(BD!$A$3:$A$5001,AB$3,BD!$B$3:$B$5001,$A$5,BD!$AF$3:$AF$5001,"&lt;&gt;")=0,"",SUMIFS(BD!$AF$3:$AF$5001,BD!$A$3:$A$5001,AB$3,BD!$B$3:$B$5001,$A$5)))</f>
        <v/>
      </c>
      <c r="AC21" s="206" t="str">
        <f>IF(AC$3="","",IF(COUNTIFS(BD!$A$3:$A$5001,AC$3,BD!$B$3:$B$5001,$A$5,BD!$AF$3:$AF$5001,"&lt;&gt;")=0,"",SUMIFS(BD!$AF$3:$AF$5001,BD!$A$3:$A$5001,AC$3,BD!$B$3:$B$5001,$A$5)))</f>
        <v/>
      </c>
      <c r="AD21" s="206" t="str">
        <f>IF(AD$3="","",IF(COUNTIFS(BD!$A$3:$A$5001,AD$3,BD!$B$3:$B$5001,$A$5,BD!$AF$3:$AF$5001,"&lt;&gt;")=0,"",SUMIFS(BD!$AF$3:$AF$5001,BD!$A$3:$A$5001,AD$3,BD!$B$3:$B$5001,$A$5)))</f>
        <v/>
      </c>
      <c r="AE21" s="206" t="str">
        <f>IF(AE$3="","",IF(COUNTIFS(BD!$A$3:$A$5001,AE$3,BD!$B$3:$B$5001,$A$5,BD!$AF$3:$AF$5001,"&lt;&gt;")=0,"",SUMIFS(BD!$AF$3:$AF$5001,BD!$A$3:$A$5001,AE$3,BD!$B$3:$B$5001,$A$5)))</f>
        <v/>
      </c>
      <c r="AF21" s="206" t="str">
        <f>IF(AF$3="","",IF(COUNTIFS(BD!$A$3:$A$5001,AF$3,BD!$B$3:$B$5001,$A$5,BD!$AF$3:$AF$5001,"&lt;&gt;")=0,"",SUMIFS(BD!$AF$3:$AF$5001,BD!$A$3:$A$5001,AF$3,BD!$B$3:$B$5001,$A$5)))</f>
        <v/>
      </c>
      <c r="AG21" s="206" t="str">
        <f>IF(AG$3="","",IF(COUNTIFS(BD!$A$3:$A$5001,AG$3,BD!$B$3:$B$5001,$A$5,BD!$AF$3:$AF$5001,"&lt;&gt;")=0,"",SUMIFS(BD!$AF$3:$AF$5001,BD!$A$3:$A$5001,AG$3,BD!$B$3:$B$5001,$A$5)))</f>
        <v/>
      </c>
      <c r="AH21" s="206" t="str">
        <f>IF(AH$3="","",IF(COUNTIFS(BD!$A$3:$A$5001,AH$3,BD!$B$3:$B$5001,$A$5,BD!$AF$3:$AF$5001,"&lt;&gt;")=0,"",SUMIFS(BD!$AF$3:$AF$5001,BD!$A$3:$A$5001,AH$3,BD!$B$3:$B$5001,$A$5)))</f>
        <v/>
      </c>
      <c r="AI21" s="206" t="str">
        <f>IF(AI$3="","",IF(COUNTIFS(BD!$A$3:$A$5001,AI$3,BD!$B$3:$B$5001,$A$5,BD!$AF$3:$AF$5001,"&lt;&gt;")=0,"",SUMIFS(BD!$AF$3:$AF$5001,BD!$A$3:$A$5001,AI$3,BD!$B$3:$B$5001,$A$5)))</f>
        <v/>
      </c>
      <c r="AJ21" s="207" t="str">
        <f>IF(AJ$3="","",IF(COUNTIFS(BD!$A$3:$A$5001,AJ$3,BD!$B$3:$B$5001,$A$5,BD!$AF$3:$AF$5001,"&lt;&gt;")=0,"",SUMIFS(BD!$AF$3:$AF$5001,BD!$A$3:$A$5001,AJ$3,BD!$B$3:$B$5001,$A$5)))</f>
        <v/>
      </c>
      <c r="AK21" s="208" t="str">
        <f>IF(COUNT(F21:AJ21)=0,"",SUM(F21:AJ21))</f>
        <v/>
      </c>
    </row>
    <row r="22" ht="15.75" customHeight="1">
      <c r="A22" s="228"/>
      <c r="B22" s="225"/>
      <c r="C22" s="209" t="inlineStr">
        <is>
          <t xml:space="preserve">Acidentes SAF</t>
        </is>
      </c>
      <c r="D22" s="210" t="str">
        <f>IFERROR(1/(1/INDEX(BD!$AK$54:$AT$54,MATCH($A$5,BD!$AK$22:$AT$22,0))),"")</f>
        <v/>
      </c>
      <c r="E22" s="211"/>
      <c r="F22" s="212" t="str">
        <f>IF(F$3="","",IF(COUNTIFS(BD!$A$3:$A$5001,F$3,BD!$B$3:$B$5001,$A$5,BD!$AG$3:$AG$5001,"&lt;&gt;")=0,"",SUMIFS(BD!$AG$3:$AG$5001,BD!$A$3:$A$5001,F$3,BD!$B$3:$B$5001,$A$5)))</f>
        <v/>
      </c>
      <c r="G22" s="213" t="str">
        <f>IF(G$3="","",IF(COUNTIFS(BD!$A$3:$A$5001,G$3,BD!$B$3:$B$5001,$A$5,BD!$AG$3:$AG$5001,"&lt;&gt;")=0,"",SUMIFS(BD!$AG$3:$AG$5001,BD!$A$3:$A$5001,G$3,BD!$B$3:$B$5001,$A$5)))</f>
        <v/>
      </c>
      <c r="H22" s="213" t="str">
        <f>IF(H$3="","",IF(COUNTIFS(BD!$A$3:$A$5001,H$3,BD!$B$3:$B$5001,$A$5,BD!$AG$3:$AG$5001,"&lt;&gt;")=0,"",SUMIFS(BD!$AG$3:$AG$5001,BD!$A$3:$A$5001,H$3,BD!$B$3:$B$5001,$A$5)))</f>
        <v/>
      </c>
      <c r="I22" s="213" t="str">
        <f>IF(I$3="","",IF(COUNTIFS(BD!$A$3:$A$5001,I$3,BD!$B$3:$B$5001,$A$5,BD!$AG$3:$AG$5001,"&lt;&gt;")=0,"",SUMIFS(BD!$AG$3:$AG$5001,BD!$A$3:$A$5001,I$3,BD!$B$3:$B$5001,$A$5)))</f>
        <v/>
      </c>
      <c r="J22" s="213" t="str">
        <f>IF(J$3="","",IF(COUNTIFS(BD!$A$3:$A$5001,J$3,BD!$B$3:$B$5001,$A$5,BD!$AG$3:$AG$5001,"&lt;&gt;")=0,"",SUMIFS(BD!$AG$3:$AG$5001,BD!$A$3:$A$5001,J$3,BD!$B$3:$B$5001,$A$5)))</f>
        <v/>
      </c>
      <c r="K22" s="213" t="str">
        <f>IF(K$3="","",IF(COUNTIFS(BD!$A$3:$A$5001,K$3,BD!$B$3:$B$5001,$A$5,BD!$AG$3:$AG$5001,"&lt;&gt;")=0,"",SUMIFS(BD!$AG$3:$AG$5001,BD!$A$3:$A$5001,K$3,BD!$B$3:$B$5001,$A$5)))</f>
        <v/>
      </c>
      <c r="L22" s="213" t="str">
        <f>IF(L$3="","",IF(COUNTIFS(BD!$A$3:$A$5001,L$3,BD!$B$3:$B$5001,$A$5,BD!$AG$3:$AG$5001,"&lt;&gt;")=0,"",SUMIFS(BD!$AG$3:$AG$5001,BD!$A$3:$A$5001,L$3,BD!$B$3:$B$5001,$A$5)))</f>
        <v/>
      </c>
      <c r="M22" s="213" t="str">
        <f>IF(M$3="","",IF(COUNTIFS(BD!$A$3:$A$5001,M$3,BD!$B$3:$B$5001,$A$5,BD!$AG$3:$AG$5001,"&lt;&gt;")=0,"",SUMIFS(BD!$AG$3:$AG$5001,BD!$A$3:$A$5001,M$3,BD!$B$3:$B$5001,$A$5)))</f>
        <v/>
      </c>
      <c r="N22" s="213" t="str">
        <f>IF(N$3="","",IF(COUNTIFS(BD!$A$3:$A$5001,N$3,BD!$B$3:$B$5001,$A$5,BD!$AG$3:$AG$5001,"&lt;&gt;")=0,"",SUMIFS(BD!$AG$3:$AG$5001,BD!$A$3:$A$5001,N$3,BD!$B$3:$B$5001,$A$5)))</f>
        <v/>
      </c>
      <c r="O22" s="213" t="str">
        <f>IF(O$3="","",IF(COUNTIFS(BD!$A$3:$A$5001,O$3,BD!$B$3:$B$5001,$A$5,BD!$AG$3:$AG$5001,"&lt;&gt;")=0,"",SUMIFS(BD!$AG$3:$AG$5001,BD!$A$3:$A$5001,O$3,BD!$B$3:$B$5001,$A$5)))</f>
        <v/>
      </c>
      <c r="P22" s="213" t="str">
        <f>IF(P$3="","",IF(COUNTIFS(BD!$A$3:$A$5001,P$3,BD!$B$3:$B$5001,$A$5,BD!$AG$3:$AG$5001,"&lt;&gt;")=0,"",SUMIFS(BD!$AG$3:$AG$5001,BD!$A$3:$A$5001,P$3,BD!$B$3:$B$5001,$A$5)))</f>
        <v/>
      </c>
      <c r="Q22" s="213" t="str">
        <f>IF(Q$3="","",IF(COUNTIFS(BD!$A$3:$A$5001,Q$3,BD!$B$3:$B$5001,$A$5,BD!$AG$3:$AG$5001,"&lt;&gt;")=0,"",SUMIFS(BD!$AG$3:$AG$5001,BD!$A$3:$A$5001,Q$3,BD!$B$3:$B$5001,$A$5)))</f>
        <v/>
      </c>
      <c r="R22" s="213" t="str">
        <f>IF(R$3="","",IF(COUNTIFS(BD!$A$3:$A$5001,R$3,BD!$B$3:$B$5001,$A$5,BD!$AG$3:$AG$5001,"&lt;&gt;")=0,"",SUMIFS(BD!$AG$3:$AG$5001,BD!$A$3:$A$5001,R$3,BD!$B$3:$B$5001,$A$5)))</f>
        <v/>
      </c>
      <c r="S22" s="213" t="str">
        <f>IF(S$3="","",IF(COUNTIFS(BD!$A$3:$A$5001,S$3,BD!$B$3:$B$5001,$A$5,BD!$AG$3:$AG$5001,"&lt;&gt;")=0,"",SUMIFS(BD!$AG$3:$AG$5001,BD!$A$3:$A$5001,S$3,BD!$B$3:$B$5001,$A$5)))</f>
        <v/>
      </c>
      <c r="T22" s="213" t="str">
        <f>IF(T$3="","",IF(COUNTIFS(BD!$A$3:$A$5001,T$3,BD!$B$3:$B$5001,$A$5,BD!$AG$3:$AG$5001,"&lt;&gt;")=0,"",SUMIFS(BD!$AG$3:$AG$5001,BD!$A$3:$A$5001,T$3,BD!$B$3:$B$5001,$A$5)))</f>
        <v/>
      </c>
      <c r="U22" s="213" t="str">
        <f>IF(U$3="","",IF(COUNTIFS(BD!$A$3:$A$5001,U$3,BD!$B$3:$B$5001,$A$5,BD!$AG$3:$AG$5001,"&lt;&gt;")=0,"",SUMIFS(BD!$AG$3:$AG$5001,BD!$A$3:$A$5001,U$3,BD!$B$3:$B$5001,$A$5)))</f>
        <v/>
      </c>
      <c r="V22" s="213" t="str">
        <f>IF(V$3="","",IF(COUNTIFS(BD!$A$3:$A$5001,V$3,BD!$B$3:$B$5001,$A$5,BD!$AG$3:$AG$5001,"&lt;&gt;")=0,"",SUMIFS(BD!$AG$3:$AG$5001,BD!$A$3:$A$5001,V$3,BD!$B$3:$B$5001,$A$5)))</f>
        <v/>
      </c>
      <c r="W22" s="213" t="str">
        <f>IF(W$3="","",IF(COUNTIFS(BD!$A$3:$A$5001,W$3,BD!$B$3:$B$5001,$A$5,BD!$AG$3:$AG$5001,"&lt;&gt;")=0,"",SUMIFS(BD!$AG$3:$AG$5001,BD!$A$3:$A$5001,W$3,BD!$B$3:$B$5001,$A$5)))</f>
        <v/>
      </c>
      <c r="X22" s="213" t="str">
        <f>IF(X$3="","",IF(COUNTIFS(BD!$A$3:$A$5001,X$3,BD!$B$3:$B$5001,$A$5,BD!$AG$3:$AG$5001,"&lt;&gt;")=0,"",SUMIFS(BD!$AG$3:$AG$5001,BD!$A$3:$A$5001,X$3,BD!$B$3:$B$5001,$A$5)))</f>
        <v/>
      </c>
      <c r="Y22" s="213" t="str">
        <f>IF(Y$3="","",IF(COUNTIFS(BD!$A$3:$A$5001,Y$3,BD!$B$3:$B$5001,$A$5,BD!$AG$3:$AG$5001,"&lt;&gt;")=0,"",SUMIFS(BD!$AG$3:$AG$5001,BD!$A$3:$A$5001,Y$3,BD!$B$3:$B$5001,$A$5)))</f>
        <v/>
      </c>
      <c r="Z22" s="213" t="str">
        <f>IF(Z$3="","",IF(COUNTIFS(BD!$A$3:$A$5001,Z$3,BD!$B$3:$B$5001,$A$5,BD!$AG$3:$AG$5001,"&lt;&gt;")=0,"",SUMIFS(BD!$AG$3:$AG$5001,BD!$A$3:$A$5001,Z$3,BD!$B$3:$B$5001,$A$5)))</f>
        <v/>
      </c>
      <c r="AA22" s="213" t="str">
        <f>IF(AA$3="","",IF(COUNTIFS(BD!$A$3:$A$5001,AA$3,BD!$B$3:$B$5001,$A$5,BD!$AG$3:$AG$5001,"&lt;&gt;")=0,"",SUMIFS(BD!$AG$3:$AG$5001,BD!$A$3:$A$5001,AA$3,BD!$B$3:$B$5001,$A$5)))</f>
        <v/>
      </c>
      <c r="AB22" s="213" t="str">
        <f>IF(AB$3="","",IF(COUNTIFS(BD!$A$3:$A$5001,AB$3,BD!$B$3:$B$5001,$A$5,BD!$AG$3:$AG$5001,"&lt;&gt;")=0,"",SUMIFS(BD!$AG$3:$AG$5001,BD!$A$3:$A$5001,AB$3,BD!$B$3:$B$5001,$A$5)))</f>
        <v/>
      </c>
      <c r="AC22" s="213" t="str">
        <f>IF(AC$3="","",IF(COUNTIFS(BD!$A$3:$A$5001,AC$3,BD!$B$3:$B$5001,$A$5,BD!$AG$3:$AG$5001,"&lt;&gt;")=0,"",SUMIFS(BD!$AG$3:$AG$5001,BD!$A$3:$A$5001,AC$3,BD!$B$3:$B$5001,$A$5)))</f>
        <v/>
      </c>
      <c r="AD22" s="213" t="str">
        <f>IF(AD$3="","",IF(COUNTIFS(BD!$A$3:$A$5001,AD$3,BD!$B$3:$B$5001,$A$5,BD!$AG$3:$AG$5001,"&lt;&gt;")=0,"",SUMIFS(BD!$AG$3:$AG$5001,BD!$A$3:$A$5001,AD$3,BD!$B$3:$B$5001,$A$5)))</f>
        <v/>
      </c>
      <c r="AE22" s="213" t="str">
        <f>IF(AE$3="","",IF(COUNTIFS(BD!$A$3:$A$5001,AE$3,BD!$B$3:$B$5001,$A$5,BD!$AG$3:$AG$5001,"&lt;&gt;")=0,"",SUMIFS(BD!$AG$3:$AG$5001,BD!$A$3:$A$5001,AE$3,BD!$B$3:$B$5001,$A$5)))</f>
        <v/>
      </c>
      <c r="AF22" s="213" t="str">
        <f>IF(AF$3="","",IF(COUNTIFS(BD!$A$3:$A$5001,AF$3,BD!$B$3:$B$5001,$A$5,BD!$AG$3:$AG$5001,"&lt;&gt;")=0,"",SUMIFS(BD!$AG$3:$AG$5001,BD!$A$3:$A$5001,AF$3,BD!$B$3:$B$5001,$A$5)))</f>
        <v/>
      </c>
      <c r="AG22" s="213" t="str">
        <f>IF(AG$3="","",IF(COUNTIFS(BD!$A$3:$A$5001,AG$3,BD!$B$3:$B$5001,$A$5,BD!$AG$3:$AG$5001,"&lt;&gt;")=0,"",SUMIFS(BD!$AG$3:$AG$5001,BD!$A$3:$A$5001,AG$3,BD!$B$3:$B$5001,$A$5)))</f>
        <v/>
      </c>
      <c r="AH22" s="213" t="str">
        <f>IF(AH$3="","",IF(COUNTIFS(BD!$A$3:$A$5001,AH$3,BD!$B$3:$B$5001,$A$5,BD!$AG$3:$AG$5001,"&lt;&gt;")=0,"",SUMIFS(BD!$AG$3:$AG$5001,BD!$A$3:$A$5001,AH$3,BD!$B$3:$B$5001,$A$5)))</f>
        <v/>
      </c>
      <c r="AI22" s="213" t="str">
        <f>IF(AI$3="","",IF(COUNTIFS(BD!$A$3:$A$5001,AI$3,BD!$B$3:$B$5001,$A$5,BD!$AG$3:$AG$5001,"&lt;&gt;")=0,"",SUMIFS(BD!$AG$3:$AG$5001,BD!$A$3:$A$5001,AI$3,BD!$B$3:$B$5001,$A$5)))</f>
        <v/>
      </c>
      <c r="AJ22" s="214" t="str">
        <f>IF(AJ$3="","",IF(COUNTIFS(BD!$A$3:$A$5001,AJ$3,BD!$B$3:$B$5001,$A$5,BD!$AG$3:$AG$5001,"&lt;&gt;")=0,"",SUMIFS(BD!$AG$3:$AG$5001,BD!$A$3:$A$5001,AJ$3,BD!$B$3:$B$5001,$A$5)))</f>
        <v/>
      </c>
      <c r="AK22" s="210" t="str">
        <f>IF(COUNT(F22:AJ22)=0,"",SUM(F22:AJ22))</f>
        <v/>
      </c>
    </row>
    <row r="24" ht="15.75" customHeight="1">
      <c r="A24" s="226" t="inlineStr">
        <is>
          <t xml:space="preserve">Basf</t>
        </is>
      </c>
      <c r="B24" s="215" t="inlineStr">
        <is>
          <t xml:space="preserve">IN</t>
        </is>
      </c>
      <c r="C24" s="138" t="inlineStr">
        <is>
          <t xml:space="preserve">Veículos Recebidos</t>
        </is>
      </c>
      <c r="D24" s="139" t="str">
        <f>IFERROR(1/(1/INDEX(BD!$AK$23:$AT$23,MATCH($A$24,BD!$AK$22:$AT$22,0))),"")</f>
        <v/>
      </c>
      <c r="E24" s="140"/>
      <c r="F24" s="141" t="str">
        <f>IF(F$3="","",IF(COUNTIFS(BD!$A$3:$A$5001,F$3,BD!$B$3:$B$5001,$A$24,BD!$C$3:$C$5001,"&lt;&gt;")=0,"",SUMIFS(BD!$C$3:$C$5001,BD!$A$3:$A$5001,F$3,BD!$B$3:$B$5001,$A$24)))</f>
        <v/>
      </c>
      <c r="G24" s="142" t="str">
        <f>IF(G$3="","",IF(COUNTIFS(BD!$A$3:$A$5001,G$3,BD!$B$3:$B$5001,$A$24,BD!$C$3:$C$5001,"&lt;&gt;")=0,"",SUMIFS(BD!$C$3:$C$5001,BD!$A$3:$A$5001,G$3,BD!$B$3:$B$5001,$A$24)))</f>
        <v/>
      </c>
      <c r="H24" s="142" t="str">
        <f>IF(H$3="","",IF(COUNTIFS(BD!$A$3:$A$5001,H$3,BD!$B$3:$B$5001,$A$24,BD!$C$3:$C$5001,"&lt;&gt;")=0,"",SUMIFS(BD!$C$3:$C$5001,BD!$A$3:$A$5001,H$3,BD!$B$3:$B$5001,$A$24)))</f>
        <v/>
      </c>
      <c r="I24" s="142" t="str">
        <f>IF(I$3="","",IF(COUNTIFS(BD!$A$3:$A$5001,I$3,BD!$B$3:$B$5001,$A$24,BD!$C$3:$C$5001,"&lt;&gt;")=0,"",SUMIFS(BD!$C$3:$C$5001,BD!$A$3:$A$5001,I$3,BD!$B$3:$B$5001,$A$24)))</f>
        <v/>
      </c>
      <c r="J24" s="142" t="str">
        <f>IF(J$3="","",IF(COUNTIFS(BD!$A$3:$A$5001,J$3,BD!$B$3:$B$5001,$A$24,BD!$C$3:$C$5001,"&lt;&gt;")=0,"",SUMIFS(BD!$C$3:$C$5001,BD!$A$3:$A$5001,J$3,BD!$B$3:$B$5001,$A$24)))</f>
        <v/>
      </c>
      <c r="K24" s="142" t="str">
        <f>IF(K$3="","",IF(COUNTIFS(BD!$A$3:$A$5001,K$3,BD!$B$3:$B$5001,$A$24,BD!$C$3:$C$5001,"&lt;&gt;")=0,"",SUMIFS(BD!$C$3:$C$5001,BD!$A$3:$A$5001,K$3,BD!$B$3:$B$5001,$A$24)))</f>
        <v/>
      </c>
      <c r="L24" s="142" t="str">
        <f>IF(L$3="","",IF(COUNTIFS(BD!$A$3:$A$5001,L$3,BD!$B$3:$B$5001,$A$24,BD!$C$3:$C$5001,"&lt;&gt;")=0,"",SUMIFS(BD!$C$3:$C$5001,BD!$A$3:$A$5001,L$3,BD!$B$3:$B$5001,$A$24)))</f>
        <v/>
      </c>
      <c r="M24" s="142" t="str">
        <f>IF(M$3="","",IF(COUNTIFS(BD!$A$3:$A$5001,M$3,BD!$B$3:$B$5001,$A$24,BD!$C$3:$C$5001,"&lt;&gt;")=0,"",SUMIFS(BD!$C$3:$C$5001,BD!$A$3:$A$5001,M$3,BD!$B$3:$B$5001,$A$24)))</f>
        <v/>
      </c>
      <c r="N24" s="142" t="str">
        <f>IF(N$3="","",IF(COUNTIFS(BD!$A$3:$A$5001,N$3,BD!$B$3:$B$5001,$A$24,BD!$C$3:$C$5001,"&lt;&gt;")=0,"",SUMIFS(BD!$C$3:$C$5001,BD!$A$3:$A$5001,N$3,BD!$B$3:$B$5001,$A$24)))</f>
        <v/>
      </c>
      <c r="O24" s="142" t="str">
        <f>IF(O$3="","",IF(COUNTIFS(BD!$A$3:$A$5001,O$3,BD!$B$3:$B$5001,$A$24,BD!$C$3:$C$5001,"&lt;&gt;")=0,"",SUMIFS(BD!$C$3:$C$5001,BD!$A$3:$A$5001,O$3,BD!$B$3:$B$5001,$A$24)))</f>
        <v/>
      </c>
      <c r="P24" s="142" t="str">
        <f>IF(P$3="","",IF(COUNTIFS(BD!$A$3:$A$5001,P$3,BD!$B$3:$B$5001,$A$24,BD!$C$3:$C$5001,"&lt;&gt;")=0,"",SUMIFS(BD!$C$3:$C$5001,BD!$A$3:$A$5001,P$3,BD!$B$3:$B$5001,$A$24)))</f>
        <v/>
      </c>
      <c r="Q24" s="142" t="str">
        <f>IF(Q$3="","",IF(COUNTIFS(BD!$A$3:$A$5001,Q$3,BD!$B$3:$B$5001,$A$24,BD!$C$3:$C$5001,"&lt;&gt;")=0,"",SUMIFS(BD!$C$3:$C$5001,BD!$A$3:$A$5001,Q$3,BD!$B$3:$B$5001,$A$24)))</f>
        <v/>
      </c>
      <c r="R24" s="142" t="str">
        <f>IF(R$3="","",IF(COUNTIFS(BD!$A$3:$A$5001,R$3,BD!$B$3:$B$5001,$A$24,BD!$C$3:$C$5001,"&lt;&gt;")=0,"",SUMIFS(BD!$C$3:$C$5001,BD!$A$3:$A$5001,R$3,BD!$B$3:$B$5001,$A$24)))</f>
        <v/>
      </c>
      <c r="S24" s="142" t="str">
        <f>IF(S$3="","",IF(COUNTIFS(BD!$A$3:$A$5001,S$3,BD!$B$3:$B$5001,$A$24,BD!$C$3:$C$5001,"&lt;&gt;")=0,"",SUMIFS(BD!$C$3:$C$5001,BD!$A$3:$A$5001,S$3,BD!$B$3:$B$5001,$A$24)))</f>
        <v/>
      </c>
      <c r="T24" s="142" t="str">
        <f>IF(T$3="","",IF(COUNTIFS(BD!$A$3:$A$5001,T$3,BD!$B$3:$B$5001,$A$24,BD!$C$3:$C$5001,"&lt;&gt;")=0,"",SUMIFS(BD!$C$3:$C$5001,BD!$A$3:$A$5001,T$3,BD!$B$3:$B$5001,$A$24)))</f>
        <v/>
      </c>
      <c r="U24" s="142" t="str">
        <f>IF(U$3="","",IF(COUNTIFS(BD!$A$3:$A$5001,U$3,BD!$B$3:$B$5001,$A$24,BD!$C$3:$C$5001,"&lt;&gt;")=0,"",SUMIFS(BD!$C$3:$C$5001,BD!$A$3:$A$5001,U$3,BD!$B$3:$B$5001,$A$24)))</f>
        <v/>
      </c>
      <c r="V24" s="142" t="str">
        <f>IF(V$3="","",IF(COUNTIFS(BD!$A$3:$A$5001,V$3,BD!$B$3:$B$5001,$A$24,BD!$C$3:$C$5001,"&lt;&gt;")=0,"",SUMIFS(BD!$C$3:$C$5001,BD!$A$3:$A$5001,V$3,BD!$B$3:$B$5001,$A$24)))</f>
        <v/>
      </c>
      <c r="W24" s="142" t="str">
        <f>IF(W$3="","",IF(COUNTIFS(BD!$A$3:$A$5001,W$3,BD!$B$3:$B$5001,$A$24,BD!$C$3:$C$5001,"&lt;&gt;")=0,"",SUMIFS(BD!$C$3:$C$5001,BD!$A$3:$A$5001,W$3,BD!$B$3:$B$5001,$A$24)))</f>
        <v/>
      </c>
      <c r="X24" s="142" t="str">
        <f>IF(X$3="","",IF(COUNTIFS(BD!$A$3:$A$5001,X$3,BD!$B$3:$B$5001,$A$24,BD!$C$3:$C$5001,"&lt;&gt;")=0,"",SUMIFS(BD!$C$3:$C$5001,BD!$A$3:$A$5001,X$3,BD!$B$3:$B$5001,$A$24)))</f>
        <v/>
      </c>
      <c r="Y24" s="142" t="str">
        <f>IF(Y$3="","",IF(COUNTIFS(BD!$A$3:$A$5001,Y$3,BD!$B$3:$B$5001,$A$24,BD!$C$3:$C$5001,"&lt;&gt;")=0,"",SUMIFS(BD!$C$3:$C$5001,BD!$A$3:$A$5001,Y$3,BD!$B$3:$B$5001,$A$24)))</f>
        <v/>
      </c>
      <c r="Z24" s="142" t="str">
        <f>IF(Z$3="","",IF(COUNTIFS(BD!$A$3:$A$5001,Z$3,BD!$B$3:$B$5001,$A$24,BD!$C$3:$C$5001,"&lt;&gt;")=0,"",SUMIFS(BD!$C$3:$C$5001,BD!$A$3:$A$5001,Z$3,BD!$B$3:$B$5001,$A$24)))</f>
        <v/>
      </c>
      <c r="AA24" s="142" t="str">
        <f>IF(AA$3="","",IF(COUNTIFS(BD!$A$3:$A$5001,AA$3,BD!$B$3:$B$5001,$A$24,BD!$C$3:$C$5001,"&lt;&gt;")=0,"",SUMIFS(BD!$C$3:$C$5001,BD!$A$3:$A$5001,AA$3,BD!$B$3:$B$5001,$A$24)))</f>
        <v/>
      </c>
      <c r="AB24" s="142" t="str">
        <f>IF(AB$3="","",IF(COUNTIFS(BD!$A$3:$A$5001,AB$3,BD!$B$3:$B$5001,$A$24,BD!$C$3:$C$5001,"&lt;&gt;")=0,"",SUMIFS(BD!$C$3:$C$5001,BD!$A$3:$A$5001,AB$3,BD!$B$3:$B$5001,$A$24)))</f>
        <v/>
      </c>
      <c r="AC24" s="142" t="str">
        <f>IF(AC$3="","",IF(COUNTIFS(BD!$A$3:$A$5001,AC$3,BD!$B$3:$B$5001,$A$24,BD!$C$3:$C$5001,"&lt;&gt;")=0,"",SUMIFS(BD!$C$3:$C$5001,BD!$A$3:$A$5001,AC$3,BD!$B$3:$B$5001,$A$24)))</f>
        <v/>
      </c>
      <c r="AD24" s="142" t="str">
        <f>IF(AD$3="","",IF(COUNTIFS(BD!$A$3:$A$5001,AD$3,BD!$B$3:$B$5001,$A$24,BD!$C$3:$C$5001,"&lt;&gt;")=0,"",SUMIFS(BD!$C$3:$C$5001,BD!$A$3:$A$5001,AD$3,BD!$B$3:$B$5001,$A$24)))</f>
        <v/>
      </c>
      <c r="AE24" s="142" t="str">
        <f>IF(AE$3="","",IF(COUNTIFS(BD!$A$3:$A$5001,AE$3,BD!$B$3:$B$5001,$A$24,BD!$C$3:$C$5001,"&lt;&gt;")=0,"",SUMIFS(BD!$C$3:$C$5001,BD!$A$3:$A$5001,AE$3,BD!$B$3:$B$5001,$A$24)))</f>
        <v/>
      </c>
      <c r="AF24" s="142" t="str">
        <f>IF(AF$3="","",IF(COUNTIFS(BD!$A$3:$A$5001,AF$3,BD!$B$3:$B$5001,$A$24,BD!$C$3:$C$5001,"&lt;&gt;")=0,"",SUMIFS(BD!$C$3:$C$5001,BD!$A$3:$A$5001,AF$3,BD!$B$3:$B$5001,$A$24)))</f>
        <v/>
      </c>
      <c r="AG24" s="142" t="str">
        <f>IF(AG$3="","",IF(COUNTIFS(BD!$A$3:$A$5001,AG$3,BD!$B$3:$B$5001,$A$24,BD!$C$3:$C$5001,"&lt;&gt;")=0,"",SUMIFS(BD!$C$3:$C$5001,BD!$A$3:$A$5001,AG$3,BD!$B$3:$B$5001,$A$24)))</f>
        <v/>
      </c>
      <c r="AH24" s="142" t="str">
        <f>IF(AH$3="","",IF(COUNTIFS(BD!$A$3:$A$5001,AH$3,BD!$B$3:$B$5001,$A$24,BD!$C$3:$C$5001,"&lt;&gt;")=0,"",SUMIFS(BD!$C$3:$C$5001,BD!$A$3:$A$5001,AH$3,BD!$B$3:$B$5001,$A$24)))</f>
        <v/>
      </c>
      <c r="AI24" s="142" t="str">
        <f>IF(AI$3="","",IF(COUNTIFS(BD!$A$3:$A$5001,AI$3,BD!$B$3:$B$5001,$A$24,BD!$C$3:$C$5001,"&lt;&gt;")=0,"",SUMIFS(BD!$C$3:$C$5001,BD!$A$3:$A$5001,AI$3,BD!$B$3:$B$5001,$A$24)))</f>
        <v/>
      </c>
      <c r="AJ24" s="143" t="str">
        <f>IF(AJ$3="","",IF(COUNTIFS(BD!$A$3:$A$5001,AJ$3,BD!$B$3:$B$5001,$A$24,BD!$C$3:$C$5001,"&lt;&gt;")=0,"",SUMIFS(BD!$C$3:$C$5001,BD!$A$3:$A$5001,AJ$3,BD!$B$3:$B$5001,$A$24)))</f>
        <v/>
      </c>
      <c r="AK24" s="144" t="str">
        <f>IF(COUNT(F24:AJ24)=0,"",SUM(F24:AJ24))</f>
        <v/>
      </c>
    </row>
    <row r="25" ht="15.75" customHeight="1">
      <c r="A25" s="227"/>
      <c r="B25" s="222"/>
      <c r="C25" s="184" t="inlineStr">
        <is>
          <t xml:space="preserve">Pallets Movimentados</t>
        </is>
      </c>
      <c r="D25" s="185" t="str">
        <f>IFERROR(1/(1/INDEX(BD!$AK$24:$AT$24,MATCH($A$24,BD!$AK$22:$AT$22,0))),"")</f>
        <v/>
      </c>
      <c r="E25" s="186"/>
      <c r="F25" s="187" t="str">
        <f>IF(F$3="","",IF(COUNTIFS(BD!$A$3:$A$5001,F$3,BD!$B$3:$B$5001,$A$24,BD!$D$3:$D$5001,"&lt;&gt;")=0,"",SUMIFS(BD!$D$3:$D$5001,BD!$A$3:$A$5001,F$3,BD!$B$3:$B$5001,$A$24)))</f>
        <v/>
      </c>
      <c r="G25" s="188" t="str">
        <f>IF(G$3="","",IF(COUNTIFS(BD!$A$3:$A$5001,G$3,BD!$B$3:$B$5001,$A$24,BD!$D$3:$D$5001,"&lt;&gt;")=0,"",SUMIFS(BD!$D$3:$D$5001,BD!$A$3:$A$5001,G$3,BD!$B$3:$B$5001,$A$24)))</f>
        <v/>
      </c>
      <c r="H25" s="188" t="str">
        <f>IF(H$3="","",IF(COUNTIFS(BD!$A$3:$A$5001,H$3,BD!$B$3:$B$5001,$A$24,BD!$D$3:$D$5001,"&lt;&gt;")=0,"",SUMIFS(BD!$D$3:$D$5001,BD!$A$3:$A$5001,H$3,BD!$B$3:$B$5001,$A$24)))</f>
        <v/>
      </c>
      <c r="I25" s="188" t="str">
        <f>IF(I$3="","",IF(COUNTIFS(BD!$A$3:$A$5001,I$3,BD!$B$3:$B$5001,$A$24,BD!$D$3:$D$5001,"&lt;&gt;")=0,"",SUMIFS(BD!$D$3:$D$5001,BD!$A$3:$A$5001,I$3,BD!$B$3:$B$5001,$A$24)))</f>
        <v/>
      </c>
      <c r="J25" s="188" t="str">
        <f>IF(J$3="","",IF(COUNTIFS(BD!$A$3:$A$5001,J$3,BD!$B$3:$B$5001,$A$24,BD!$D$3:$D$5001,"&lt;&gt;")=0,"",SUMIFS(BD!$D$3:$D$5001,BD!$A$3:$A$5001,J$3,BD!$B$3:$B$5001,$A$24)))</f>
        <v/>
      </c>
      <c r="K25" s="188" t="str">
        <f>IF(K$3="","",IF(COUNTIFS(BD!$A$3:$A$5001,K$3,BD!$B$3:$B$5001,$A$24,BD!$D$3:$D$5001,"&lt;&gt;")=0,"",SUMIFS(BD!$D$3:$D$5001,BD!$A$3:$A$5001,K$3,BD!$B$3:$B$5001,$A$24)))</f>
        <v/>
      </c>
      <c r="L25" s="188" t="str">
        <f>IF(L$3="","",IF(COUNTIFS(BD!$A$3:$A$5001,L$3,BD!$B$3:$B$5001,$A$24,BD!$D$3:$D$5001,"&lt;&gt;")=0,"",SUMIFS(BD!$D$3:$D$5001,BD!$A$3:$A$5001,L$3,BD!$B$3:$B$5001,$A$24)))</f>
        <v/>
      </c>
      <c r="M25" s="188" t="str">
        <f>IF(M$3="","",IF(COUNTIFS(BD!$A$3:$A$5001,M$3,BD!$B$3:$B$5001,$A$24,BD!$D$3:$D$5001,"&lt;&gt;")=0,"",SUMIFS(BD!$D$3:$D$5001,BD!$A$3:$A$5001,M$3,BD!$B$3:$B$5001,$A$24)))</f>
        <v/>
      </c>
      <c r="N25" s="188" t="str">
        <f>IF(N$3="","",IF(COUNTIFS(BD!$A$3:$A$5001,N$3,BD!$B$3:$B$5001,$A$24,BD!$D$3:$D$5001,"&lt;&gt;")=0,"",SUMIFS(BD!$D$3:$D$5001,BD!$A$3:$A$5001,N$3,BD!$B$3:$B$5001,$A$24)))</f>
        <v/>
      </c>
      <c r="O25" s="188" t="str">
        <f>IF(O$3="","",IF(COUNTIFS(BD!$A$3:$A$5001,O$3,BD!$B$3:$B$5001,$A$24,BD!$D$3:$D$5001,"&lt;&gt;")=0,"",SUMIFS(BD!$D$3:$D$5001,BD!$A$3:$A$5001,O$3,BD!$B$3:$B$5001,$A$24)))</f>
        <v/>
      </c>
      <c r="P25" s="188" t="str">
        <f>IF(P$3="","",IF(COUNTIFS(BD!$A$3:$A$5001,P$3,BD!$B$3:$B$5001,$A$24,BD!$D$3:$D$5001,"&lt;&gt;")=0,"",SUMIFS(BD!$D$3:$D$5001,BD!$A$3:$A$5001,P$3,BD!$B$3:$B$5001,$A$24)))</f>
        <v/>
      </c>
      <c r="Q25" s="188" t="str">
        <f>IF(Q$3="","",IF(COUNTIFS(BD!$A$3:$A$5001,Q$3,BD!$B$3:$B$5001,$A$24,BD!$D$3:$D$5001,"&lt;&gt;")=0,"",SUMIFS(BD!$D$3:$D$5001,BD!$A$3:$A$5001,Q$3,BD!$B$3:$B$5001,$A$24)))</f>
        <v/>
      </c>
      <c r="R25" s="188" t="str">
        <f>IF(R$3="","",IF(COUNTIFS(BD!$A$3:$A$5001,R$3,BD!$B$3:$B$5001,$A$24,BD!$D$3:$D$5001,"&lt;&gt;")=0,"",SUMIFS(BD!$D$3:$D$5001,BD!$A$3:$A$5001,R$3,BD!$B$3:$B$5001,$A$24)))</f>
        <v/>
      </c>
      <c r="S25" s="188" t="str">
        <f>IF(S$3="","",IF(COUNTIFS(BD!$A$3:$A$5001,S$3,BD!$B$3:$B$5001,$A$24,BD!$D$3:$D$5001,"&lt;&gt;")=0,"",SUMIFS(BD!$D$3:$D$5001,BD!$A$3:$A$5001,S$3,BD!$B$3:$B$5001,$A$24)))</f>
        <v/>
      </c>
      <c r="T25" s="188" t="str">
        <f>IF(T$3="","",IF(COUNTIFS(BD!$A$3:$A$5001,T$3,BD!$B$3:$B$5001,$A$24,BD!$D$3:$D$5001,"&lt;&gt;")=0,"",SUMIFS(BD!$D$3:$D$5001,BD!$A$3:$A$5001,T$3,BD!$B$3:$B$5001,$A$24)))</f>
        <v/>
      </c>
      <c r="U25" s="188" t="str">
        <f>IF(U$3="","",IF(COUNTIFS(BD!$A$3:$A$5001,U$3,BD!$B$3:$B$5001,$A$24,BD!$D$3:$D$5001,"&lt;&gt;")=0,"",SUMIFS(BD!$D$3:$D$5001,BD!$A$3:$A$5001,U$3,BD!$B$3:$B$5001,$A$24)))</f>
        <v/>
      </c>
      <c r="V25" s="188" t="str">
        <f>IF(V$3="","",IF(COUNTIFS(BD!$A$3:$A$5001,V$3,BD!$B$3:$B$5001,$A$24,BD!$D$3:$D$5001,"&lt;&gt;")=0,"",SUMIFS(BD!$D$3:$D$5001,BD!$A$3:$A$5001,V$3,BD!$B$3:$B$5001,$A$24)))</f>
        <v/>
      </c>
      <c r="W25" s="188" t="str">
        <f>IF(W$3="","",IF(COUNTIFS(BD!$A$3:$A$5001,W$3,BD!$B$3:$B$5001,$A$24,BD!$D$3:$D$5001,"&lt;&gt;")=0,"",SUMIFS(BD!$D$3:$D$5001,BD!$A$3:$A$5001,W$3,BD!$B$3:$B$5001,$A$24)))</f>
        <v/>
      </c>
      <c r="X25" s="188" t="str">
        <f>IF(X$3="","",IF(COUNTIFS(BD!$A$3:$A$5001,X$3,BD!$B$3:$B$5001,$A$24,BD!$D$3:$D$5001,"&lt;&gt;")=0,"",SUMIFS(BD!$D$3:$D$5001,BD!$A$3:$A$5001,X$3,BD!$B$3:$B$5001,$A$24)))</f>
        <v/>
      </c>
      <c r="Y25" s="188" t="str">
        <f>IF(Y$3="","",IF(COUNTIFS(BD!$A$3:$A$5001,Y$3,BD!$B$3:$B$5001,$A$24,BD!$D$3:$D$5001,"&lt;&gt;")=0,"",SUMIFS(BD!$D$3:$D$5001,BD!$A$3:$A$5001,Y$3,BD!$B$3:$B$5001,$A$24)))</f>
        <v/>
      </c>
      <c r="Z25" s="188" t="str">
        <f>IF(Z$3="","",IF(COUNTIFS(BD!$A$3:$A$5001,Z$3,BD!$B$3:$B$5001,$A$24,BD!$D$3:$D$5001,"&lt;&gt;")=0,"",SUMIFS(BD!$D$3:$D$5001,BD!$A$3:$A$5001,Z$3,BD!$B$3:$B$5001,$A$24)))</f>
        <v/>
      </c>
      <c r="AA25" s="188" t="str">
        <f>IF(AA$3="","",IF(COUNTIFS(BD!$A$3:$A$5001,AA$3,BD!$B$3:$B$5001,$A$24,BD!$D$3:$D$5001,"&lt;&gt;")=0,"",SUMIFS(BD!$D$3:$D$5001,BD!$A$3:$A$5001,AA$3,BD!$B$3:$B$5001,$A$24)))</f>
        <v/>
      </c>
      <c r="AB25" s="188" t="str">
        <f>IF(AB$3="","",IF(COUNTIFS(BD!$A$3:$A$5001,AB$3,BD!$B$3:$B$5001,$A$24,BD!$D$3:$D$5001,"&lt;&gt;")=0,"",SUMIFS(BD!$D$3:$D$5001,BD!$A$3:$A$5001,AB$3,BD!$B$3:$B$5001,$A$24)))</f>
        <v/>
      </c>
      <c r="AC25" s="188" t="str">
        <f>IF(AC$3="","",IF(COUNTIFS(BD!$A$3:$A$5001,AC$3,BD!$B$3:$B$5001,$A$24,BD!$D$3:$D$5001,"&lt;&gt;")=0,"",SUMIFS(BD!$D$3:$D$5001,BD!$A$3:$A$5001,AC$3,BD!$B$3:$B$5001,$A$24)))</f>
        <v/>
      </c>
      <c r="AD25" s="188" t="str">
        <f>IF(AD$3="","",IF(COUNTIFS(BD!$A$3:$A$5001,AD$3,BD!$B$3:$B$5001,$A$24,BD!$D$3:$D$5001,"&lt;&gt;")=0,"",SUMIFS(BD!$D$3:$D$5001,BD!$A$3:$A$5001,AD$3,BD!$B$3:$B$5001,$A$24)))</f>
        <v/>
      </c>
      <c r="AE25" s="188" t="str">
        <f>IF(AE$3="","",IF(COUNTIFS(BD!$A$3:$A$5001,AE$3,BD!$B$3:$B$5001,$A$24,BD!$D$3:$D$5001,"&lt;&gt;")=0,"",SUMIFS(BD!$D$3:$D$5001,BD!$A$3:$A$5001,AE$3,BD!$B$3:$B$5001,$A$24)))</f>
        <v/>
      </c>
      <c r="AF25" s="188" t="str">
        <f>IF(AF$3="","",IF(COUNTIFS(BD!$A$3:$A$5001,AF$3,BD!$B$3:$B$5001,$A$24,BD!$D$3:$D$5001,"&lt;&gt;")=0,"",SUMIFS(BD!$D$3:$D$5001,BD!$A$3:$A$5001,AF$3,BD!$B$3:$B$5001,$A$24)))</f>
        <v/>
      </c>
      <c r="AG25" s="188" t="str">
        <f>IF(AG$3="","",IF(COUNTIFS(BD!$A$3:$A$5001,AG$3,BD!$B$3:$B$5001,$A$24,BD!$D$3:$D$5001,"&lt;&gt;")=0,"",SUMIFS(BD!$D$3:$D$5001,BD!$A$3:$A$5001,AG$3,BD!$B$3:$B$5001,$A$24)))</f>
        <v/>
      </c>
      <c r="AH25" s="188" t="str">
        <f>IF(AH$3="","",IF(COUNTIFS(BD!$A$3:$A$5001,AH$3,BD!$B$3:$B$5001,$A$24,BD!$D$3:$D$5001,"&lt;&gt;")=0,"",SUMIFS(BD!$D$3:$D$5001,BD!$A$3:$A$5001,AH$3,BD!$B$3:$B$5001,$A$24)))</f>
        <v/>
      </c>
      <c r="AI25" s="188" t="str">
        <f>IF(AI$3="","",IF(COUNTIFS(BD!$A$3:$A$5001,AI$3,BD!$B$3:$B$5001,$A$24,BD!$D$3:$D$5001,"&lt;&gt;")=0,"",SUMIFS(BD!$D$3:$D$5001,BD!$A$3:$A$5001,AI$3,BD!$B$3:$B$5001,$A$24)))</f>
        <v/>
      </c>
      <c r="AJ25" s="189" t="str">
        <f>IF(AJ$3="","",IF(COUNTIFS(BD!$A$3:$A$5001,AJ$3,BD!$B$3:$B$5001,$A$24,BD!$D$3:$D$5001,"&lt;&gt;")=0,"",SUMIFS(BD!$D$3:$D$5001,BD!$A$3:$A$5001,AJ$3,BD!$B$3:$B$5001,$A$24)))</f>
        <v/>
      </c>
      <c r="AK25" s="190" t="str">
        <f>IF(COUNT(F25:AJ25)=0,"",SUM(F25:AJ25))</f>
        <v/>
      </c>
    </row>
    <row r="26" ht="15.75" customHeight="1">
      <c r="A26" s="227"/>
      <c r="B26" s="216"/>
      <c r="C26" s="145" t="inlineStr">
        <is>
          <t xml:space="preserve">Toneladas Movimentadas</t>
        </is>
      </c>
      <c r="D26" s="146" t="str">
        <f>IFERROR(1/(1/INDEX(BD!$AK$25:$AT$25,MATCH($A$24,BD!$AK$22:$AT$22,0))),"")</f>
        <v/>
      </c>
      <c r="E26" s="147"/>
      <c r="F26" s="229" t="str">
        <f>IF(F$3="","",IF(COUNTIFS(BD!$A$3:$A$5001,F$3,BD!$B$3:$B$5001,$A$24,BD!$E$3:$E$5001,"&lt;&gt;")=0,"",SUMIFS(BD!$E$3:$E$5001,BD!$A$3:$A$5001,F$3,BD!$B$3:$B$5001,$A$24)))</f>
        <v/>
      </c>
      <c r="G26" s="230" t="str">
        <f>IF(G$3="","",IF(COUNTIFS(BD!$A$3:$A$5001,G$3,BD!$B$3:$B$5001,$A$24,BD!$E$3:$E$5001,"&lt;&gt;")=0,"",SUMIFS(BD!$E$3:$E$5001,BD!$A$3:$A$5001,G$3,BD!$B$3:$B$5001,$A$24)))</f>
        <v/>
      </c>
      <c r="H26" s="230" t="str">
        <f>IF(H$3="","",IF(COUNTIFS(BD!$A$3:$A$5001,H$3,BD!$B$3:$B$5001,$A$24,BD!$E$3:$E$5001,"&lt;&gt;")=0,"",SUMIFS(BD!$E$3:$E$5001,BD!$A$3:$A$5001,H$3,BD!$B$3:$B$5001,$A$24)))</f>
        <v/>
      </c>
      <c r="I26" s="230" t="str">
        <f>IF(I$3="","",IF(COUNTIFS(BD!$A$3:$A$5001,I$3,BD!$B$3:$B$5001,$A$24,BD!$E$3:$E$5001,"&lt;&gt;")=0,"",SUMIFS(BD!$E$3:$E$5001,BD!$A$3:$A$5001,I$3,BD!$B$3:$B$5001,$A$24)))</f>
        <v/>
      </c>
      <c r="J26" s="230" t="str">
        <f>IF(J$3="","",IF(COUNTIFS(BD!$A$3:$A$5001,J$3,BD!$B$3:$B$5001,$A$24,BD!$E$3:$E$5001,"&lt;&gt;")=0,"",SUMIFS(BD!$E$3:$E$5001,BD!$A$3:$A$5001,J$3,BD!$B$3:$B$5001,$A$24)))</f>
        <v/>
      </c>
      <c r="K26" s="230" t="str">
        <f>IF(K$3="","",IF(COUNTIFS(BD!$A$3:$A$5001,K$3,BD!$B$3:$B$5001,$A$24,BD!$E$3:$E$5001,"&lt;&gt;")=0,"",SUMIFS(BD!$E$3:$E$5001,BD!$A$3:$A$5001,K$3,BD!$B$3:$B$5001,$A$24)))</f>
        <v/>
      </c>
      <c r="L26" s="230" t="str">
        <f>IF(L$3="","",IF(COUNTIFS(BD!$A$3:$A$5001,L$3,BD!$B$3:$B$5001,$A$24,BD!$E$3:$E$5001,"&lt;&gt;")=0,"",SUMIFS(BD!$E$3:$E$5001,BD!$A$3:$A$5001,L$3,BD!$B$3:$B$5001,$A$24)))</f>
        <v/>
      </c>
      <c r="M26" s="230" t="str">
        <f>IF(M$3="","",IF(COUNTIFS(BD!$A$3:$A$5001,M$3,BD!$B$3:$B$5001,$A$24,BD!$E$3:$E$5001,"&lt;&gt;")=0,"",SUMIFS(BD!$E$3:$E$5001,BD!$A$3:$A$5001,M$3,BD!$B$3:$B$5001,$A$24)))</f>
        <v/>
      </c>
      <c r="N26" s="230" t="str">
        <f>IF(N$3="","",IF(COUNTIFS(BD!$A$3:$A$5001,N$3,BD!$B$3:$B$5001,$A$24,BD!$E$3:$E$5001,"&lt;&gt;")=0,"",SUMIFS(BD!$E$3:$E$5001,BD!$A$3:$A$5001,N$3,BD!$B$3:$B$5001,$A$24)))</f>
        <v/>
      </c>
      <c r="O26" s="230" t="str">
        <f>IF(O$3="","",IF(COUNTIFS(BD!$A$3:$A$5001,O$3,BD!$B$3:$B$5001,$A$24,BD!$E$3:$E$5001,"&lt;&gt;")=0,"",SUMIFS(BD!$E$3:$E$5001,BD!$A$3:$A$5001,O$3,BD!$B$3:$B$5001,$A$24)))</f>
        <v/>
      </c>
      <c r="P26" s="230" t="str">
        <f>IF(P$3="","",IF(COUNTIFS(BD!$A$3:$A$5001,P$3,BD!$B$3:$B$5001,$A$24,BD!$E$3:$E$5001,"&lt;&gt;")=0,"",SUMIFS(BD!$E$3:$E$5001,BD!$A$3:$A$5001,P$3,BD!$B$3:$B$5001,$A$24)))</f>
        <v/>
      </c>
      <c r="Q26" s="230" t="str">
        <f>IF(Q$3="","",IF(COUNTIFS(BD!$A$3:$A$5001,Q$3,BD!$B$3:$B$5001,$A$24,BD!$E$3:$E$5001,"&lt;&gt;")=0,"",SUMIFS(BD!$E$3:$E$5001,BD!$A$3:$A$5001,Q$3,BD!$B$3:$B$5001,$A$24)))</f>
        <v/>
      </c>
      <c r="R26" s="230" t="str">
        <f>IF(R$3="","",IF(COUNTIFS(BD!$A$3:$A$5001,R$3,BD!$B$3:$B$5001,$A$24,BD!$E$3:$E$5001,"&lt;&gt;")=0,"",SUMIFS(BD!$E$3:$E$5001,BD!$A$3:$A$5001,R$3,BD!$B$3:$B$5001,$A$24)))</f>
        <v/>
      </c>
      <c r="S26" s="230" t="str">
        <f>IF(S$3="","",IF(COUNTIFS(BD!$A$3:$A$5001,S$3,BD!$B$3:$B$5001,$A$24,BD!$E$3:$E$5001,"&lt;&gt;")=0,"",SUMIFS(BD!$E$3:$E$5001,BD!$A$3:$A$5001,S$3,BD!$B$3:$B$5001,$A$24)))</f>
        <v/>
      </c>
      <c r="T26" s="230" t="str">
        <f>IF(T$3="","",IF(COUNTIFS(BD!$A$3:$A$5001,T$3,BD!$B$3:$B$5001,$A$24,BD!$E$3:$E$5001,"&lt;&gt;")=0,"",SUMIFS(BD!$E$3:$E$5001,BD!$A$3:$A$5001,T$3,BD!$B$3:$B$5001,$A$24)))</f>
        <v/>
      </c>
      <c r="U26" s="230" t="str">
        <f>IF(U$3="","",IF(COUNTIFS(BD!$A$3:$A$5001,U$3,BD!$B$3:$B$5001,$A$24,BD!$E$3:$E$5001,"&lt;&gt;")=0,"",SUMIFS(BD!$E$3:$E$5001,BD!$A$3:$A$5001,U$3,BD!$B$3:$B$5001,$A$24)))</f>
        <v/>
      </c>
      <c r="V26" s="230" t="str">
        <f>IF(V$3="","",IF(COUNTIFS(BD!$A$3:$A$5001,V$3,BD!$B$3:$B$5001,$A$24,BD!$E$3:$E$5001,"&lt;&gt;")=0,"",SUMIFS(BD!$E$3:$E$5001,BD!$A$3:$A$5001,V$3,BD!$B$3:$B$5001,$A$24)))</f>
        <v/>
      </c>
      <c r="W26" s="230" t="str">
        <f>IF(W$3="","",IF(COUNTIFS(BD!$A$3:$A$5001,W$3,BD!$B$3:$B$5001,$A$24,BD!$E$3:$E$5001,"&lt;&gt;")=0,"",SUMIFS(BD!$E$3:$E$5001,BD!$A$3:$A$5001,W$3,BD!$B$3:$B$5001,$A$24)))</f>
        <v/>
      </c>
      <c r="X26" s="230" t="str">
        <f>IF(X$3="","",IF(COUNTIFS(BD!$A$3:$A$5001,X$3,BD!$B$3:$B$5001,$A$24,BD!$E$3:$E$5001,"&lt;&gt;")=0,"",SUMIFS(BD!$E$3:$E$5001,BD!$A$3:$A$5001,X$3,BD!$B$3:$B$5001,$A$24)))</f>
        <v/>
      </c>
      <c r="Y26" s="230" t="str">
        <f>IF(Y$3="","",IF(COUNTIFS(BD!$A$3:$A$5001,Y$3,BD!$B$3:$B$5001,$A$24,BD!$E$3:$E$5001,"&lt;&gt;")=0,"",SUMIFS(BD!$E$3:$E$5001,BD!$A$3:$A$5001,Y$3,BD!$B$3:$B$5001,$A$24)))</f>
        <v/>
      </c>
      <c r="Z26" s="230" t="str">
        <f>IF(Z$3="","",IF(COUNTIFS(BD!$A$3:$A$5001,Z$3,BD!$B$3:$B$5001,$A$24,BD!$E$3:$E$5001,"&lt;&gt;")=0,"",SUMIFS(BD!$E$3:$E$5001,BD!$A$3:$A$5001,Z$3,BD!$B$3:$B$5001,$A$24)))</f>
        <v/>
      </c>
      <c r="AA26" s="230" t="str">
        <f>IF(AA$3="","",IF(COUNTIFS(BD!$A$3:$A$5001,AA$3,BD!$B$3:$B$5001,$A$24,BD!$E$3:$E$5001,"&lt;&gt;")=0,"",SUMIFS(BD!$E$3:$E$5001,BD!$A$3:$A$5001,AA$3,BD!$B$3:$B$5001,$A$24)))</f>
        <v/>
      </c>
      <c r="AB26" s="230" t="str">
        <f>IF(AB$3="","",IF(COUNTIFS(BD!$A$3:$A$5001,AB$3,BD!$B$3:$B$5001,$A$24,BD!$E$3:$E$5001,"&lt;&gt;")=0,"",SUMIFS(BD!$E$3:$E$5001,BD!$A$3:$A$5001,AB$3,BD!$B$3:$B$5001,$A$24)))</f>
        <v/>
      </c>
      <c r="AC26" s="230" t="str">
        <f>IF(AC$3="","",IF(COUNTIFS(BD!$A$3:$A$5001,AC$3,BD!$B$3:$B$5001,$A$24,BD!$E$3:$E$5001,"&lt;&gt;")=0,"",SUMIFS(BD!$E$3:$E$5001,BD!$A$3:$A$5001,AC$3,BD!$B$3:$B$5001,$A$24)))</f>
        <v/>
      </c>
      <c r="AD26" s="230" t="str">
        <f>IF(AD$3="","",IF(COUNTIFS(BD!$A$3:$A$5001,AD$3,BD!$B$3:$B$5001,$A$24,BD!$E$3:$E$5001,"&lt;&gt;")=0,"",SUMIFS(BD!$E$3:$E$5001,BD!$A$3:$A$5001,AD$3,BD!$B$3:$B$5001,$A$24)))</f>
        <v/>
      </c>
      <c r="AE26" s="230" t="str">
        <f>IF(AE$3="","",IF(COUNTIFS(BD!$A$3:$A$5001,AE$3,BD!$B$3:$B$5001,$A$24,BD!$E$3:$E$5001,"&lt;&gt;")=0,"",SUMIFS(BD!$E$3:$E$5001,BD!$A$3:$A$5001,AE$3,BD!$B$3:$B$5001,$A$24)))</f>
        <v/>
      </c>
      <c r="AF26" s="230" t="str">
        <f>IF(AF$3="","",IF(COUNTIFS(BD!$A$3:$A$5001,AF$3,BD!$B$3:$B$5001,$A$24,BD!$E$3:$E$5001,"&lt;&gt;")=0,"",SUMIFS(BD!$E$3:$E$5001,BD!$A$3:$A$5001,AF$3,BD!$B$3:$B$5001,$A$24)))</f>
        <v/>
      </c>
      <c r="AG26" s="230" t="str">
        <f>IF(AG$3="","",IF(COUNTIFS(BD!$A$3:$A$5001,AG$3,BD!$B$3:$B$5001,$A$24,BD!$E$3:$E$5001,"&lt;&gt;")=0,"",SUMIFS(BD!$E$3:$E$5001,BD!$A$3:$A$5001,AG$3,BD!$B$3:$B$5001,$A$24)))</f>
        <v/>
      </c>
      <c r="AH26" s="230" t="str">
        <f>IF(AH$3="","",IF(COUNTIFS(BD!$A$3:$A$5001,AH$3,BD!$B$3:$B$5001,$A$24,BD!$E$3:$E$5001,"&lt;&gt;")=0,"",SUMIFS(BD!$E$3:$E$5001,BD!$A$3:$A$5001,AH$3,BD!$B$3:$B$5001,$A$24)))</f>
        <v/>
      </c>
      <c r="AI26" s="230" t="str">
        <f>IF(AI$3="","",IF(COUNTIFS(BD!$A$3:$A$5001,AI$3,BD!$B$3:$B$5001,$A$24,BD!$E$3:$E$5001,"&lt;&gt;")=0,"",SUMIFS(BD!$E$3:$E$5001,BD!$A$3:$A$5001,AI$3,BD!$B$3:$B$5001,$A$24)))</f>
        <v/>
      </c>
      <c r="AJ26" s="231" t="str">
        <f>IF(AJ$3="","",IF(COUNTIFS(BD!$A$3:$A$5001,AJ$3,BD!$B$3:$B$5001,$A$24,BD!$E$3:$E$5001,"&lt;&gt;")=0,"",SUMIFS(BD!$E$3:$E$5001,BD!$A$3:$A$5001,AJ$3,BD!$B$3:$B$5001,$A$24)))</f>
        <v/>
      </c>
      <c r="AK26" s="232" t="str">
        <f>IF(COUNT(F26:AJ26)=0,"",SUM(F26:AJ26))</f>
        <v/>
      </c>
    </row>
    <row r="27" ht="15.75" customHeight="1">
      <c r="A27" s="227"/>
      <c r="B27" s="217" t="inlineStr">
        <is>
          <t xml:space="preserve">OUT</t>
        </is>
      </c>
      <c r="C27" s="151" t="inlineStr">
        <is>
          <t xml:space="preserve">Veículos Expedidos</t>
        </is>
      </c>
      <c r="D27" s="152" t="str">
        <f>IFERROR(1/(1/INDEX(BD!$AK$32:$AT$32,MATCH($A$24,BD!$AK$22:$AT$22,0))),"")</f>
        <v/>
      </c>
      <c r="E27" s="153"/>
      <c r="F27" s="154" t="str">
        <f>IF(F$3="","",IF(COUNTIFS(BD!$A$3:$A$5001,F$3,BD!$B$3:$B$5001,$A$24,BD!$L$3:$L$5001,"&lt;&gt;")=0,"",SUMIFS(BD!$L$3:$L$5001,BD!$A$3:$A$5001,F$3,BD!$B$3:$B$5001,$A$24)))</f>
        <v/>
      </c>
      <c r="G27" s="155" t="str">
        <f>IF(G$3="","",IF(COUNTIFS(BD!$A$3:$A$5001,G$3,BD!$B$3:$B$5001,$A$24,BD!$L$3:$L$5001,"&lt;&gt;")=0,"",SUMIFS(BD!$L$3:$L$5001,BD!$A$3:$A$5001,G$3,BD!$B$3:$B$5001,$A$24)))</f>
        <v/>
      </c>
      <c r="H27" s="155" t="str">
        <f>IF(H$3="","",IF(COUNTIFS(BD!$A$3:$A$5001,H$3,BD!$B$3:$B$5001,$A$24,BD!$L$3:$L$5001,"&lt;&gt;")=0,"",SUMIFS(BD!$L$3:$L$5001,BD!$A$3:$A$5001,H$3,BD!$B$3:$B$5001,$A$24)))</f>
        <v/>
      </c>
      <c r="I27" s="155" t="str">
        <f>IF(I$3="","",IF(COUNTIFS(BD!$A$3:$A$5001,I$3,BD!$B$3:$B$5001,$A$24,BD!$L$3:$L$5001,"&lt;&gt;")=0,"",SUMIFS(BD!$L$3:$L$5001,BD!$A$3:$A$5001,I$3,BD!$B$3:$B$5001,$A$24)))</f>
        <v/>
      </c>
      <c r="J27" s="155" t="str">
        <f>IF(J$3="","",IF(COUNTIFS(BD!$A$3:$A$5001,J$3,BD!$B$3:$B$5001,$A$24,BD!$L$3:$L$5001,"&lt;&gt;")=0,"",SUMIFS(BD!$L$3:$L$5001,BD!$A$3:$A$5001,J$3,BD!$B$3:$B$5001,$A$24)))</f>
        <v/>
      </c>
      <c r="K27" s="155" t="str">
        <f>IF(K$3="","",IF(COUNTIFS(BD!$A$3:$A$5001,K$3,BD!$B$3:$B$5001,$A$24,BD!$L$3:$L$5001,"&lt;&gt;")=0,"",SUMIFS(BD!$L$3:$L$5001,BD!$A$3:$A$5001,K$3,BD!$B$3:$B$5001,$A$24)))</f>
        <v/>
      </c>
      <c r="L27" s="155" t="str">
        <f>IF(L$3="","",IF(COUNTIFS(BD!$A$3:$A$5001,L$3,BD!$B$3:$B$5001,$A$24,BD!$L$3:$L$5001,"&lt;&gt;")=0,"",SUMIFS(BD!$L$3:$L$5001,BD!$A$3:$A$5001,L$3,BD!$B$3:$B$5001,$A$24)))</f>
        <v/>
      </c>
      <c r="M27" s="155" t="str">
        <f>IF(M$3="","",IF(COUNTIFS(BD!$A$3:$A$5001,M$3,BD!$B$3:$B$5001,$A$24,BD!$L$3:$L$5001,"&lt;&gt;")=0,"",SUMIFS(BD!$L$3:$L$5001,BD!$A$3:$A$5001,M$3,BD!$B$3:$B$5001,$A$24)))</f>
        <v/>
      </c>
      <c r="N27" s="155" t="str">
        <f>IF(N$3="","",IF(COUNTIFS(BD!$A$3:$A$5001,N$3,BD!$B$3:$B$5001,$A$24,BD!$L$3:$L$5001,"&lt;&gt;")=0,"",SUMIFS(BD!$L$3:$L$5001,BD!$A$3:$A$5001,N$3,BD!$B$3:$B$5001,$A$24)))</f>
        <v/>
      </c>
      <c r="O27" s="155" t="str">
        <f>IF(O$3="","",IF(COUNTIFS(BD!$A$3:$A$5001,O$3,BD!$B$3:$B$5001,$A$24,BD!$L$3:$L$5001,"&lt;&gt;")=0,"",SUMIFS(BD!$L$3:$L$5001,BD!$A$3:$A$5001,O$3,BD!$B$3:$B$5001,$A$24)))</f>
        <v/>
      </c>
      <c r="P27" s="155" t="str">
        <f>IF(P$3="","",IF(COUNTIFS(BD!$A$3:$A$5001,P$3,BD!$B$3:$B$5001,$A$24,BD!$L$3:$L$5001,"&lt;&gt;")=0,"",SUMIFS(BD!$L$3:$L$5001,BD!$A$3:$A$5001,P$3,BD!$B$3:$B$5001,$A$24)))</f>
        <v/>
      </c>
      <c r="Q27" s="155" t="str">
        <f>IF(Q$3="","",IF(COUNTIFS(BD!$A$3:$A$5001,Q$3,BD!$B$3:$B$5001,$A$24,BD!$L$3:$L$5001,"&lt;&gt;")=0,"",SUMIFS(BD!$L$3:$L$5001,BD!$A$3:$A$5001,Q$3,BD!$B$3:$B$5001,$A$24)))</f>
        <v/>
      </c>
      <c r="R27" s="155" t="str">
        <f>IF(R$3="","",IF(COUNTIFS(BD!$A$3:$A$5001,R$3,BD!$B$3:$B$5001,$A$24,BD!$L$3:$L$5001,"&lt;&gt;")=0,"",SUMIFS(BD!$L$3:$L$5001,BD!$A$3:$A$5001,R$3,BD!$B$3:$B$5001,$A$24)))</f>
        <v/>
      </c>
      <c r="S27" s="155" t="str">
        <f>IF(S$3="","",IF(COUNTIFS(BD!$A$3:$A$5001,S$3,BD!$B$3:$B$5001,$A$24,BD!$L$3:$L$5001,"&lt;&gt;")=0,"",SUMIFS(BD!$L$3:$L$5001,BD!$A$3:$A$5001,S$3,BD!$B$3:$B$5001,$A$24)))</f>
        <v/>
      </c>
      <c r="T27" s="155" t="str">
        <f>IF(T$3="","",IF(COUNTIFS(BD!$A$3:$A$5001,T$3,BD!$B$3:$B$5001,$A$24,BD!$L$3:$L$5001,"&lt;&gt;")=0,"",SUMIFS(BD!$L$3:$L$5001,BD!$A$3:$A$5001,T$3,BD!$B$3:$B$5001,$A$24)))</f>
        <v/>
      </c>
      <c r="U27" s="155" t="str">
        <f>IF(U$3="","",IF(COUNTIFS(BD!$A$3:$A$5001,U$3,BD!$B$3:$B$5001,$A$24,BD!$L$3:$L$5001,"&lt;&gt;")=0,"",SUMIFS(BD!$L$3:$L$5001,BD!$A$3:$A$5001,U$3,BD!$B$3:$B$5001,$A$24)))</f>
        <v/>
      </c>
      <c r="V27" s="155" t="str">
        <f>IF(V$3="","",IF(COUNTIFS(BD!$A$3:$A$5001,V$3,BD!$B$3:$B$5001,$A$24,BD!$L$3:$L$5001,"&lt;&gt;")=0,"",SUMIFS(BD!$L$3:$L$5001,BD!$A$3:$A$5001,V$3,BD!$B$3:$B$5001,$A$24)))</f>
        <v/>
      </c>
      <c r="W27" s="155" t="str">
        <f>IF(W$3="","",IF(COUNTIFS(BD!$A$3:$A$5001,W$3,BD!$B$3:$B$5001,$A$24,BD!$L$3:$L$5001,"&lt;&gt;")=0,"",SUMIFS(BD!$L$3:$L$5001,BD!$A$3:$A$5001,W$3,BD!$B$3:$B$5001,$A$24)))</f>
        <v/>
      </c>
      <c r="X27" s="155" t="str">
        <f>IF(X$3="","",IF(COUNTIFS(BD!$A$3:$A$5001,X$3,BD!$B$3:$B$5001,$A$24,BD!$L$3:$L$5001,"&lt;&gt;")=0,"",SUMIFS(BD!$L$3:$L$5001,BD!$A$3:$A$5001,X$3,BD!$B$3:$B$5001,$A$24)))</f>
        <v/>
      </c>
      <c r="Y27" s="155" t="str">
        <f>IF(Y$3="","",IF(COUNTIFS(BD!$A$3:$A$5001,Y$3,BD!$B$3:$B$5001,$A$24,BD!$L$3:$L$5001,"&lt;&gt;")=0,"",SUMIFS(BD!$L$3:$L$5001,BD!$A$3:$A$5001,Y$3,BD!$B$3:$B$5001,$A$24)))</f>
        <v/>
      </c>
      <c r="Z27" s="155" t="str">
        <f>IF(Z$3="","",IF(COUNTIFS(BD!$A$3:$A$5001,Z$3,BD!$B$3:$B$5001,$A$24,BD!$L$3:$L$5001,"&lt;&gt;")=0,"",SUMIFS(BD!$L$3:$L$5001,BD!$A$3:$A$5001,Z$3,BD!$B$3:$B$5001,$A$24)))</f>
        <v/>
      </c>
      <c r="AA27" s="155" t="str">
        <f>IF(AA$3="","",IF(COUNTIFS(BD!$A$3:$A$5001,AA$3,BD!$B$3:$B$5001,$A$24,BD!$L$3:$L$5001,"&lt;&gt;")=0,"",SUMIFS(BD!$L$3:$L$5001,BD!$A$3:$A$5001,AA$3,BD!$B$3:$B$5001,$A$24)))</f>
        <v/>
      </c>
      <c r="AB27" s="155" t="str">
        <f>IF(AB$3="","",IF(COUNTIFS(BD!$A$3:$A$5001,AB$3,BD!$B$3:$B$5001,$A$24,BD!$L$3:$L$5001,"&lt;&gt;")=0,"",SUMIFS(BD!$L$3:$L$5001,BD!$A$3:$A$5001,AB$3,BD!$B$3:$B$5001,$A$24)))</f>
        <v/>
      </c>
      <c r="AC27" s="155" t="str">
        <f>IF(AC$3="","",IF(COUNTIFS(BD!$A$3:$A$5001,AC$3,BD!$B$3:$B$5001,$A$24,BD!$L$3:$L$5001,"&lt;&gt;")=0,"",SUMIFS(BD!$L$3:$L$5001,BD!$A$3:$A$5001,AC$3,BD!$B$3:$B$5001,$A$24)))</f>
        <v/>
      </c>
      <c r="AD27" s="155" t="str">
        <f>IF(AD$3="","",IF(COUNTIFS(BD!$A$3:$A$5001,AD$3,BD!$B$3:$B$5001,$A$24,BD!$L$3:$L$5001,"&lt;&gt;")=0,"",SUMIFS(BD!$L$3:$L$5001,BD!$A$3:$A$5001,AD$3,BD!$B$3:$B$5001,$A$24)))</f>
        <v/>
      </c>
      <c r="AE27" s="155" t="str">
        <f>IF(AE$3="","",IF(COUNTIFS(BD!$A$3:$A$5001,AE$3,BD!$B$3:$B$5001,$A$24,BD!$L$3:$L$5001,"&lt;&gt;")=0,"",SUMIFS(BD!$L$3:$L$5001,BD!$A$3:$A$5001,AE$3,BD!$B$3:$B$5001,$A$24)))</f>
        <v/>
      </c>
      <c r="AF27" s="155" t="str">
        <f>IF(AF$3="","",IF(COUNTIFS(BD!$A$3:$A$5001,AF$3,BD!$B$3:$B$5001,$A$24,BD!$L$3:$L$5001,"&lt;&gt;")=0,"",SUMIFS(BD!$L$3:$L$5001,BD!$A$3:$A$5001,AF$3,BD!$B$3:$B$5001,$A$24)))</f>
        <v/>
      </c>
      <c r="AG27" s="155" t="str">
        <f>IF(AG$3="","",IF(COUNTIFS(BD!$A$3:$A$5001,AG$3,BD!$B$3:$B$5001,$A$24,BD!$L$3:$L$5001,"&lt;&gt;")=0,"",SUMIFS(BD!$L$3:$L$5001,BD!$A$3:$A$5001,AG$3,BD!$B$3:$B$5001,$A$24)))</f>
        <v/>
      </c>
      <c r="AH27" s="155" t="str">
        <f>IF(AH$3="","",IF(COUNTIFS(BD!$A$3:$A$5001,AH$3,BD!$B$3:$B$5001,$A$24,BD!$L$3:$L$5001,"&lt;&gt;")=0,"",SUMIFS(BD!$L$3:$L$5001,BD!$A$3:$A$5001,AH$3,BD!$B$3:$B$5001,$A$24)))</f>
        <v/>
      </c>
      <c r="AI27" s="155" t="str">
        <f>IF(AI$3="","",IF(COUNTIFS(BD!$A$3:$A$5001,AI$3,BD!$B$3:$B$5001,$A$24,BD!$L$3:$L$5001,"&lt;&gt;")=0,"",SUMIFS(BD!$L$3:$L$5001,BD!$A$3:$A$5001,AI$3,BD!$B$3:$B$5001,$A$24)))</f>
        <v/>
      </c>
      <c r="AJ27" s="156" t="str">
        <f>IF(AJ$3="","",IF(COUNTIFS(BD!$A$3:$A$5001,AJ$3,BD!$B$3:$B$5001,$A$24,BD!$L$3:$L$5001,"&lt;&gt;")=0,"",SUMIFS(BD!$L$3:$L$5001,BD!$A$3:$A$5001,AJ$3,BD!$B$3:$B$5001,$A$24)))</f>
        <v/>
      </c>
      <c r="AK27" s="157" t="str">
        <f>IF(COUNT(F27:AJ27)=0,"",SUM(F27:AJ27))</f>
        <v/>
      </c>
    </row>
    <row r="28" ht="15.75" customHeight="1">
      <c r="A28" s="227"/>
      <c r="B28" s="244"/>
      <c r="C28" s="233" t="inlineStr">
        <is>
          <t xml:space="preserve">Pallets Movimentados</t>
        </is>
      </c>
      <c r="D28" s="234" t="str">
        <f>IFERROR(1/(1/INDEX(BD!$AK$39:$AT$39,MATCH($A$24,BD!$AK$22:$AT$22,0))),"")</f>
        <v/>
      </c>
      <c r="E28" s="235"/>
      <c r="F28" s="236" t="str">
        <f>IF(F$3="","",IF(COUNTIFS(BD!$A$3:$A$5001,F$3,BD!$B$3:$B$5001,$A$24,BD!$S$3:$S$5001,"&lt;&gt;")=0,"",SUMIFS(BD!$S$3:$S$5001,BD!$A$3:$A$5001,F$3,BD!$B$3:$B$5001,$A$24)))</f>
        <v/>
      </c>
      <c r="G28" s="237" t="str">
        <f>IF(G$3="","",IF(COUNTIFS(BD!$A$3:$A$5001,G$3,BD!$B$3:$B$5001,$A$24,BD!$S$3:$S$5001,"&lt;&gt;")=0,"",SUMIFS(BD!$S$3:$S$5001,BD!$A$3:$A$5001,G$3,BD!$B$3:$B$5001,$A$24)))</f>
        <v/>
      </c>
      <c r="H28" s="237" t="str">
        <f>IF(H$3="","",IF(COUNTIFS(BD!$A$3:$A$5001,H$3,BD!$B$3:$B$5001,$A$24,BD!$S$3:$S$5001,"&lt;&gt;")=0,"",SUMIFS(BD!$S$3:$S$5001,BD!$A$3:$A$5001,H$3,BD!$B$3:$B$5001,$A$24)))</f>
        <v/>
      </c>
      <c r="I28" s="237" t="str">
        <f>IF(I$3="","",IF(COUNTIFS(BD!$A$3:$A$5001,I$3,BD!$B$3:$B$5001,$A$24,BD!$S$3:$S$5001,"&lt;&gt;")=0,"",SUMIFS(BD!$S$3:$S$5001,BD!$A$3:$A$5001,I$3,BD!$B$3:$B$5001,$A$24)))</f>
        <v/>
      </c>
      <c r="J28" s="237" t="str">
        <f>IF(J$3="","",IF(COUNTIFS(BD!$A$3:$A$5001,J$3,BD!$B$3:$B$5001,$A$24,BD!$S$3:$S$5001,"&lt;&gt;")=0,"",SUMIFS(BD!$S$3:$S$5001,BD!$A$3:$A$5001,J$3,BD!$B$3:$B$5001,$A$24)))</f>
        <v/>
      </c>
      <c r="K28" s="237" t="str">
        <f>IF(K$3="","",IF(COUNTIFS(BD!$A$3:$A$5001,K$3,BD!$B$3:$B$5001,$A$24,BD!$S$3:$S$5001,"&lt;&gt;")=0,"",SUMIFS(BD!$S$3:$S$5001,BD!$A$3:$A$5001,K$3,BD!$B$3:$B$5001,$A$24)))</f>
        <v/>
      </c>
      <c r="L28" s="237" t="str">
        <f>IF(L$3="","",IF(COUNTIFS(BD!$A$3:$A$5001,L$3,BD!$B$3:$B$5001,$A$24,BD!$S$3:$S$5001,"&lt;&gt;")=0,"",SUMIFS(BD!$S$3:$S$5001,BD!$A$3:$A$5001,L$3,BD!$B$3:$B$5001,$A$24)))</f>
        <v/>
      </c>
      <c r="M28" s="237" t="str">
        <f>IF(M$3="","",IF(COUNTIFS(BD!$A$3:$A$5001,M$3,BD!$B$3:$B$5001,$A$24,BD!$S$3:$S$5001,"&lt;&gt;")=0,"",SUMIFS(BD!$S$3:$S$5001,BD!$A$3:$A$5001,M$3,BD!$B$3:$B$5001,$A$24)))</f>
        <v/>
      </c>
      <c r="N28" s="237" t="str">
        <f>IF(N$3="","",IF(COUNTIFS(BD!$A$3:$A$5001,N$3,BD!$B$3:$B$5001,$A$24,BD!$S$3:$S$5001,"&lt;&gt;")=0,"",SUMIFS(BD!$S$3:$S$5001,BD!$A$3:$A$5001,N$3,BD!$B$3:$B$5001,$A$24)))</f>
        <v/>
      </c>
      <c r="O28" s="237" t="str">
        <f>IF(O$3="","",IF(COUNTIFS(BD!$A$3:$A$5001,O$3,BD!$B$3:$B$5001,$A$24,BD!$S$3:$S$5001,"&lt;&gt;")=0,"",SUMIFS(BD!$S$3:$S$5001,BD!$A$3:$A$5001,O$3,BD!$B$3:$B$5001,$A$24)))</f>
        <v/>
      </c>
      <c r="P28" s="237" t="str">
        <f>IF(P$3="","",IF(COUNTIFS(BD!$A$3:$A$5001,P$3,BD!$B$3:$B$5001,$A$24,BD!$S$3:$S$5001,"&lt;&gt;")=0,"",SUMIFS(BD!$S$3:$S$5001,BD!$A$3:$A$5001,P$3,BD!$B$3:$B$5001,$A$24)))</f>
        <v/>
      </c>
      <c r="Q28" s="237" t="str">
        <f>IF(Q$3="","",IF(COUNTIFS(BD!$A$3:$A$5001,Q$3,BD!$B$3:$B$5001,$A$24,BD!$S$3:$S$5001,"&lt;&gt;")=0,"",SUMIFS(BD!$S$3:$S$5001,BD!$A$3:$A$5001,Q$3,BD!$B$3:$B$5001,$A$24)))</f>
        <v/>
      </c>
      <c r="R28" s="237" t="str">
        <f>IF(R$3="","",IF(COUNTIFS(BD!$A$3:$A$5001,R$3,BD!$B$3:$B$5001,$A$24,BD!$S$3:$S$5001,"&lt;&gt;")=0,"",SUMIFS(BD!$S$3:$S$5001,BD!$A$3:$A$5001,R$3,BD!$B$3:$B$5001,$A$24)))</f>
        <v/>
      </c>
      <c r="S28" s="237" t="str">
        <f>IF(S$3="","",IF(COUNTIFS(BD!$A$3:$A$5001,S$3,BD!$B$3:$B$5001,$A$24,BD!$S$3:$S$5001,"&lt;&gt;")=0,"",SUMIFS(BD!$S$3:$S$5001,BD!$A$3:$A$5001,S$3,BD!$B$3:$B$5001,$A$24)))</f>
        <v/>
      </c>
      <c r="T28" s="237" t="str">
        <f>IF(T$3="","",IF(COUNTIFS(BD!$A$3:$A$5001,T$3,BD!$B$3:$B$5001,$A$24,BD!$S$3:$S$5001,"&lt;&gt;")=0,"",SUMIFS(BD!$S$3:$S$5001,BD!$A$3:$A$5001,T$3,BD!$B$3:$B$5001,$A$24)))</f>
        <v/>
      </c>
      <c r="U28" s="237" t="str">
        <f>IF(U$3="","",IF(COUNTIFS(BD!$A$3:$A$5001,U$3,BD!$B$3:$B$5001,$A$24,BD!$S$3:$S$5001,"&lt;&gt;")=0,"",SUMIFS(BD!$S$3:$S$5001,BD!$A$3:$A$5001,U$3,BD!$B$3:$B$5001,$A$24)))</f>
        <v/>
      </c>
      <c r="V28" s="237" t="str">
        <f>IF(V$3="","",IF(COUNTIFS(BD!$A$3:$A$5001,V$3,BD!$B$3:$B$5001,$A$24,BD!$S$3:$S$5001,"&lt;&gt;")=0,"",SUMIFS(BD!$S$3:$S$5001,BD!$A$3:$A$5001,V$3,BD!$B$3:$B$5001,$A$24)))</f>
        <v/>
      </c>
      <c r="W28" s="237" t="str">
        <f>IF(W$3="","",IF(COUNTIFS(BD!$A$3:$A$5001,W$3,BD!$B$3:$B$5001,$A$24,BD!$S$3:$S$5001,"&lt;&gt;")=0,"",SUMIFS(BD!$S$3:$S$5001,BD!$A$3:$A$5001,W$3,BD!$B$3:$B$5001,$A$24)))</f>
        <v/>
      </c>
      <c r="X28" s="237" t="str">
        <f>IF(X$3="","",IF(COUNTIFS(BD!$A$3:$A$5001,X$3,BD!$B$3:$B$5001,$A$24,BD!$S$3:$S$5001,"&lt;&gt;")=0,"",SUMIFS(BD!$S$3:$S$5001,BD!$A$3:$A$5001,X$3,BD!$B$3:$B$5001,$A$24)))</f>
        <v/>
      </c>
      <c r="Y28" s="237" t="str">
        <f>IF(Y$3="","",IF(COUNTIFS(BD!$A$3:$A$5001,Y$3,BD!$B$3:$B$5001,$A$24,BD!$S$3:$S$5001,"&lt;&gt;")=0,"",SUMIFS(BD!$S$3:$S$5001,BD!$A$3:$A$5001,Y$3,BD!$B$3:$B$5001,$A$24)))</f>
        <v/>
      </c>
      <c r="Z28" s="237" t="str">
        <f>IF(Z$3="","",IF(COUNTIFS(BD!$A$3:$A$5001,Z$3,BD!$B$3:$B$5001,$A$24,BD!$S$3:$S$5001,"&lt;&gt;")=0,"",SUMIFS(BD!$S$3:$S$5001,BD!$A$3:$A$5001,Z$3,BD!$B$3:$B$5001,$A$24)))</f>
        <v/>
      </c>
      <c r="AA28" s="237" t="str">
        <f>IF(AA$3="","",IF(COUNTIFS(BD!$A$3:$A$5001,AA$3,BD!$B$3:$B$5001,$A$24,BD!$S$3:$S$5001,"&lt;&gt;")=0,"",SUMIFS(BD!$S$3:$S$5001,BD!$A$3:$A$5001,AA$3,BD!$B$3:$B$5001,$A$24)))</f>
        <v/>
      </c>
      <c r="AB28" s="237" t="str">
        <f>IF(AB$3="","",IF(COUNTIFS(BD!$A$3:$A$5001,AB$3,BD!$B$3:$B$5001,$A$24,BD!$S$3:$S$5001,"&lt;&gt;")=0,"",SUMIFS(BD!$S$3:$S$5001,BD!$A$3:$A$5001,AB$3,BD!$B$3:$B$5001,$A$24)))</f>
        <v/>
      </c>
      <c r="AC28" s="237" t="str">
        <f>IF(AC$3="","",IF(COUNTIFS(BD!$A$3:$A$5001,AC$3,BD!$B$3:$B$5001,$A$24,BD!$S$3:$S$5001,"&lt;&gt;")=0,"",SUMIFS(BD!$S$3:$S$5001,BD!$A$3:$A$5001,AC$3,BD!$B$3:$B$5001,$A$24)))</f>
        <v/>
      </c>
      <c r="AD28" s="237" t="str">
        <f>IF(AD$3="","",IF(COUNTIFS(BD!$A$3:$A$5001,AD$3,BD!$B$3:$B$5001,$A$24,BD!$S$3:$S$5001,"&lt;&gt;")=0,"",SUMIFS(BD!$S$3:$S$5001,BD!$A$3:$A$5001,AD$3,BD!$B$3:$B$5001,$A$24)))</f>
        <v/>
      </c>
      <c r="AE28" s="237" t="str">
        <f>IF(AE$3="","",IF(COUNTIFS(BD!$A$3:$A$5001,AE$3,BD!$B$3:$B$5001,$A$24,BD!$S$3:$S$5001,"&lt;&gt;")=0,"",SUMIFS(BD!$S$3:$S$5001,BD!$A$3:$A$5001,AE$3,BD!$B$3:$B$5001,$A$24)))</f>
        <v/>
      </c>
      <c r="AF28" s="237" t="str">
        <f>IF(AF$3="","",IF(COUNTIFS(BD!$A$3:$A$5001,AF$3,BD!$B$3:$B$5001,$A$24,BD!$S$3:$S$5001,"&lt;&gt;")=0,"",SUMIFS(BD!$S$3:$S$5001,BD!$A$3:$A$5001,AF$3,BD!$B$3:$B$5001,$A$24)))</f>
        <v/>
      </c>
      <c r="AG28" s="237" t="str">
        <f>IF(AG$3="","",IF(COUNTIFS(BD!$A$3:$A$5001,AG$3,BD!$B$3:$B$5001,$A$24,BD!$S$3:$S$5001,"&lt;&gt;")=0,"",SUMIFS(BD!$S$3:$S$5001,BD!$A$3:$A$5001,AG$3,BD!$B$3:$B$5001,$A$24)))</f>
        <v/>
      </c>
      <c r="AH28" s="237" t="str">
        <f>IF(AH$3="","",IF(COUNTIFS(BD!$A$3:$A$5001,AH$3,BD!$B$3:$B$5001,$A$24,BD!$S$3:$S$5001,"&lt;&gt;")=0,"",SUMIFS(BD!$S$3:$S$5001,BD!$A$3:$A$5001,AH$3,BD!$B$3:$B$5001,$A$24)))</f>
        <v/>
      </c>
      <c r="AI28" s="237" t="str">
        <f>IF(AI$3="","",IF(COUNTIFS(BD!$A$3:$A$5001,AI$3,BD!$B$3:$B$5001,$A$24,BD!$S$3:$S$5001,"&lt;&gt;")=0,"",SUMIFS(BD!$S$3:$S$5001,BD!$A$3:$A$5001,AI$3,BD!$B$3:$B$5001,$A$24)))</f>
        <v/>
      </c>
      <c r="AJ28" s="238" t="str">
        <f>IF(AJ$3="","",IF(COUNTIFS(BD!$A$3:$A$5001,AJ$3,BD!$B$3:$B$5001,$A$24,BD!$S$3:$S$5001,"&lt;&gt;")=0,"",SUMIFS(BD!$S$3:$S$5001,BD!$A$3:$A$5001,AJ$3,BD!$B$3:$B$5001,$A$24)))</f>
        <v/>
      </c>
      <c r="AK28" s="239" t="str">
        <f>IF(COUNT(F28:AJ28)=0,"",SUM(F28:AJ28))</f>
        <v/>
      </c>
    </row>
    <row r="29" ht="15.75" customHeight="1">
      <c r="A29" s="227"/>
      <c r="B29" s="218"/>
      <c r="C29" s="158" t="inlineStr">
        <is>
          <t xml:space="preserve">Toneladas Movimentadas</t>
        </is>
      </c>
      <c r="D29" s="159" t="str">
        <f>IFERROR(1/(1/INDEX(BD!$AK$40:$AT$40,MATCH($A$24,BD!$AK$22:$AT$22,0))),"")</f>
        <v/>
      </c>
      <c r="E29" s="160"/>
      <c r="F29" s="240" t="str">
        <f>IF(F$3="","",IF(COUNTIFS(BD!$A$3:$A$5001,F$3,BD!$B$3:$B$5001,$A$24,BD!$T$3:$T$5001,"&lt;&gt;")=0,"",SUMIFS(BD!$T$3:$T$5001,BD!$A$3:$A$5001,F$3,BD!$B$3:$B$5001,$A$24)))</f>
        <v/>
      </c>
      <c r="G29" s="241" t="str">
        <f>IF(G$3="","",IF(COUNTIFS(BD!$A$3:$A$5001,G$3,BD!$B$3:$B$5001,$A$24,BD!$T$3:$T$5001,"&lt;&gt;")=0,"",SUMIFS(BD!$T$3:$T$5001,BD!$A$3:$A$5001,G$3,BD!$B$3:$B$5001,$A$24)))</f>
        <v/>
      </c>
      <c r="H29" s="241" t="str">
        <f>IF(H$3="","",IF(COUNTIFS(BD!$A$3:$A$5001,H$3,BD!$B$3:$B$5001,$A$24,BD!$T$3:$T$5001,"&lt;&gt;")=0,"",SUMIFS(BD!$T$3:$T$5001,BD!$A$3:$A$5001,H$3,BD!$B$3:$B$5001,$A$24)))</f>
        <v/>
      </c>
      <c r="I29" s="241" t="str">
        <f>IF(I$3="","",IF(COUNTIFS(BD!$A$3:$A$5001,I$3,BD!$B$3:$B$5001,$A$24,BD!$T$3:$T$5001,"&lt;&gt;")=0,"",SUMIFS(BD!$T$3:$T$5001,BD!$A$3:$A$5001,I$3,BD!$B$3:$B$5001,$A$24)))</f>
        <v/>
      </c>
      <c r="J29" s="241" t="str">
        <f>IF(J$3="","",IF(COUNTIFS(BD!$A$3:$A$5001,J$3,BD!$B$3:$B$5001,$A$24,BD!$T$3:$T$5001,"&lt;&gt;")=0,"",SUMIFS(BD!$T$3:$T$5001,BD!$A$3:$A$5001,J$3,BD!$B$3:$B$5001,$A$24)))</f>
        <v/>
      </c>
      <c r="K29" s="241" t="str">
        <f>IF(K$3="","",IF(COUNTIFS(BD!$A$3:$A$5001,K$3,BD!$B$3:$B$5001,$A$24,BD!$T$3:$T$5001,"&lt;&gt;")=0,"",SUMIFS(BD!$T$3:$T$5001,BD!$A$3:$A$5001,K$3,BD!$B$3:$B$5001,$A$24)))</f>
        <v/>
      </c>
      <c r="L29" s="241" t="str">
        <f>IF(L$3="","",IF(COUNTIFS(BD!$A$3:$A$5001,L$3,BD!$B$3:$B$5001,$A$24,BD!$T$3:$T$5001,"&lt;&gt;")=0,"",SUMIFS(BD!$T$3:$T$5001,BD!$A$3:$A$5001,L$3,BD!$B$3:$B$5001,$A$24)))</f>
        <v/>
      </c>
      <c r="M29" s="241" t="str">
        <f>IF(M$3="","",IF(COUNTIFS(BD!$A$3:$A$5001,M$3,BD!$B$3:$B$5001,$A$24,BD!$T$3:$T$5001,"&lt;&gt;")=0,"",SUMIFS(BD!$T$3:$T$5001,BD!$A$3:$A$5001,M$3,BD!$B$3:$B$5001,$A$24)))</f>
        <v/>
      </c>
      <c r="N29" s="241" t="str">
        <f>IF(N$3="","",IF(COUNTIFS(BD!$A$3:$A$5001,N$3,BD!$B$3:$B$5001,$A$24,BD!$T$3:$T$5001,"&lt;&gt;")=0,"",SUMIFS(BD!$T$3:$T$5001,BD!$A$3:$A$5001,N$3,BD!$B$3:$B$5001,$A$24)))</f>
        <v/>
      </c>
      <c r="O29" s="241" t="str">
        <f>IF(O$3="","",IF(COUNTIFS(BD!$A$3:$A$5001,O$3,BD!$B$3:$B$5001,$A$24,BD!$T$3:$T$5001,"&lt;&gt;")=0,"",SUMIFS(BD!$T$3:$T$5001,BD!$A$3:$A$5001,O$3,BD!$B$3:$B$5001,$A$24)))</f>
        <v/>
      </c>
      <c r="P29" s="241" t="str">
        <f>IF(P$3="","",IF(COUNTIFS(BD!$A$3:$A$5001,P$3,BD!$B$3:$B$5001,$A$24,BD!$T$3:$T$5001,"&lt;&gt;")=0,"",SUMIFS(BD!$T$3:$T$5001,BD!$A$3:$A$5001,P$3,BD!$B$3:$B$5001,$A$24)))</f>
        <v/>
      </c>
      <c r="Q29" s="241" t="str">
        <f>IF(Q$3="","",IF(COUNTIFS(BD!$A$3:$A$5001,Q$3,BD!$B$3:$B$5001,$A$24,BD!$T$3:$T$5001,"&lt;&gt;")=0,"",SUMIFS(BD!$T$3:$T$5001,BD!$A$3:$A$5001,Q$3,BD!$B$3:$B$5001,$A$24)))</f>
        <v/>
      </c>
      <c r="R29" s="241" t="str">
        <f>IF(R$3="","",IF(COUNTIFS(BD!$A$3:$A$5001,R$3,BD!$B$3:$B$5001,$A$24,BD!$T$3:$T$5001,"&lt;&gt;")=0,"",SUMIFS(BD!$T$3:$T$5001,BD!$A$3:$A$5001,R$3,BD!$B$3:$B$5001,$A$24)))</f>
        <v/>
      </c>
      <c r="S29" s="241" t="str">
        <f>IF(S$3="","",IF(COUNTIFS(BD!$A$3:$A$5001,S$3,BD!$B$3:$B$5001,$A$24,BD!$T$3:$T$5001,"&lt;&gt;")=0,"",SUMIFS(BD!$T$3:$T$5001,BD!$A$3:$A$5001,S$3,BD!$B$3:$B$5001,$A$24)))</f>
        <v/>
      </c>
      <c r="T29" s="241" t="str">
        <f>IF(T$3="","",IF(COUNTIFS(BD!$A$3:$A$5001,T$3,BD!$B$3:$B$5001,$A$24,BD!$T$3:$T$5001,"&lt;&gt;")=0,"",SUMIFS(BD!$T$3:$T$5001,BD!$A$3:$A$5001,T$3,BD!$B$3:$B$5001,$A$24)))</f>
        <v/>
      </c>
      <c r="U29" s="241" t="str">
        <f>IF(U$3="","",IF(COUNTIFS(BD!$A$3:$A$5001,U$3,BD!$B$3:$B$5001,$A$24,BD!$T$3:$T$5001,"&lt;&gt;")=0,"",SUMIFS(BD!$T$3:$T$5001,BD!$A$3:$A$5001,U$3,BD!$B$3:$B$5001,$A$24)))</f>
        <v/>
      </c>
      <c r="V29" s="241" t="str">
        <f>IF(V$3="","",IF(COUNTIFS(BD!$A$3:$A$5001,V$3,BD!$B$3:$B$5001,$A$24,BD!$T$3:$T$5001,"&lt;&gt;")=0,"",SUMIFS(BD!$T$3:$T$5001,BD!$A$3:$A$5001,V$3,BD!$B$3:$B$5001,$A$24)))</f>
        <v/>
      </c>
      <c r="W29" s="241" t="str">
        <f>IF(W$3="","",IF(COUNTIFS(BD!$A$3:$A$5001,W$3,BD!$B$3:$B$5001,$A$24,BD!$T$3:$T$5001,"&lt;&gt;")=0,"",SUMIFS(BD!$T$3:$T$5001,BD!$A$3:$A$5001,W$3,BD!$B$3:$B$5001,$A$24)))</f>
        <v/>
      </c>
      <c r="X29" s="241" t="str">
        <f>IF(X$3="","",IF(COUNTIFS(BD!$A$3:$A$5001,X$3,BD!$B$3:$B$5001,$A$24,BD!$T$3:$T$5001,"&lt;&gt;")=0,"",SUMIFS(BD!$T$3:$T$5001,BD!$A$3:$A$5001,X$3,BD!$B$3:$B$5001,$A$24)))</f>
        <v/>
      </c>
      <c r="Y29" s="241" t="str">
        <f>IF(Y$3="","",IF(COUNTIFS(BD!$A$3:$A$5001,Y$3,BD!$B$3:$B$5001,$A$24,BD!$T$3:$T$5001,"&lt;&gt;")=0,"",SUMIFS(BD!$T$3:$T$5001,BD!$A$3:$A$5001,Y$3,BD!$B$3:$B$5001,$A$24)))</f>
        <v/>
      </c>
      <c r="Z29" s="241" t="str">
        <f>IF(Z$3="","",IF(COUNTIFS(BD!$A$3:$A$5001,Z$3,BD!$B$3:$B$5001,$A$24,BD!$T$3:$T$5001,"&lt;&gt;")=0,"",SUMIFS(BD!$T$3:$T$5001,BD!$A$3:$A$5001,Z$3,BD!$B$3:$B$5001,$A$24)))</f>
        <v/>
      </c>
      <c r="AA29" s="241" t="str">
        <f>IF(AA$3="","",IF(COUNTIFS(BD!$A$3:$A$5001,AA$3,BD!$B$3:$B$5001,$A$24,BD!$T$3:$T$5001,"&lt;&gt;")=0,"",SUMIFS(BD!$T$3:$T$5001,BD!$A$3:$A$5001,AA$3,BD!$B$3:$B$5001,$A$24)))</f>
        <v/>
      </c>
      <c r="AB29" s="241" t="str">
        <f>IF(AB$3="","",IF(COUNTIFS(BD!$A$3:$A$5001,AB$3,BD!$B$3:$B$5001,$A$24,BD!$T$3:$T$5001,"&lt;&gt;")=0,"",SUMIFS(BD!$T$3:$T$5001,BD!$A$3:$A$5001,AB$3,BD!$B$3:$B$5001,$A$24)))</f>
        <v/>
      </c>
      <c r="AC29" s="241" t="str">
        <f>IF(AC$3="","",IF(COUNTIFS(BD!$A$3:$A$5001,AC$3,BD!$B$3:$B$5001,$A$24,BD!$T$3:$T$5001,"&lt;&gt;")=0,"",SUMIFS(BD!$T$3:$T$5001,BD!$A$3:$A$5001,AC$3,BD!$B$3:$B$5001,$A$24)))</f>
        <v/>
      </c>
      <c r="AD29" s="241" t="str">
        <f>IF(AD$3="","",IF(COUNTIFS(BD!$A$3:$A$5001,AD$3,BD!$B$3:$B$5001,$A$24,BD!$T$3:$T$5001,"&lt;&gt;")=0,"",SUMIFS(BD!$T$3:$T$5001,BD!$A$3:$A$5001,AD$3,BD!$B$3:$B$5001,$A$24)))</f>
        <v/>
      </c>
      <c r="AE29" s="241" t="str">
        <f>IF(AE$3="","",IF(COUNTIFS(BD!$A$3:$A$5001,AE$3,BD!$B$3:$B$5001,$A$24,BD!$T$3:$T$5001,"&lt;&gt;")=0,"",SUMIFS(BD!$T$3:$T$5001,BD!$A$3:$A$5001,AE$3,BD!$B$3:$B$5001,$A$24)))</f>
        <v/>
      </c>
      <c r="AF29" s="241" t="str">
        <f>IF(AF$3="","",IF(COUNTIFS(BD!$A$3:$A$5001,AF$3,BD!$B$3:$B$5001,$A$24,BD!$T$3:$T$5001,"&lt;&gt;")=0,"",SUMIFS(BD!$T$3:$T$5001,BD!$A$3:$A$5001,AF$3,BD!$B$3:$B$5001,$A$24)))</f>
        <v/>
      </c>
      <c r="AG29" s="241" t="str">
        <f>IF(AG$3="","",IF(COUNTIFS(BD!$A$3:$A$5001,AG$3,BD!$B$3:$B$5001,$A$24,BD!$T$3:$T$5001,"&lt;&gt;")=0,"",SUMIFS(BD!$T$3:$T$5001,BD!$A$3:$A$5001,AG$3,BD!$B$3:$B$5001,$A$24)))</f>
        <v/>
      </c>
      <c r="AH29" s="241" t="str">
        <f>IF(AH$3="","",IF(COUNTIFS(BD!$A$3:$A$5001,AH$3,BD!$B$3:$B$5001,$A$24,BD!$T$3:$T$5001,"&lt;&gt;")=0,"",SUMIFS(BD!$T$3:$T$5001,BD!$A$3:$A$5001,AH$3,BD!$B$3:$B$5001,$A$24)))</f>
        <v/>
      </c>
      <c r="AI29" s="241" t="str">
        <f>IF(AI$3="","",IF(COUNTIFS(BD!$A$3:$A$5001,AI$3,BD!$B$3:$B$5001,$A$24,BD!$T$3:$T$5001,"&lt;&gt;")=0,"",SUMIFS(BD!$T$3:$T$5001,BD!$A$3:$A$5001,AI$3,BD!$B$3:$B$5001,$A$24)))</f>
        <v/>
      </c>
      <c r="AJ29" s="242" t="str">
        <f>IF(AJ$3="","",IF(COUNTIFS(BD!$A$3:$A$5001,AJ$3,BD!$B$3:$B$5001,$A$24,BD!$T$3:$T$5001,"&lt;&gt;")=0,"",SUMIFS(BD!$T$3:$T$5001,BD!$A$3:$A$5001,AJ$3,BD!$B$3:$B$5001,$A$24)))</f>
        <v/>
      </c>
      <c r="AK29" s="243" t="str">
        <f>IF(COUNT(F29:AJ29)=0,"",SUM(F29:AJ29))</f>
        <v/>
      </c>
    </row>
    <row r="30" ht="15.75" customHeight="1">
      <c r="A30" s="227"/>
      <c r="B30" s="219" t="inlineStr">
        <is>
          <t xml:space="preserve">NC</t>
        </is>
      </c>
      <c r="C30" s="164" t="inlineStr">
        <is>
          <t xml:space="preserve">Incidentes</t>
        </is>
      </c>
      <c r="D30" s="165" t="str">
        <f>IFERROR(1/(1/INDEX(BD!$AK$41:$AT$41,MATCH($A$24,BD!$AK$22:$AT$22,0))),"")</f>
        <v/>
      </c>
      <c r="E30" s="166"/>
      <c r="F30" s="167" t="str">
        <f>IF(F$3="","",IF(COUNTIFS(BD!$A$3:$A$5001,F$3,BD!$B$3:$B$5001,$A$24,BD!$U$3:$U$5001,"&lt;&gt;")=0,"",SUMIFS(BD!$U$3:$U$5001,BD!$A$3:$A$5001,F$3,BD!$B$3:$B$5001,$A$24)))</f>
        <v/>
      </c>
      <c r="G30" s="168" t="str">
        <f>IF(G$3="","",IF(COUNTIFS(BD!$A$3:$A$5001,G$3,BD!$B$3:$B$5001,$A$24,BD!$U$3:$U$5001,"&lt;&gt;")=0,"",SUMIFS(BD!$U$3:$U$5001,BD!$A$3:$A$5001,G$3,BD!$B$3:$B$5001,$A$24)))</f>
        <v/>
      </c>
      <c r="H30" s="168" t="str">
        <f>IF(H$3="","",IF(COUNTIFS(BD!$A$3:$A$5001,H$3,BD!$B$3:$B$5001,$A$24,BD!$U$3:$U$5001,"&lt;&gt;")=0,"",SUMIFS(BD!$U$3:$U$5001,BD!$A$3:$A$5001,H$3,BD!$B$3:$B$5001,$A$24)))</f>
        <v/>
      </c>
      <c r="I30" s="168" t="str">
        <f>IF(I$3="","",IF(COUNTIFS(BD!$A$3:$A$5001,I$3,BD!$B$3:$B$5001,$A$24,BD!$U$3:$U$5001,"&lt;&gt;")=0,"",SUMIFS(BD!$U$3:$U$5001,BD!$A$3:$A$5001,I$3,BD!$B$3:$B$5001,$A$24)))</f>
        <v/>
      </c>
      <c r="J30" s="168" t="str">
        <f>IF(J$3="","",IF(COUNTIFS(BD!$A$3:$A$5001,J$3,BD!$B$3:$B$5001,$A$24,BD!$U$3:$U$5001,"&lt;&gt;")=0,"",SUMIFS(BD!$U$3:$U$5001,BD!$A$3:$A$5001,J$3,BD!$B$3:$B$5001,$A$24)))</f>
        <v/>
      </c>
      <c r="K30" s="168" t="str">
        <f>IF(K$3="","",IF(COUNTIFS(BD!$A$3:$A$5001,K$3,BD!$B$3:$B$5001,$A$24,BD!$U$3:$U$5001,"&lt;&gt;")=0,"",SUMIFS(BD!$U$3:$U$5001,BD!$A$3:$A$5001,K$3,BD!$B$3:$B$5001,$A$24)))</f>
        <v/>
      </c>
      <c r="L30" s="168" t="str">
        <f>IF(L$3="","",IF(COUNTIFS(BD!$A$3:$A$5001,L$3,BD!$B$3:$B$5001,$A$24,BD!$U$3:$U$5001,"&lt;&gt;")=0,"",SUMIFS(BD!$U$3:$U$5001,BD!$A$3:$A$5001,L$3,BD!$B$3:$B$5001,$A$24)))</f>
        <v/>
      </c>
      <c r="M30" s="168" t="str">
        <f>IF(M$3="","",IF(COUNTIFS(BD!$A$3:$A$5001,M$3,BD!$B$3:$B$5001,$A$24,BD!$U$3:$U$5001,"&lt;&gt;")=0,"",SUMIFS(BD!$U$3:$U$5001,BD!$A$3:$A$5001,M$3,BD!$B$3:$B$5001,$A$24)))</f>
        <v/>
      </c>
      <c r="N30" s="168" t="str">
        <f>IF(N$3="","",IF(COUNTIFS(BD!$A$3:$A$5001,N$3,BD!$B$3:$B$5001,$A$24,BD!$U$3:$U$5001,"&lt;&gt;")=0,"",SUMIFS(BD!$U$3:$U$5001,BD!$A$3:$A$5001,N$3,BD!$B$3:$B$5001,$A$24)))</f>
        <v/>
      </c>
      <c r="O30" s="168" t="str">
        <f>IF(O$3="","",IF(COUNTIFS(BD!$A$3:$A$5001,O$3,BD!$B$3:$B$5001,$A$24,BD!$U$3:$U$5001,"&lt;&gt;")=0,"",SUMIFS(BD!$U$3:$U$5001,BD!$A$3:$A$5001,O$3,BD!$B$3:$B$5001,$A$24)))</f>
        <v/>
      </c>
      <c r="P30" s="168" t="str">
        <f>IF(P$3="","",IF(COUNTIFS(BD!$A$3:$A$5001,P$3,BD!$B$3:$B$5001,$A$24,BD!$U$3:$U$5001,"&lt;&gt;")=0,"",SUMIFS(BD!$U$3:$U$5001,BD!$A$3:$A$5001,P$3,BD!$B$3:$B$5001,$A$24)))</f>
        <v/>
      </c>
      <c r="Q30" s="168" t="str">
        <f>IF(Q$3="","",IF(COUNTIFS(BD!$A$3:$A$5001,Q$3,BD!$B$3:$B$5001,$A$24,BD!$U$3:$U$5001,"&lt;&gt;")=0,"",SUMIFS(BD!$U$3:$U$5001,BD!$A$3:$A$5001,Q$3,BD!$B$3:$B$5001,$A$24)))</f>
        <v/>
      </c>
      <c r="R30" s="168" t="str">
        <f>IF(R$3="","",IF(COUNTIFS(BD!$A$3:$A$5001,R$3,BD!$B$3:$B$5001,$A$24,BD!$U$3:$U$5001,"&lt;&gt;")=0,"",SUMIFS(BD!$U$3:$U$5001,BD!$A$3:$A$5001,R$3,BD!$B$3:$B$5001,$A$24)))</f>
        <v/>
      </c>
      <c r="S30" s="168" t="str">
        <f>IF(S$3="","",IF(COUNTIFS(BD!$A$3:$A$5001,S$3,BD!$B$3:$B$5001,$A$24,BD!$U$3:$U$5001,"&lt;&gt;")=0,"",SUMIFS(BD!$U$3:$U$5001,BD!$A$3:$A$5001,S$3,BD!$B$3:$B$5001,$A$24)))</f>
        <v/>
      </c>
      <c r="T30" s="168" t="str">
        <f>IF(T$3="","",IF(COUNTIFS(BD!$A$3:$A$5001,T$3,BD!$B$3:$B$5001,$A$24,BD!$U$3:$U$5001,"&lt;&gt;")=0,"",SUMIFS(BD!$U$3:$U$5001,BD!$A$3:$A$5001,T$3,BD!$B$3:$B$5001,$A$24)))</f>
        <v/>
      </c>
      <c r="U30" s="168" t="str">
        <f>IF(U$3="","",IF(COUNTIFS(BD!$A$3:$A$5001,U$3,BD!$B$3:$B$5001,$A$24,BD!$U$3:$U$5001,"&lt;&gt;")=0,"",SUMIFS(BD!$U$3:$U$5001,BD!$A$3:$A$5001,U$3,BD!$B$3:$B$5001,$A$24)))</f>
        <v/>
      </c>
      <c r="V30" s="168" t="str">
        <f>IF(V$3="","",IF(COUNTIFS(BD!$A$3:$A$5001,V$3,BD!$B$3:$B$5001,$A$24,BD!$U$3:$U$5001,"&lt;&gt;")=0,"",SUMIFS(BD!$U$3:$U$5001,BD!$A$3:$A$5001,V$3,BD!$B$3:$B$5001,$A$24)))</f>
        <v/>
      </c>
      <c r="W30" s="168" t="str">
        <f>IF(W$3="","",IF(COUNTIFS(BD!$A$3:$A$5001,W$3,BD!$B$3:$B$5001,$A$24,BD!$U$3:$U$5001,"&lt;&gt;")=0,"",SUMIFS(BD!$U$3:$U$5001,BD!$A$3:$A$5001,W$3,BD!$B$3:$B$5001,$A$24)))</f>
        <v/>
      </c>
      <c r="X30" s="168" t="str">
        <f>IF(X$3="","",IF(COUNTIFS(BD!$A$3:$A$5001,X$3,BD!$B$3:$B$5001,$A$24,BD!$U$3:$U$5001,"&lt;&gt;")=0,"",SUMIFS(BD!$U$3:$U$5001,BD!$A$3:$A$5001,X$3,BD!$B$3:$B$5001,$A$24)))</f>
        <v/>
      </c>
      <c r="Y30" s="168" t="str">
        <f>IF(Y$3="","",IF(COUNTIFS(BD!$A$3:$A$5001,Y$3,BD!$B$3:$B$5001,$A$24,BD!$U$3:$U$5001,"&lt;&gt;")=0,"",SUMIFS(BD!$U$3:$U$5001,BD!$A$3:$A$5001,Y$3,BD!$B$3:$B$5001,$A$24)))</f>
        <v/>
      </c>
      <c r="Z30" s="168" t="str">
        <f>IF(Z$3="","",IF(COUNTIFS(BD!$A$3:$A$5001,Z$3,BD!$B$3:$B$5001,$A$24,BD!$U$3:$U$5001,"&lt;&gt;")=0,"",SUMIFS(BD!$U$3:$U$5001,BD!$A$3:$A$5001,Z$3,BD!$B$3:$B$5001,$A$24)))</f>
        <v/>
      </c>
      <c r="AA30" s="168" t="str">
        <f>IF(AA$3="","",IF(COUNTIFS(BD!$A$3:$A$5001,AA$3,BD!$B$3:$B$5001,$A$24,BD!$U$3:$U$5001,"&lt;&gt;")=0,"",SUMIFS(BD!$U$3:$U$5001,BD!$A$3:$A$5001,AA$3,BD!$B$3:$B$5001,$A$24)))</f>
        <v/>
      </c>
      <c r="AB30" s="168" t="str">
        <f>IF(AB$3="","",IF(COUNTIFS(BD!$A$3:$A$5001,AB$3,BD!$B$3:$B$5001,$A$24,BD!$U$3:$U$5001,"&lt;&gt;")=0,"",SUMIFS(BD!$U$3:$U$5001,BD!$A$3:$A$5001,AB$3,BD!$B$3:$B$5001,$A$24)))</f>
        <v/>
      </c>
      <c r="AC30" s="168" t="str">
        <f>IF(AC$3="","",IF(COUNTIFS(BD!$A$3:$A$5001,AC$3,BD!$B$3:$B$5001,$A$24,BD!$U$3:$U$5001,"&lt;&gt;")=0,"",SUMIFS(BD!$U$3:$U$5001,BD!$A$3:$A$5001,AC$3,BD!$B$3:$B$5001,$A$24)))</f>
        <v/>
      </c>
      <c r="AD30" s="168" t="str">
        <f>IF(AD$3="","",IF(COUNTIFS(BD!$A$3:$A$5001,AD$3,BD!$B$3:$B$5001,$A$24,BD!$U$3:$U$5001,"&lt;&gt;")=0,"",SUMIFS(BD!$U$3:$U$5001,BD!$A$3:$A$5001,AD$3,BD!$B$3:$B$5001,$A$24)))</f>
        <v/>
      </c>
      <c r="AE30" s="168" t="str">
        <f>IF(AE$3="","",IF(COUNTIFS(BD!$A$3:$A$5001,AE$3,BD!$B$3:$B$5001,$A$24,BD!$U$3:$U$5001,"&lt;&gt;")=0,"",SUMIFS(BD!$U$3:$U$5001,BD!$A$3:$A$5001,AE$3,BD!$B$3:$B$5001,$A$24)))</f>
        <v/>
      </c>
      <c r="AF30" s="168" t="str">
        <f>IF(AF$3="","",IF(COUNTIFS(BD!$A$3:$A$5001,AF$3,BD!$B$3:$B$5001,$A$24,BD!$U$3:$U$5001,"&lt;&gt;")=0,"",SUMIFS(BD!$U$3:$U$5001,BD!$A$3:$A$5001,AF$3,BD!$B$3:$B$5001,$A$24)))</f>
        <v/>
      </c>
      <c r="AG30" s="168" t="str">
        <f>IF(AG$3="","",IF(COUNTIFS(BD!$A$3:$A$5001,AG$3,BD!$B$3:$B$5001,$A$24,BD!$U$3:$U$5001,"&lt;&gt;")=0,"",SUMIFS(BD!$U$3:$U$5001,BD!$A$3:$A$5001,AG$3,BD!$B$3:$B$5001,$A$24)))</f>
        <v/>
      </c>
      <c r="AH30" s="168" t="str">
        <f>IF(AH$3="","",IF(COUNTIFS(BD!$A$3:$A$5001,AH$3,BD!$B$3:$B$5001,$A$24,BD!$U$3:$U$5001,"&lt;&gt;")=0,"",SUMIFS(BD!$U$3:$U$5001,BD!$A$3:$A$5001,AH$3,BD!$B$3:$B$5001,$A$24)))</f>
        <v/>
      </c>
      <c r="AI30" s="168" t="str">
        <f>IF(AI$3="","",IF(COUNTIFS(BD!$A$3:$A$5001,AI$3,BD!$B$3:$B$5001,$A$24,BD!$U$3:$U$5001,"&lt;&gt;")=0,"",SUMIFS(BD!$U$3:$U$5001,BD!$A$3:$A$5001,AI$3,BD!$B$3:$B$5001,$A$24)))</f>
        <v/>
      </c>
      <c r="AJ30" s="169" t="str">
        <f>IF(AJ$3="","",IF(COUNTIFS(BD!$A$3:$A$5001,AJ$3,BD!$B$3:$B$5001,$A$24,BD!$U$3:$U$5001,"&lt;&gt;")=0,"",SUMIFS(BD!$U$3:$U$5001,BD!$A$3:$A$5001,AJ$3,BD!$B$3:$B$5001,$A$24)))</f>
        <v/>
      </c>
      <c r="AK30" s="170" t="str">
        <f>IF(COUNT(F30:AJ30)=0,"",SUM(F30:AJ30))</f>
        <v/>
      </c>
    </row>
    <row r="31" ht="15.75" customHeight="1">
      <c r="A31" s="227"/>
      <c r="B31" s="220"/>
      <c r="C31" s="171" t="inlineStr">
        <is>
          <t xml:space="preserve">No show</t>
        </is>
      </c>
      <c r="D31" s="172" t="str">
        <f>IFERROR(1/(1/INDEX(BD!$AK$42:$AT$42,MATCH($A$24,BD!$AK$22:$AT$22,0))),"")</f>
        <v/>
      </c>
      <c r="E31" s="173"/>
      <c r="F31" s="174" t="str">
        <f>IF(F$3="","",IF(COUNTIFS(BD!$A$3:$A$5001,F$3,BD!$B$3:$B$5001,$A$24,BD!$V$3:$V$5001,"&lt;&gt;")=0,"",SUMIFS(BD!$V$3:$V$5001,BD!$A$3:$A$5001,F$3,BD!$B$3:$B$5001,$A$24)))</f>
        <v/>
      </c>
      <c r="G31" s="175" t="str">
        <f>IF(G$3="","",IF(COUNTIFS(BD!$A$3:$A$5001,G$3,BD!$B$3:$B$5001,$A$24,BD!$V$3:$V$5001,"&lt;&gt;")=0,"",SUMIFS(BD!$V$3:$V$5001,BD!$A$3:$A$5001,G$3,BD!$B$3:$B$5001,$A$24)))</f>
        <v/>
      </c>
      <c r="H31" s="175" t="str">
        <f>IF(H$3="","",IF(COUNTIFS(BD!$A$3:$A$5001,H$3,BD!$B$3:$B$5001,$A$24,BD!$V$3:$V$5001,"&lt;&gt;")=0,"",SUMIFS(BD!$V$3:$V$5001,BD!$A$3:$A$5001,H$3,BD!$B$3:$B$5001,$A$24)))</f>
        <v/>
      </c>
      <c r="I31" s="175" t="str">
        <f>IF(I$3="","",IF(COUNTIFS(BD!$A$3:$A$5001,I$3,BD!$B$3:$B$5001,$A$24,BD!$V$3:$V$5001,"&lt;&gt;")=0,"",SUMIFS(BD!$V$3:$V$5001,BD!$A$3:$A$5001,I$3,BD!$B$3:$B$5001,$A$24)))</f>
        <v/>
      </c>
      <c r="J31" s="175" t="str">
        <f>IF(J$3="","",IF(COUNTIFS(BD!$A$3:$A$5001,J$3,BD!$B$3:$B$5001,$A$24,BD!$V$3:$V$5001,"&lt;&gt;")=0,"",SUMIFS(BD!$V$3:$V$5001,BD!$A$3:$A$5001,J$3,BD!$B$3:$B$5001,$A$24)))</f>
        <v/>
      </c>
      <c r="K31" s="175" t="str">
        <f>IF(K$3="","",IF(COUNTIFS(BD!$A$3:$A$5001,K$3,BD!$B$3:$B$5001,$A$24,BD!$V$3:$V$5001,"&lt;&gt;")=0,"",SUMIFS(BD!$V$3:$V$5001,BD!$A$3:$A$5001,K$3,BD!$B$3:$B$5001,$A$24)))</f>
        <v/>
      </c>
      <c r="L31" s="175" t="str">
        <f>IF(L$3="","",IF(COUNTIFS(BD!$A$3:$A$5001,L$3,BD!$B$3:$B$5001,$A$24,BD!$V$3:$V$5001,"&lt;&gt;")=0,"",SUMIFS(BD!$V$3:$V$5001,BD!$A$3:$A$5001,L$3,BD!$B$3:$B$5001,$A$24)))</f>
        <v/>
      </c>
      <c r="M31" s="175" t="str">
        <f>IF(M$3="","",IF(COUNTIFS(BD!$A$3:$A$5001,M$3,BD!$B$3:$B$5001,$A$24,BD!$V$3:$V$5001,"&lt;&gt;")=0,"",SUMIFS(BD!$V$3:$V$5001,BD!$A$3:$A$5001,M$3,BD!$B$3:$B$5001,$A$24)))</f>
        <v/>
      </c>
      <c r="N31" s="175" t="str">
        <f>IF(N$3="","",IF(COUNTIFS(BD!$A$3:$A$5001,N$3,BD!$B$3:$B$5001,$A$24,BD!$V$3:$V$5001,"&lt;&gt;")=0,"",SUMIFS(BD!$V$3:$V$5001,BD!$A$3:$A$5001,N$3,BD!$B$3:$B$5001,$A$24)))</f>
        <v/>
      </c>
      <c r="O31" s="175" t="str">
        <f>IF(O$3="","",IF(COUNTIFS(BD!$A$3:$A$5001,O$3,BD!$B$3:$B$5001,$A$24,BD!$V$3:$V$5001,"&lt;&gt;")=0,"",SUMIFS(BD!$V$3:$V$5001,BD!$A$3:$A$5001,O$3,BD!$B$3:$B$5001,$A$24)))</f>
        <v/>
      </c>
      <c r="P31" s="175" t="str">
        <f>IF(P$3="","",IF(COUNTIFS(BD!$A$3:$A$5001,P$3,BD!$B$3:$B$5001,$A$24,BD!$V$3:$V$5001,"&lt;&gt;")=0,"",SUMIFS(BD!$V$3:$V$5001,BD!$A$3:$A$5001,P$3,BD!$B$3:$B$5001,$A$24)))</f>
        <v/>
      </c>
      <c r="Q31" s="175" t="str">
        <f>IF(Q$3="","",IF(COUNTIFS(BD!$A$3:$A$5001,Q$3,BD!$B$3:$B$5001,$A$24,BD!$V$3:$V$5001,"&lt;&gt;")=0,"",SUMIFS(BD!$V$3:$V$5001,BD!$A$3:$A$5001,Q$3,BD!$B$3:$B$5001,$A$24)))</f>
        <v/>
      </c>
      <c r="R31" s="175" t="str">
        <f>IF(R$3="","",IF(COUNTIFS(BD!$A$3:$A$5001,R$3,BD!$B$3:$B$5001,$A$24,BD!$V$3:$V$5001,"&lt;&gt;")=0,"",SUMIFS(BD!$V$3:$V$5001,BD!$A$3:$A$5001,R$3,BD!$B$3:$B$5001,$A$24)))</f>
        <v/>
      </c>
      <c r="S31" s="175" t="str">
        <f>IF(S$3="","",IF(COUNTIFS(BD!$A$3:$A$5001,S$3,BD!$B$3:$B$5001,$A$24,BD!$V$3:$V$5001,"&lt;&gt;")=0,"",SUMIFS(BD!$V$3:$V$5001,BD!$A$3:$A$5001,S$3,BD!$B$3:$B$5001,$A$24)))</f>
        <v/>
      </c>
      <c r="T31" s="175" t="str">
        <f>IF(T$3="","",IF(COUNTIFS(BD!$A$3:$A$5001,T$3,BD!$B$3:$B$5001,$A$24,BD!$V$3:$V$5001,"&lt;&gt;")=0,"",SUMIFS(BD!$V$3:$V$5001,BD!$A$3:$A$5001,T$3,BD!$B$3:$B$5001,$A$24)))</f>
        <v/>
      </c>
      <c r="U31" s="175" t="str">
        <f>IF(U$3="","",IF(COUNTIFS(BD!$A$3:$A$5001,U$3,BD!$B$3:$B$5001,$A$24,BD!$V$3:$V$5001,"&lt;&gt;")=0,"",SUMIFS(BD!$V$3:$V$5001,BD!$A$3:$A$5001,U$3,BD!$B$3:$B$5001,$A$24)))</f>
        <v/>
      </c>
      <c r="V31" s="175" t="str">
        <f>IF(V$3="","",IF(COUNTIFS(BD!$A$3:$A$5001,V$3,BD!$B$3:$B$5001,$A$24,BD!$V$3:$V$5001,"&lt;&gt;")=0,"",SUMIFS(BD!$V$3:$V$5001,BD!$A$3:$A$5001,V$3,BD!$B$3:$B$5001,$A$24)))</f>
        <v/>
      </c>
      <c r="W31" s="175" t="str">
        <f>IF(W$3="","",IF(COUNTIFS(BD!$A$3:$A$5001,W$3,BD!$B$3:$B$5001,$A$24,BD!$V$3:$V$5001,"&lt;&gt;")=0,"",SUMIFS(BD!$V$3:$V$5001,BD!$A$3:$A$5001,W$3,BD!$B$3:$B$5001,$A$24)))</f>
        <v/>
      </c>
      <c r="X31" s="175" t="str">
        <f>IF(X$3="","",IF(COUNTIFS(BD!$A$3:$A$5001,X$3,BD!$B$3:$B$5001,$A$24,BD!$V$3:$V$5001,"&lt;&gt;")=0,"",SUMIFS(BD!$V$3:$V$5001,BD!$A$3:$A$5001,X$3,BD!$B$3:$B$5001,$A$24)))</f>
        <v/>
      </c>
      <c r="Y31" s="175" t="str">
        <f>IF(Y$3="","",IF(COUNTIFS(BD!$A$3:$A$5001,Y$3,BD!$B$3:$B$5001,$A$24,BD!$V$3:$V$5001,"&lt;&gt;")=0,"",SUMIFS(BD!$V$3:$V$5001,BD!$A$3:$A$5001,Y$3,BD!$B$3:$B$5001,$A$24)))</f>
        <v/>
      </c>
      <c r="Z31" s="175" t="str">
        <f>IF(Z$3="","",IF(COUNTIFS(BD!$A$3:$A$5001,Z$3,BD!$B$3:$B$5001,$A$24,BD!$V$3:$V$5001,"&lt;&gt;")=0,"",SUMIFS(BD!$V$3:$V$5001,BD!$A$3:$A$5001,Z$3,BD!$B$3:$B$5001,$A$24)))</f>
        <v/>
      </c>
      <c r="AA31" s="175" t="str">
        <f>IF(AA$3="","",IF(COUNTIFS(BD!$A$3:$A$5001,AA$3,BD!$B$3:$B$5001,$A$24,BD!$V$3:$V$5001,"&lt;&gt;")=0,"",SUMIFS(BD!$V$3:$V$5001,BD!$A$3:$A$5001,AA$3,BD!$B$3:$B$5001,$A$24)))</f>
        <v/>
      </c>
      <c r="AB31" s="175" t="str">
        <f>IF(AB$3="","",IF(COUNTIFS(BD!$A$3:$A$5001,AB$3,BD!$B$3:$B$5001,$A$24,BD!$V$3:$V$5001,"&lt;&gt;")=0,"",SUMIFS(BD!$V$3:$V$5001,BD!$A$3:$A$5001,AB$3,BD!$B$3:$B$5001,$A$24)))</f>
        <v/>
      </c>
      <c r="AC31" s="175" t="str">
        <f>IF(AC$3="","",IF(COUNTIFS(BD!$A$3:$A$5001,AC$3,BD!$B$3:$B$5001,$A$24,BD!$V$3:$V$5001,"&lt;&gt;")=0,"",SUMIFS(BD!$V$3:$V$5001,BD!$A$3:$A$5001,AC$3,BD!$B$3:$B$5001,$A$24)))</f>
        <v/>
      </c>
      <c r="AD31" s="175" t="str">
        <f>IF(AD$3="","",IF(COUNTIFS(BD!$A$3:$A$5001,AD$3,BD!$B$3:$B$5001,$A$24,BD!$V$3:$V$5001,"&lt;&gt;")=0,"",SUMIFS(BD!$V$3:$V$5001,BD!$A$3:$A$5001,AD$3,BD!$B$3:$B$5001,$A$24)))</f>
        <v/>
      </c>
      <c r="AE31" s="175" t="str">
        <f>IF(AE$3="","",IF(COUNTIFS(BD!$A$3:$A$5001,AE$3,BD!$B$3:$B$5001,$A$24,BD!$V$3:$V$5001,"&lt;&gt;")=0,"",SUMIFS(BD!$V$3:$V$5001,BD!$A$3:$A$5001,AE$3,BD!$B$3:$B$5001,$A$24)))</f>
        <v/>
      </c>
      <c r="AF31" s="175" t="str">
        <f>IF(AF$3="","",IF(COUNTIFS(BD!$A$3:$A$5001,AF$3,BD!$B$3:$B$5001,$A$24,BD!$V$3:$V$5001,"&lt;&gt;")=0,"",SUMIFS(BD!$V$3:$V$5001,BD!$A$3:$A$5001,AF$3,BD!$B$3:$B$5001,$A$24)))</f>
        <v/>
      </c>
      <c r="AG31" s="175" t="str">
        <f>IF(AG$3="","",IF(COUNTIFS(BD!$A$3:$A$5001,AG$3,BD!$B$3:$B$5001,$A$24,BD!$V$3:$V$5001,"&lt;&gt;")=0,"",SUMIFS(BD!$V$3:$V$5001,BD!$A$3:$A$5001,AG$3,BD!$B$3:$B$5001,$A$24)))</f>
        <v/>
      </c>
      <c r="AH31" s="175" t="str">
        <f>IF(AH$3="","",IF(COUNTIFS(BD!$A$3:$A$5001,AH$3,BD!$B$3:$B$5001,$A$24,BD!$V$3:$V$5001,"&lt;&gt;")=0,"",SUMIFS(BD!$V$3:$V$5001,BD!$A$3:$A$5001,AH$3,BD!$B$3:$B$5001,$A$24)))</f>
        <v/>
      </c>
      <c r="AI31" s="175" t="str">
        <f>IF(AI$3="","",IF(COUNTIFS(BD!$A$3:$A$5001,AI$3,BD!$B$3:$B$5001,$A$24,BD!$V$3:$V$5001,"&lt;&gt;")=0,"",SUMIFS(BD!$V$3:$V$5001,BD!$A$3:$A$5001,AI$3,BD!$B$3:$B$5001,$A$24)))</f>
        <v/>
      </c>
      <c r="AJ31" s="176" t="str">
        <f>IF(AJ$3="","",IF(COUNTIFS(BD!$A$3:$A$5001,AJ$3,BD!$B$3:$B$5001,$A$24,BD!$V$3:$V$5001,"&lt;&gt;")=0,"",SUMIFS(BD!$V$3:$V$5001,BD!$A$3:$A$5001,AJ$3,BD!$B$3:$B$5001,$A$24)))</f>
        <v/>
      </c>
      <c r="AK31" s="177" t="str">
        <f>IF(COUNT(F31:AJ31)=0,"",SUM(F31:AJ31))</f>
        <v/>
      </c>
    </row>
    <row r="32" ht="15.75" customHeight="1">
      <c r="A32" s="227"/>
      <c r="B32" s="221"/>
      <c r="C32" s="178" t="inlineStr">
        <is>
          <t xml:space="preserve">Backlog</t>
        </is>
      </c>
      <c r="D32" s="179" t="str">
        <f>IFERROR(1/(1/INDEX(BD!$AK$43:$AT$43,MATCH($A$24,BD!$AK$22:$AT$22,0))),"")</f>
        <v/>
      </c>
      <c r="E32" s="180"/>
      <c r="F32" s="181" t="str">
        <f>IF(F$3="","",IF(COUNTIFS(BD!$A$3:$A$5001,F$3,BD!$B$3:$B$5001,$A$24,BD!$W$3:$W$5001,"&lt;&gt;")=0,"",SUMIFS(BD!$W$3:$W$5001,BD!$A$3:$A$5001,F$3,BD!$B$3:$B$5001,$A$24)))</f>
        <v/>
      </c>
      <c r="G32" s="182" t="str">
        <f>IF(G$3="","",IF(COUNTIFS(BD!$A$3:$A$5001,G$3,BD!$B$3:$B$5001,$A$24,BD!$W$3:$W$5001,"&lt;&gt;")=0,"",SUMIFS(BD!$W$3:$W$5001,BD!$A$3:$A$5001,G$3,BD!$B$3:$B$5001,$A$24)))</f>
        <v/>
      </c>
      <c r="H32" s="182" t="str">
        <f>IF(H$3="","",IF(COUNTIFS(BD!$A$3:$A$5001,H$3,BD!$B$3:$B$5001,$A$24,BD!$W$3:$W$5001,"&lt;&gt;")=0,"",SUMIFS(BD!$W$3:$W$5001,BD!$A$3:$A$5001,H$3,BD!$B$3:$B$5001,$A$24)))</f>
        <v/>
      </c>
      <c r="I32" s="182" t="str">
        <f>IF(I$3="","",IF(COUNTIFS(BD!$A$3:$A$5001,I$3,BD!$B$3:$B$5001,$A$24,BD!$W$3:$W$5001,"&lt;&gt;")=0,"",SUMIFS(BD!$W$3:$W$5001,BD!$A$3:$A$5001,I$3,BD!$B$3:$B$5001,$A$24)))</f>
        <v/>
      </c>
      <c r="J32" s="182" t="str">
        <f>IF(J$3="","",IF(COUNTIFS(BD!$A$3:$A$5001,J$3,BD!$B$3:$B$5001,$A$24,BD!$W$3:$W$5001,"&lt;&gt;")=0,"",SUMIFS(BD!$W$3:$W$5001,BD!$A$3:$A$5001,J$3,BD!$B$3:$B$5001,$A$24)))</f>
        <v/>
      </c>
      <c r="K32" s="182" t="str">
        <f>IF(K$3="","",IF(COUNTIFS(BD!$A$3:$A$5001,K$3,BD!$B$3:$B$5001,$A$24,BD!$W$3:$W$5001,"&lt;&gt;")=0,"",SUMIFS(BD!$W$3:$W$5001,BD!$A$3:$A$5001,K$3,BD!$B$3:$B$5001,$A$24)))</f>
        <v/>
      </c>
      <c r="L32" s="182" t="str">
        <f>IF(L$3="","",IF(COUNTIFS(BD!$A$3:$A$5001,L$3,BD!$B$3:$B$5001,$A$24,BD!$W$3:$W$5001,"&lt;&gt;")=0,"",SUMIFS(BD!$W$3:$W$5001,BD!$A$3:$A$5001,L$3,BD!$B$3:$B$5001,$A$24)))</f>
        <v/>
      </c>
      <c r="M32" s="182" t="str">
        <f>IF(M$3="","",IF(COUNTIFS(BD!$A$3:$A$5001,M$3,BD!$B$3:$B$5001,$A$24,BD!$W$3:$W$5001,"&lt;&gt;")=0,"",SUMIFS(BD!$W$3:$W$5001,BD!$A$3:$A$5001,M$3,BD!$B$3:$B$5001,$A$24)))</f>
        <v/>
      </c>
      <c r="N32" s="182" t="str">
        <f>IF(N$3="","",IF(COUNTIFS(BD!$A$3:$A$5001,N$3,BD!$B$3:$B$5001,$A$24,BD!$W$3:$W$5001,"&lt;&gt;")=0,"",SUMIFS(BD!$W$3:$W$5001,BD!$A$3:$A$5001,N$3,BD!$B$3:$B$5001,$A$24)))</f>
        <v/>
      </c>
      <c r="O32" s="182" t="str">
        <f>IF(O$3="","",IF(COUNTIFS(BD!$A$3:$A$5001,O$3,BD!$B$3:$B$5001,$A$24,BD!$W$3:$W$5001,"&lt;&gt;")=0,"",SUMIFS(BD!$W$3:$W$5001,BD!$A$3:$A$5001,O$3,BD!$B$3:$B$5001,$A$24)))</f>
        <v/>
      </c>
      <c r="P32" s="182" t="str">
        <f>IF(P$3="","",IF(COUNTIFS(BD!$A$3:$A$5001,P$3,BD!$B$3:$B$5001,$A$24,BD!$W$3:$W$5001,"&lt;&gt;")=0,"",SUMIFS(BD!$W$3:$W$5001,BD!$A$3:$A$5001,P$3,BD!$B$3:$B$5001,$A$24)))</f>
        <v/>
      </c>
      <c r="Q32" s="182" t="str">
        <f>IF(Q$3="","",IF(COUNTIFS(BD!$A$3:$A$5001,Q$3,BD!$B$3:$B$5001,$A$24,BD!$W$3:$W$5001,"&lt;&gt;")=0,"",SUMIFS(BD!$W$3:$W$5001,BD!$A$3:$A$5001,Q$3,BD!$B$3:$B$5001,$A$24)))</f>
        <v/>
      </c>
      <c r="R32" s="182" t="str">
        <f>IF(R$3="","",IF(COUNTIFS(BD!$A$3:$A$5001,R$3,BD!$B$3:$B$5001,$A$24,BD!$W$3:$W$5001,"&lt;&gt;")=0,"",SUMIFS(BD!$W$3:$W$5001,BD!$A$3:$A$5001,R$3,BD!$B$3:$B$5001,$A$24)))</f>
        <v/>
      </c>
      <c r="S32" s="182" t="str">
        <f>IF(S$3="","",IF(COUNTIFS(BD!$A$3:$A$5001,S$3,BD!$B$3:$B$5001,$A$24,BD!$W$3:$W$5001,"&lt;&gt;")=0,"",SUMIFS(BD!$W$3:$W$5001,BD!$A$3:$A$5001,S$3,BD!$B$3:$B$5001,$A$24)))</f>
        <v/>
      </c>
      <c r="T32" s="182" t="str">
        <f>IF(T$3="","",IF(COUNTIFS(BD!$A$3:$A$5001,T$3,BD!$B$3:$B$5001,$A$24,BD!$W$3:$W$5001,"&lt;&gt;")=0,"",SUMIFS(BD!$W$3:$W$5001,BD!$A$3:$A$5001,T$3,BD!$B$3:$B$5001,$A$24)))</f>
        <v/>
      </c>
      <c r="U32" s="182" t="str">
        <f>IF(U$3="","",IF(COUNTIFS(BD!$A$3:$A$5001,U$3,BD!$B$3:$B$5001,$A$24,BD!$W$3:$W$5001,"&lt;&gt;")=0,"",SUMIFS(BD!$W$3:$W$5001,BD!$A$3:$A$5001,U$3,BD!$B$3:$B$5001,$A$24)))</f>
        <v/>
      </c>
      <c r="V32" s="182" t="str">
        <f>IF(V$3="","",IF(COUNTIFS(BD!$A$3:$A$5001,V$3,BD!$B$3:$B$5001,$A$24,BD!$W$3:$W$5001,"&lt;&gt;")=0,"",SUMIFS(BD!$W$3:$W$5001,BD!$A$3:$A$5001,V$3,BD!$B$3:$B$5001,$A$24)))</f>
        <v/>
      </c>
      <c r="W32" s="182" t="str">
        <f>IF(W$3="","",IF(COUNTIFS(BD!$A$3:$A$5001,W$3,BD!$B$3:$B$5001,$A$24,BD!$W$3:$W$5001,"&lt;&gt;")=0,"",SUMIFS(BD!$W$3:$W$5001,BD!$A$3:$A$5001,W$3,BD!$B$3:$B$5001,$A$24)))</f>
        <v/>
      </c>
      <c r="X32" s="182" t="str">
        <f>IF(X$3="","",IF(COUNTIFS(BD!$A$3:$A$5001,X$3,BD!$B$3:$B$5001,$A$24,BD!$W$3:$W$5001,"&lt;&gt;")=0,"",SUMIFS(BD!$W$3:$W$5001,BD!$A$3:$A$5001,X$3,BD!$B$3:$B$5001,$A$24)))</f>
        <v/>
      </c>
      <c r="Y32" s="182" t="str">
        <f>IF(Y$3="","",IF(COUNTIFS(BD!$A$3:$A$5001,Y$3,BD!$B$3:$B$5001,$A$24,BD!$W$3:$W$5001,"&lt;&gt;")=0,"",SUMIFS(BD!$W$3:$W$5001,BD!$A$3:$A$5001,Y$3,BD!$B$3:$B$5001,$A$24)))</f>
        <v/>
      </c>
      <c r="Z32" s="182" t="str">
        <f>IF(Z$3="","",IF(COUNTIFS(BD!$A$3:$A$5001,Z$3,BD!$B$3:$B$5001,$A$24,BD!$W$3:$W$5001,"&lt;&gt;")=0,"",SUMIFS(BD!$W$3:$W$5001,BD!$A$3:$A$5001,Z$3,BD!$B$3:$B$5001,$A$24)))</f>
        <v/>
      </c>
      <c r="AA32" s="182" t="str">
        <f>IF(AA$3="","",IF(COUNTIFS(BD!$A$3:$A$5001,AA$3,BD!$B$3:$B$5001,$A$24,BD!$W$3:$W$5001,"&lt;&gt;")=0,"",SUMIFS(BD!$W$3:$W$5001,BD!$A$3:$A$5001,AA$3,BD!$B$3:$B$5001,$A$24)))</f>
        <v/>
      </c>
      <c r="AB32" s="182" t="str">
        <f>IF(AB$3="","",IF(COUNTIFS(BD!$A$3:$A$5001,AB$3,BD!$B$3:$B$5001,$A$24,BD!$W$3:$W$5001,"&lt;&gt;")=0,"",SUMIFS(BD!$W$3:$W$5001,BD!$A$3:$A$5001,AB$3,BD!$B$3:$B$5001,$A$24)))</f>
        <v/>
      </c>
      <c r="AC32" s="182" t="str">
        <f>IF(AC$3="","",IF(COUNTIFS(BD!$A$3:$A$5001,AC$3,BD!$B$3:$B$5001,$A$24,BD!$W$3:$W$5001,"&lt;&gt;")=0,"",SUMIFS(BD!$W$3:$W$5001,BD!$A$3:$A$5001,AC$3,BD!$B$3:$B$5001,$A$24)))</f>
        <v/>
      </c>
      <c r="AD32" s="182" t="str">
        <f>IF(AD$3="","",IF(COUNTIFS(BD!$A$3:$A$5001,AD$3,BD!$B$3:$B$5001,$A$24,BD!$W$3:$W$5001,"&lt;&gt;")=0,"",SUMIFS(BD!$W$3:$W$5001,BD!$A$3:$A$5001,AD$3,BD!$B$3:$B$5001,$A$24)))</f>
        <v/>
      </c>
      <c r="AE32" s="182" t="str">
        <f>IF(AE$3="","",IF(COUNTIFS(BD!$A$3:$A$5001,AE$3,BD!$B$3:$B$5001,$A$24,BD!$W$3:$W$5001,"&lt;&gt;")=0,"",SUMIFS(BD!$W$3:$W$5001,BD!$A$3:$A$5001,AE$3,BD!$B$3:$B$5001,$A$24)))</f>
        <v/>
      </c>
      <c r="AF32" s="182" t="str">
        <f>IF(AF$3="","",IF(COUNTIFS(BD!$A$3:$A$5001,AF$3,BD!$B$3:$B$5001,$A$24,BD!$W$3:$W$5001,"&lt;&gt;")=0,"",SUMIFS(BD!$W$3:$W$5001,BD!$A$3:$A$5001,AF$3,BD!$B$3:$B$5001,$A$24)))</f>
        <v/>
      </c>
      <c r="AG32" s="182" t="str">
        <f>IF(AG$3="","",IF(COUNTIFS(BD!$A$3:$A$5001,AG$3,BD!$B$3:$B$5001,$A$24,BD!$W$3:$W$5001,"&lt;&gt;")=0,"",SUMIFS(BD!$W$3:$W$5001,BD!$A$3:$A$5001,AG$3,BD!$B$3:$B$5001,$A$24)))</f>
        <v/>
      </c>
      <c r="AH32" s="182" t="str">
        <f>IF(AH$3="","",IF(COUNTIFS(BD!$A$3:$A$5001,AH$3,BD!$B$3:$B$5001,$A$24,BD!$W$3:$W$5001,"&lt;&gt;")=0,"",SUMIFS(BD!$W$3:$W$5001,BD!$A$3:$A$5001,AH$3,BD!$B$3:$B$5001,$A$24)))</f>
        <v/>
      </c>
      <c r="AI32" s="182" t="str">
        <f>IF(AI$3="","",IF(COUNTIFS(BD!$A$3:$A$5001,AI$3,BD!$B$3:$B$5001,$A$24,BD!$W$3:$W$5001,"&lt;&gt;")=0,"",SUMIFS(BD!$W$3:$W$5001,BD!$A$3:$A$5001,AI$3,BD!$B$3:$B$5001,$A$24)))</f>
        <v/>
      </c>
      <c r="AJ32" s="183" t="str">
        <f>IF(AJ$3="","",IF(COUNTIFS(BD!$A$3:$A$5001,AJ$3,BD!$B$3:$B$5001,$A$24,BD!$W$3:$W$5001,"&lt;&gt;")=0,"",SUMIFS(BD!$W$3:$W$5001,BD!$A$3:$A$5001,AJ$3,BD!$B$3:$B$5001,$A$24)))</f>
        <v/>
      </c>
      <c r="AK32" s="179" t="str">
        <f>IFERROR(LOOKUP(9.99E+307,F32:AJ32),"")</f>
        <v/>
      </c>
    </row>
    <row r="33" ht="15.75" customHeight="1">
      <c r="A33" s="227"/>
      <c r="B33" s="215" t="inlineStr">
        <is>
          <t xml:space="preserve">OCUPAÇÃO (P.P)</t>
        </is>
      </c>
      <c r="C33" s="138" t="inlineStr">
        <is>
          <t xml:space="preserve">Posições Disponíveis</t>
        </is>
      </c>
      <c r="D33" s="139" t="str">
        <f>IFERROR(1/(1/INDEX(BD!$AK$44:$AT$44,MATCH($A$24,BD!$AK$22:$AT$22,0))),"")</f>
        <v/>
      </c>
      <c r="E33" s="140"/>
      <c r="F33" s="141" t="str">
        <f>IF(F$3="","",IF(COUNTIFS(BD!$A$3:$A$5001,F$3,BD!$B$3:$B$5001,$A$24,BD!$X$3:$X$5001,"&lt;&gt;")=0,"",SUMIFS(BD!$X$3:$X$5001,BD!$A$3:$A$5001,F$3,BD!$B$3:$B$5001,$A$24)))</f>
        <v/>
      </c>
      <c r="G33" s="142" t="str">
        <f>IF(G$3="","",IF(COUNTIFS(BD!$A$3:$A$5001,G$3,BD!$B$3:$B$5001,$A$24,BD!$X$3:$X$5001,"&lt;&gt;")=0,"",SUMIFS(BD!$X$3:$X$5001,BD!$A$3:$A$5001,G$3,BD!$B$3:$B$5001,$A$24)))</f>
        <v/>
      </c>
      <c r="H33" s="142" t="str">
        <f>IF(H$3="","",IF(COUNTIFS(BD!$A$3:$A$5001,H$3,BD!$B$3:$B$5001,$A$24,BD!$X$3:$X$5001,"&lt;&gt;")=0,"",SUMIFS(BD!$X$3:$X$5001,BD!$A$3:$A$5001,H$3,BD!$B$3:$B$5001,$A$24)))</f>
        <v/>
      </c>
      <c r="I33" s="142" t="str">
        <f>IF(I$3="","",IF(COUNTIFS(BD!$A$3:$A$5001,I$3,BD!$B$3:$B$5001,$A$24,BD!$X$3:$X$5001,"&lt;&gt;")=0,"",SUMIFS(BD!$X$3:$X$5001,BD!$A$3:$A$5001,I$3,BD!$B$3:$B$5001,$A$24)))</f>
        <v/>
      </c>
      <c r="J33" s="142" t="str">
        <f>IF(J$3="","",IF(COUNTIFS(BD!$A$3:$A$5001,J$3,BD!$B$3:$B$5001,$A$24,BD!$X$3:$X$5001,"&lt;&gt;")=0,"",SUMIFS(BD!$X$3:$X$5001,BD!$A$3:$A$5001,J$3,BD!$B$3:$B$5001,$A$24)))</f>
        <v/>
      </c>
      <c r="K33" s="142" t="str">
        <f>IF(K$3="","",IF(COUNTIFS(BD!$A$3:$A$5001,K$3,BD!$B$3:$B$5001,$A$24,BD!$X$3:$X$5001,"&lt;&gt;")=0,"",SUMIFS(BD!$X$3:$X$5001,BD!$A$3:$A$5001,K$3,BD!$B$3:$B$5001,$A$24)))</f>
        <v/>
      </c>
      <c r="L33" s="142" t="str">
        <f>IF(L$3="","",IF(COUNTIFS(BD!$A$3:$A$5001,L$3,BD!$B$3:$B$5001,$A$24,BD!$X$3:$X$5001,"&lt;&gt;")=0,"",SUMIFS(BD!$X$3:$X$5001,BD!$A$3:$A$5001,L$3,BD!$B$3:$B$5001,$A$24)))</f>
        <v/>
      </c>
      <c r="M33" s="142" t="str">
        <f>IF(M$3="","",IF(COUNTIFS(BD!$A$3:$A$5001,M$3,BD!$B$3:$B$5001,$A$24,BD!$X$3:$X$5001,"&lt;&gt;")=0,"",SUMIFS(BD!$X$3:$X$5001,BD!$A$3:$A$5001,M$3,BD!$B$3:$B$5001,$A$24)))</f>
        <v/>
      </c>
      <c r="N33" s="142" t="str">
        <f>IF(N$3="","",IF(COUNTIFS(BD!$A$3:$A$5001,N$3,BD!$B$3:$B$5001,$A$24,BD!$X$3:$X$5001,"&lt;&gt;")=0,"",SUMIFS(BD!$X$3:$X$5001,BD!$A$3:$A$5001,N$3,BD!$B$3:$B$5001,$A$24)))</f>
        <v/>
      </c>
      <c r="O33" s="142" t="str">
        <f>IF(O$3="","",IF(COUNTIFS(BD!$A$3:$A$5001,O$3,BD!$B$3:$B$5001,$A$24,BD!$X$3:$X$5001,"&lt;&gt;")=0,"",SUMIFS(BD!$X$3:$X$5001,BD!$A$3:$A$5001,O$3,BD!$B$3:$B$5001,$A$24)))</f>
        <v/>
      </c>
      <c r="P33" s="142" t="str">
        <f>IF(P$3="","",IF(COUNTIFS(BD!$A$3:$A$5001,P$3,BD!$B$3:$B$5001,$A$24,BD!$X$3:$X$5001,"&lt;&gt;")=0,"",SUMIFS(BD!$X$3:$X$5001,BD!$A$3:$A$5001,P$3,BD!$B$3:$B$5001,$A$24)))</f>
        <v/>
      </c>
      <c r="Q33" s="142" t="str">
        <f>IF(Q$3="","",IF(COUNTIFS(BD!$A$3:$A$5001,Q$3,BD!$B$3:$B$5001,$A$24,BD!$X$3:$X$5001,"&lt;&gt;")=0,"",SUMIFS(BD!$X$3:$X$5001,BD!$A$3:$A$5001,Q$3,BD!$B$3:$B$5001,$A$24)))</f>
        <v/>
      </c>
      <c r="R33" s="142" t="str">
        <f>IF(R$3="","",IF(COUNTIFS(BD!$A$3:$A$5001,R$3,BD!$B$3:$B$5001,$A$24,BD!$X$3:$X$5001,"&lt;&gt;")=0,"",SUMIFS(BD!$X$3:$X$5001,BD!$A$3:$A$5001,R$3,BD!$B$3:$B$5001,$A$24)))</f>
        <v/>
      </c>
      <c r="S33" s="142" t="str">
        <f>IF(S$3="","",IF(COUNTIFS(BD!$A$3:$A$5001,S$3,BD!$B$3:$B$5001,$A$24,BD!$X$3:$X$5001,"&lt;&gt;")=0,"",SUMIFS(BD!$X$3:$X$5001,BD!$A$3:$A$5001,S$3,BD!$B$3:$B$5001,$A$24)))</f>
        <v/>
      </c>
      <c r="T33" s="142" t="str">
        <f>IF(T$3="","",IF(COUNTIFS(BD!$A$3:$A$5001,T$3,BD!$B$3:$B$5001,$A$24,BD!$X$3:$X$5001,"&lt;&gt;")=0,"",SUMIFS(BD!$X$3:$X$5001,BD!$A$3:$A$5001,T$3,BD!$B$3:$B$5001,$A$24)))</f>
        <v/>
      </c>
      <c r="U33" s="142" t="str">
        <f>IF(U$3="","",IF(COUNTIFS(BD!$A$3:$A$5001,U$3,BD!$B$3:$B$5001,$A$24,BD!$X$3:$X$5001,"&lt;&gt;")=0,"",SUMIFS(BD!$X$3:$X$5001,BD!$A$3:$A$5001,U$3,BD!$B$3:$B$5001,$A$24)))</f>
        <v/>
      </c>
      <c r="V33" s="142" t="str">
        <f>IF(V$3="","",IF(COUNTIFS(BD!$A$3:$A$5001,V$3,BD!$B$3:$B$5001,$A$24,BD!$X$3:$X$5001,"&lt;&gt;")=0,"",SUMIFS(BD!$X$3:$X$5001,BD!$A$3:$A$5001,V$3,BD!$B$3:$B$5001,$A$24)))</f>
        <v/>
      </c>
      <c r="W33" s="142" t="str">
        <f>IF(W$3="","",IF(COUNTIFS(BD!$A$3:$A$5001,W$3,BD!$B$3:$B$5001,$A$24,BD!$X$3:$X$5001,"&lt;&gt;")=0,"",SUMIFS(BD!$X$3:$X$5001,BD!$A$3:$A$5001,W$3,BD!$B$3:$B$5001,$A$24)))</f>
        <v/>
      </c>
      <c r="X33" s="142" t="str">
        <f>IF(X$3="","",IF(COUNTIFS(BD!$A$3:$A$5001,X$3,BD!$B$3:$B$5001,$A$24,BD!$X$3:$X$5001,"&lt;&gt;")=0,"",SUMIFS(BD!$X$3:$X$5001,BD!$A$3:$A$5001,X$3,BD!$B$3:$B$5001,$A$24)))</f>
        <v/>
      </c>
      <c r="Y33" s="142" t="str">
        <f>IF(Y$3="","",IF(COUNTIFS(BD!$A$3:$A$5001,Y$3,BD!$B$3:$B$5001,$A$24,BD!$X$3:$X$5001,"&lt;&gt;")=0,"",SUMIFS(BD!$X$3:$X$5001,BD!$A$3:$A$5001,Y$3,BD!$B$3:$B$5001,$A$24)))</f>
        <v/>
      </c>
      <c r="Z33" s="142" t="str">
        <f>IF(Z$3="","",IF(COUNTIFS(BD!$A$3:$A$5001,Z$3,BD!$B$3:$B$5001,$A$24,BD!$X$3:$X$5001,"&lt;&gt;")=0,"",SUMIFS(BD!$X$3:$X$5001,BD!$A$3:$A$5001,Z$3,BD!$B$3:$B$5001,$A$24)))</f>
        <v/>
      </c>
      <c r="AA33" s="142" t="str">
        <f>IF(AA$3="","",IF(COUNTIFS(BD!$A$3:$A$5001,AA$3,BD!$B$3:$B$5001,$A$24,BD!$X$3:$X$5001,"&lt;&gt;")=0,"",SUMIFS(BD!$X$3:$X$5001,BD!$A$3:$A$5001,AA$3,BD!$B$3:$B$5001,$A$24)))</f>
        <v/>
      </c>
      <c r="AB33" s="142" t="str">
        <f>IF(AB$3="","",IF(COUNTIFS(BD!$A$3:$A$5001,AB$3,BD!$B$3:$B$5001,$A$24,BD!$X$3:$X$5001,"&lt;&gt;")=0,"",SUMIFS(BD!$X$3:$X$5001,BD!$A$3:$A$5001,AB$3,BD!$B$3:$B$5001,$A$24)))</f>
        <v/>
      </c>
      <c r="AC33" s="142" t="str">
        <f>IF(AC$3="","",IF(COUNTIFS(BD!$A$3:$A$5001,AC$3,BD!$B$3:$B$5001,$A$24,BD!$X$3:$X$5001,"&lt;&gt;")=0,"",SUMIFS(BD!$X$3:$X$5001,BD!$A$3:$A$5001,AC$3,BD!$B$3:$B$5001,$A$24)))</f>
        <v/>
      </c>
      <c r="AD33" s="142" t="str">
        <f>IF(AD$3="","",IF(COUNTIFS(BD!$A$3:$A$5001,AD$3,BD!$B$3:$B$5001,$A$24,BD!$X$3:$X$5001,"&lt;&gt;")=0,"",SUMIFS(BD!$X$3:$X$5001,BD!$A$3:$A$5001,AD$3,BD!$B$3:$B$5001,$A$24)))</f>
        <v/>
      </c>
      <c r="AE33" s="142" t="str">
        <f>IF(AE$3="","",IF(COUNTIFS(BD!$A$3:$A$5001,AE$3,BD!$B$3:$B$5001,$A$24,BD!$X$3:$X$5001,"&lt;&gt;")=0,"",SUMIFS(BD!$X$3:$X$5001,BD!$A$3:$A$5001,AE$3,BD!$B$3:$B$5001,$A$24)))</f>
        <v/>
      </c>
      <c r="AF33" s="142" t="str">
        <f>IF(AF$3="","",IF(COUNTIFS(BD!$A$3:$A$5001,AF$3,BD!$B$3:$B$5001,$A$24,BD!$X$3:$X$5001,"&lt;&gt;")=0,"",SUMIFS(BD!$X$3:$X$5001,BD!$A$3:$A$5001,AF$3,BD!$B$3:$B$5001,$A$24)))</f>
        <v/>
      </c>
      <c r="AG33" s="142" t="str">
        <f>IF(AG$3="","",IF(COUNTIFS(BD!$A$3:$A$5001,AG$3,BD!$B$3:$B$5001,$A$24,BD!$X$3:$X$5001,"&lt;&gt;")=0,"",SUMIFS(BD!$X$3:$X$5001,BD!$A$3:$A$5001,AG$3,BD!$B$3:$B$5001,$A$24)))</f>
        <v/>
      </c>
      <c r="AH33" s="142" t="str">
        <f>IF(AH$3="","",IF(COUNTIFS(BD!$A$3:$A$5001,AH$3,BD!$B$3:$B$5001,$A$24,BD!$X$3:$X$5001,"&lt;&gt;")=0,"",SUMIFS(BD!$X$3:$X$5001,BD!$A$3:$A$5001,AH$3,BD!$B$3:$B$5001,$A$24)))</f>
        <v/>
      </c>
      <c r="AI33" s="142" t="str">
        <f>IF(AI$3="","",IF(COUNTIFS(BD!$A$3:$A$5001,AI$3,BD!$B$3:$B$5001,$A$24,BD!$X$3:$X$5001,"&lt;&gt;")=0,"",SUMIFS(BD!$X$3:$X$5001,BD!$A$3:$A$5001,AI$3,BD!$B$3:$B$5001,$A$24)))</f>
        <v/>
      </c>
      <c r="AJ33" s="143" t="str">
        <f>IF(AJ$3="","",IF(COUNTIFS(BD!$A$3:$A$5001,AJ$3,BD!$B$3:$B$5001,$A$24,BD!$X$3:$X$5001,"&lt;&gt;")=0,"",SUMIFS(BD!$X$3:$X$5001,BD!$A$3:$A$5001,AJ$3,BD!$B$3:$B$5001,$A$24)))</f>
        <v/>
      </c>
      <c r="AK33" s="144" t="str">
        <f>IF(COUNT(F33:AJ33)&gt;0,LOOKUP(9.99E+307,F33:AJ33),IFERROR(IF(INDEX(BD!$AH$3:$AH$5001,MATCH($A$24,BD!$B$3:$B$5001,0))&amp;""="Contrato","",INDEX(BD!$AH$3:$AH$5001,MATCH($A$24,BD!$B$3:$B$5001,0))&amp;""),""))</f>
        <v/>
      </c>
    </row>
    <row r="34" ht="15.75" customHeight="1">
      <c r="A34" s="227"/>
      <c r="B34" s="222"/>
      <c r="C34" s="184" t="inlineStr">
        <is>
          <t xml:space="preserve">Posições Ocupadas</t>
        </is>
      </c>
      <c r="D34" s="185" t="str">
        <f>IFERROR(1/(1/INDEX(BD!$AK$45:$AT$45,MATCH($A$24,BD!$AK$22:$AT$22,0))),"")</f>
        <v/>
      </c>
      <c r="E34" s="186"/>
      <c r="F34" s="187" t="str">
        <f>IF(F$3="","",IF(COUNTIFS(BD!$A$3:$A$5001,F$3,BD!$B$3:$B$5001,$A$24,BD!$Y$3:$Y$5001,"&lt;&gt;")=0,"",SUMIFS(BD!$Y$3:$Y$5001,BD!$A$3:$A$5001,F$3,BD!$B$3:$B$5001,$A$24)))</f>
        <v/>
      </c>
      <c r="G34" s="188" t="str">
        <f>IF(G$3="","",IF(COUNTIFS(BD!$A$3:$A$5001,G$3,BD!$B$3:$B$5001,$A$24,BD!$Y$3:$Y$5001,"&lt;&gt;")=0,"",SUMIFS(BD!$Y$3:$Y$5001,BD!$A$3:$A$5001,G$3,BD!$B$3:$B$5001,$A$24)))</f>
        <v/>
      </c>
      <c r="H34" s="188" t="str">
        <f>IF(H$3="","",IF(COUNTIFS(BD!$A$3:$A$5001,H$3,BD!$B$3:$B$5001,$A$24,BD!$Y$3:$Y$5001,"&lt;&gt;")=0,"",SUMIFS(BD!$Y$3:$Y$5001,BD!$A$3:$A$5001,H$3,BD!$B$3:$B$5001,$A$24)))</f>
        <v/>
      </c>
      <c r="I34" s="188" t="str">
        <f>IF(I$3="","",IF(COUNTIFS(BD!$A$3:$A$5001,I$3,BD!$B$3:$B$5001,$A$24,BD!$Y$3:$Y$5001,"&lt;&gt;")=0,"",SUMIFS(BD!$Y$3:$Y$5001,BD!$A$3:$A$5001,I$3,BD!$B$3:$B$5001,$A$24)))</f>
        <v/>
      </c>
      <c r="J34" s="188" t="str">
        <f>IF(J$3="","",IF(COUNTIFS(BD!$A$3:$A$5001,J$3,BD!$B$3:$B$5001,$A$24,BD!$Y$3:$Y$5001,"&lt;&gt;")=0,"",SUMIFS(BD!$Y$3:$Y$5001,BD!$A$3:$A$5001,J$3,BD!$B$3:$B$5001,$A$24)))</f>
        <v/>
      </c>
      <c r="K34" s="188" t="str">
        <f>IF(K$3="","",IF(COUNTIFS(BD!$A$3:$A$5001,K$3,BD!$B$3:$B$5001,$A$24,BD!$Y$3:$Y$5001,"&lt;&gt;")=0,"",SUMIFS(BD!$Y$3:$Y$5001,BD!$A$3:$A$5001,K$3,BD!$B$3:$B$5001,$A$24)))</f>
        <v/>
      </c>
      <c r="L34" s="188" t="str">
        <f>IF(L$3="","",IF(COUNTIFS(BD!$A$3:$A$5001,L$3,BD!$B$3:$B$5001,$A$24,BD!$Y$3:$Y$5001,"&lt;&gt;")=0,"",SUMIFS(BD!$Y$3:$Y$5001,BD!$A$3:$A$5001,L$3,BD!$B$3:$B$5001,$A$24)))</f>
        <v/>
      </c>
      <c r="M34" s="188" t="str">
        <f>IF(M$3="","",IF(COUNTIFS(BD!$A$3:$A$5001,M$3,BD!$B$3:$B$5001,$A$24,BD!$Y$3:$Y$5001,"&lt;&gt;")=0,"",SUMIFS(BD!$Y$3:$Y$5001,BD!$A$3:$A$5001,M$3,BD!$B$3:$B$5001,$A$24)))</f>
        <v/>
      </c>
      <c r="N34" s="188" t="str">
        <f>IF(N$3="","",IF(COUNTIFS(BD!$A$3:$A$5001,N$3,BD!$B$3:$B$5001,$A$24,BD!$Y$3:$Y$5001,"&lt;&gt;")=0,"",SUMIFS(BD!$Y$3:$Y$5001,BD!$A$3:$A$5001,N$3,BD!$B$3:$B$5001,$A$24)))</f>
        <v/>
      </c>
      <c r="O34" s="188" t="str">
        <f>IF(O$3="","",IF(COUNTIFS(BD!$A$3:$A$5001,O$3,BD!$B$3:$B$5001,$A$24,BD!$Y$3:$Y$5001,"&lt;&gt;")=0,"",SUMIFS(BD!$Y$3:$Y$5001,BD!$A$3:$A$5001,O$3,BD!$B$3:$B$5001,$A$24)))</f>
        <v/>
      </c>
      <c r="P34" s="188" t="str">
        <f>IF(P$3="","",IF(COUNTIFS(BD!$A$3:$A$5001,P$3,BD!$B$3:$B$5001,$A$24,BD!$Y$3:$Y$5001,"&lt;&gt;")=0,"",SUMIFS(BD!$Y$3:$Y$5001,BD!$A$3:$A$5001,P$3,BD!$B$3:$B$5001,$A$24)))</f>
        <v/>
      </c>
      <c r="Q34" s="188" t="str">
        <f>IF(Q$3="","",IF(COUNTIFS(BD!$A$3:$A$5001,Q$3,BD!$B$3:$B$5001,$A$24,BD!$Y$3:$Y$5001,"&lt;&gt;")=0,"",SUMIFS(BD!$Y$3:$Y$5001,BD!$A$3:$A$5001,Q$3,BD!$B$3:$B$5001,$A$24)))</f>
        <v/>
      </c>
      <c r="R34" s="188" t="str">
        <f>IF(R$3="","",IF(COUNTIFS(BD!$A$3:$A$5001,R$3,BD!$B$3:$B$5001,$A$24,BD!$Y$3:$Y$5001,"&lt;&gt;")=0,"",SUMIFS(BD!$Y$3:$Y$5001,BD!$A$3:$A$5001,R$3,BD!$B$3:$B$5001,$A$24)))</f>
        <v/>
      </c>
      <c r="S34" s="188" t="str">
        <f>IF(S$3="","",IF(COUNTIFS(BD!$A$3:$A$5001,S$3,BD!$B$3:$B$5001,$A$24,BD!$Y$3:$Y$5001,"&lt;&gt;")=0,"",SUMIFS(BD!$Y$3:$Y$5001,BD!$A$3:$A$5001,S$3,BD!$B$3:$B$5001,$A$24)))</f>
        <v/>
      </c>
      <c r="T34" s="188" t="str">
        <f>IF(T$3="","",IF(COUNTIFS(BD!$A$3:$A$5001,T$3,BD!$B$3:$B$5001,$A$24,BD!$Y$3:$Y$5001,"&lt;&gt;")=0,"",SUMIFS(BD!$Y$3:$Y$5001,BD!$A$3:$A$5001,T$3,BD!$B$3:$B$5001,$A$24)))</f>
        <v/>
      </c>
      <c r="U34" s="188" t="str">
        <f>IF(U$3="","",IF(COUNTIFS(BD!$A$3:$A$5001,U$3,BD!$B$3:$B$5001,$A$24,BD!$Y$3:$Y$5001,"&lt;&gt;")=0,"",SUMIFS(BD!$Y$3:$Y$5001,BD!$A$3:$A$5001,U$3,BD!$B$3:$B$5001,$A$24)))</f>
        <v/>
      </c>
      <c r="V34" s="188" t="str">
        <f>IF(V$3="","",IF(COUNTIFS(BD!$A$3:$A$5001,V$3,BD!$B$3:$B$5001,$A$24,BD!$Y$3:$Y$5001,"&lt;&gt;")=0,"",SUMIFS(BD!$Y$3:$Y$5001,BD!$A$3:$A$5001,V$3,BD!$B$3:$B$5001,$A$24)))</f>
        <v/>
      </c>
      <c r="W34" s="188" t="str">
        <f>IF(W$3="","",IF(COUNTIFS(BD!$A$3:$A$5001,W$3,BD!$B$3:$B$5001,$A$24,BD!$Y$3:$Y$5001,"&lt;&gt;")=0,"",SUMIFS(BD!$Y$3:$Y$5001,BD!$A$3:$A$5001,W$3,BD!$B$3:$B$5001,$A$24)))</f>
        <v/>
      </c>
      <c r="X34" s="188" t="str">
        <f>IF(X$3="","",IF(COUNTIFS(BD!$A$3:$A$5001,X$3,BD!$B$3:$B$5001,$A$24,BD!$Y$3:$Y$5001,"&lt;&gt;")=0,"",SUMIFS(BD!$Y$3:$Y$5001,BD!$A$3:$A$5001,X$3,BD!$B$3:$B$5001,$A$24)))</f>
        <v/>
      </c>
      <c r="Y34" s="188" t="str">
        <f>IF(Y$3="","",IF(COUNTIFS(BD!$A$3:$A$5001,Y$3,BD!$B$3:$B$5001,$A$24,BD!$Y$3:$Y$5001,"&lt;&gt;")=0,"",SUMIFS(BD!$Y$3:$Y$5001,BD!$A$3:$A$5001,Y$3,BD!$B$3:$B$5001,$A$24)))</f>
        <v/>
      </c>
      <c r="Z34" s="188" t="str">
        <f>IF(Z$3="","",IF(COUNTIFS(BD!$A$3:$A$5001,Z$3,BD!$B$3:$B$5001,$A$24,BD!$Y$3:$Y$5001,"&lt;&gt;")=0,"",SUMIFS(BD!$Y$3:$Y$5001,BD!$A$3:$A$5001,Z$3,BD!$B$3:$B$5001,$A$24)))</f>
        <v/>
      </c>
      <c r="AA34" s="188" t="str">
        <f>IF(AA$3="","",IF(COUNTIFS(BD!$A$3:$A$5001,AA$3,BD!$B$3:$B$5001,$A$24,BD!$Y$3:$Y$5001,"&lt;&gt;")=0,"",SUMIFS(BD!$Y$3:$Y$5001,BD!$A$3:$A$5001,AA$3,BD!$B$3:$B$5001,$A$24)))</f>
        <v/>
      </c>
      <c r="AB34" s="188" t="str">
        <f>IF(AB$3="","",IF(COUNTIFS(BD!$A$3:$A$5001,AB$3,BD!$B$3:$B$5001,$A$24,BD!$Y$3:$Y$5001,"&lt;&gt;")=0,"",SUMIFS(BD!$Y$3:$Y$5001,BD!$A$3:$A$5001,AB$3,BD!$B$3:$B$5001,$A$24)))</f>
        <v/>
      </c>
      <c r="AC34" s="188" t="str">
        <f>IF(AC$3="","",IF(COUNTIFS(BD!$A$3:$A$5001,AC$3,BD!$B$3:$B$5001,$A$24,BD!$Y$3:$Y$5001,"&lt;&gt;")=0,"",SUMIFS(BD!$Y$3:$Y$5001,BD!$A$3:$A$5001,AC$3,BD!$B$3:$B$5001,$A$24)))</f>
        <v/>
      </c>
      <c r="AD34" s="188" t="str">
        <f>IF(AD$3="","",IF(COUNTIFS(BD!$A$3:$A$5001,AD$3,BD!$B$3:$B$5001,$A$24,BD!$Y$3:$Y$5001,"&lt;&gt;")=0,"",SUMIFS(BD!$Y$3:$Y$5001,BD!$A$3:$A$5001,AD$3,BD!$B$3:$B$5001,$A$24)))</f>
        <v/>
      </c>
      <c r="AE34" s="188" t="str">
        <f>IF(AE$3="","",IF(COUNTIFS(BD!$A$3:$A$5001,AE$3,BD!$B$3:$B$5001,$A$24,BD!$Y$3:$Y$5001,"&lt;&gt;")=0,"",SUMIFS(BD!$Y$3:$Y$5001,BD!$A$3:$A$5001,AE$3,BD!$B$3:$B$5001,$A$24)))</f>
        <v/>
      </c>
      <c r="AF34" s="188" t="str">
        <f>IF(AF$3="","",IF(COUNTIFS(BD!$A$3:$A$5001,AF$3,BD!$B$3:$B$5001,$A$24,BD!$Y$3:$Y$5001,"&lt;&gt;")=0,"",SUMIFS(BD!$Y$3:$Y$5001,BD!$A$3:$A$5001,AF$3,BD!$B$3:$B$5001,$A$24)))</f>
        <v/>
      </c>
      <c r="AG34" s="188" t="str">
        <f>IF(AG$3="","",IF(COUNTIFS(BD!$A$3:$A$5001,AG$3,BD!$B$3:$B$5001,$A$24,BD!$Y$3:$Y$5001,"&lt;&gt;")=0,"",SUMIFS(BD!$Y$3:$Y$5001,BD!$A$3:$A$5001,AG$3,BD!$B$3:$B$5001,$A$24)))</f>
        <v/>
      </c>
      <c r="AH34" s="188" t="str">
        <f>IF(AH$3="","",IF(COUNTIFS(BD!$A$3:$A$5001,AH$3,BD!$B$3:$B$5001,$A$24,BD!$Y$3:$Y$5001,"&lt;&gt;")=0,"",SUMIFS(BD!$Y$3:$Y$5001,BD!$A$3:$A$5001,AH$3,BD!$B$3:$B$5001,$A$24)))</f>
        <v/>
      </c>
      <c r="AI34" s="188" t="str">
        <f>IF(AI$3="","",IF(COUNTIFS(BD!$A$3:$A$5001,AI$3,BD!$B$3:$B$5001,$A$24,BD!$Y$3:$Y$5001,"&lt;&gt;")=0,"",SUMIFS(BD!$Y$3:$Y$5001,BD!$A$3:$A$5001,AI$3,BD!$B$3:$B$5001,$A$24)))</f>
        <v/>
      </c>
      <c r="AJ34" s="189" t="str">
        <f>IF(AJ$3="","",IF(COUNTIFS(BD!$A$3:$A$5001,AJ$3,BD!$B$3:$B$5001,$A$24,BD!$Y$3:$Y$5001,"&lt;&gt;")=0,"",SUMIFS(BD!$Y$3:$Y$5001,BD!$A$3:$A$5001,AJ$3,BD!$B$3:$B$5001,$A$24)))</f>
        <v/>
      </c>
      <c r="AK34" s="190" t="str">
        <f>IFERROR(LOOKUP(9.99E+307,F34:AJ34),"")</f>
        <v/>
      </c>
    </row>
    <row r="35" ht="15.75" customHeight="1">
      <c r="A35" s="227"/>
      <c r="B35" s="216"/>
      <c r="C35" s="145" t="inlineStr">
        <is>
          <t xml:space="preserve">Taxa de Ocupação</t>
        </is>
      </c>
      <c r="D35" s="191" t="str">
        <f>IFERROR(1/(1/INDEX(BD!$AK$46:$AT$46,MATCH($A$24,BD!$AK$22:$AT$22,0))),"")</f>
        <v/>
      </c>
      <c r="E35" s="147"/>
      <c r="F35" s="192" t="str">
        <f>IF(AND(ISNUMBER(F33),ISNUMBER(F34)),IF(F33&gt;0,F34/F33,""),"")</f>
        <v/>
      </c>
      <c r="G35" s="193" t="str">
        <f>IF(AND(ISNUMBER(G33),ISNUMBER(G34)),IF(G33&gt;0,G34/G33,""),"")</f>
        <v/>
      </c>
      <c r="H35" s="193" t="str">
        <f>IF(AND(ISNUMBER(H33),ISNUMBER(H34)),IF(H33&gt;0,H34/H33,""),"")</f>
        <v/>
      </c>
      <c r="I35" s="193" t="str">
        <f>IF(AND(ISNUMBER(I33),ISNUMBER(I34)),IF(I33&gt;0,I34/I33,""),"")</f>
        <v/>
      </c>
      <c r="J35" s="193" t="str">
        <f>IF(AND(ISNUMBER(J33),ISNUMBER(J34)),IF(J33&gt;0,J34/J33,""),"")</f>
        <v/>
      </c>
      <c r="K35" s="193" t="str">
        <f>IF(AND(ISNUMBER(K33),ISNUMBER(K34)),IF(K33&gt;0,K34/K33,""),"")</f>
        <v/>
      </c>
      <c r="L35" s="193" t="str">
        <f>IF(AND(ISNUMBER(L33),ISNUMBER(L34)),IF(L33&gt;0,L34/L33,""),"")</f>
        <v/>
      </c>
      <c r="M35" s="193" t="str">
        <f>IF(AND(ISNUMBER(M33),ISNUMBER(M34)),IF(M33&gt;0,M34/M33,""),"")</f>
        <v/>
      </c>
      <c r="N35" s="193" t="str">
        <f>IF(AND(ISNUMBER(N33),ISNUMBER(N34)),IF(N33&gt;0,N34/N33,""),"")</f>
        <v/>
      </c>
      <c r="O35" s="193" t="str">
        <f>IF(AND(ISNUMBER(O33),ISNUMBER(O34)),IF(O33&gt;0,O34/O33,""),"")</f>
        <v/>
      </c>
      <c r="P35" s="193" t="str">
        <f>IF(AND(ISNUMBER(P33),ISNUMBER(P34)),IF(P33&gt;0,P34/P33,""),"")</f>
        <v/>
      </c>
      <c r="Q35" s="193" t="str">
        <f>IF(AND(ISNUMBER(Q33),ISNUMBER(Q34)),IF(Q33&gt;0,Q34/Q33,""),"")</f>
        <v/>
      </c>
      <c r="R35" s="193" t="str">
        <f>IF(AND(ISNUMBER(R33),ISNUMBER(R34)),IF(R33&gt;0,R34/R33,""),"")</f>
        <v/>
      </c>
      <c r="S35" s="193" t="str">
        <f>IF(AND(ISNUMBER(S33),ISNUMBER(S34)),IF(S33&gt;0,S34/S33,""),"")</f>
        <v/>
      </c>
      <c r="T35" s="193" t="str">
        <f>IF(AND(ISNUMBER(T33),ISNUMBER(T34)),IF(T33&gt;0,T34/T33,""),"")</f>
        <v/>
      </c>
      <c r="U35" s="193" t="str">
        <f>IF(AND(ISNUMBER(U33),ISNUMBER(U34)),IF(U33&gt;0,U34/U33,""),"")</f>
        <v/>
      </c>
      <c r="V35" s="193" t="str">
        <f>IF(AND(ISNUMBER(V33),ISNUMBER(V34)),IF(V33&gt;0,V34/V33,""),"")</f>
        <v/>
      </c>
      <c r="W35" s="193" t="str">
        <f>IF(AND(ISNUMBER(W33),ISNUMBER(W34)),IF(W33&gt;0,W34/W33,""),"")</f>
        <v/>
      </c>
      <c r="X35" s="193" t="str">
        <f>IF(AND(ISNUMBER(X33),ISNUMBER(X34)),IF(X33&gt;0,X34/X33,""),"")</f>
        <v/>
      </c>
      <c r="Y35" s="193" t="str">
        <f>IF(AND(ISNUMBER(Y33),ISNUMBER(Y34)),IF(Y33&gt;0,Y34/Y33,""),"")</f>
        <v/>
      </c>
      <c r="Z35" s="193" t="str">
        <f>IF(AND(ISNUMBER(Z33),ISNUMBER(Z34)),IF(Z33&gt;0,Z34/Z33,""),"")</f>
        <v/>
      </c>
      <c r="AA35" s="193" t="str">
        <f>IF(AND(ISNUMBER(AA33),ISNUMBER(AA34)),IF(AA33&gt;0,AA34/AA33,""),"")</f>
        <v/>
      </c>
      <c r="AB35" s="193" t="str">
        <f>IF(AND(ISNUMBER(AB33),ISNUMBER(AB34)),IF(AB33&gt;0,AB34/AB33,""),"")</f>
        <v/>
      </c>
      <c r="AC35" s="193" t="str">
        <f>IF(AND(ISNUMBER(AC33),ISNUMBER(AC34)),IF(AC33&gt;0,AC34/AC33,""),"")</f>
        <v/>
      </c>
      <c r="AD35" s="193" t="str">
        <f>IF(AND(ISNUMBER(AD33),ISNUMBER(AD34)),IF(AD33&gt;0,AD34/AD33,""),"")</f>
        <v/>
      </c>
      <c r="AE35" s="193" t="str">
        <f>IF(AND(ISNUMBER(AE33),ISNUMBER(AE34)),IF(AE33&gt;0,AE34/AE33,""),"")</f>
        <v/>
      </c>
      <c r="AF35" s="193" t="str">
        <f>IF(AND(ISNUMBER(AF33),ISNUMBER(AF34)),IF(AF33&gt;0,AF34/AF33,""),"")</f>
        <v/>
      </c>
      <c r="AG35" s="193" t="str">
        <f>IF(AND(ISNUMBER(AG33),ISNUMBER(AG34)),IF(AG33&gt;0,AG34/AG33,""),"")</f>
        <v/>
      </c>
      <c r="AH35" s="193" t="str">
        <f>IF(AND(ISNUMBER(AH33),ISNUMBER(AH34)),IF(AH33&gt;0,AH34/AH33,""),"")</f>
        <v/>
      </c>
      <c r="AI35" s="193" t="str">
        <f>IF(AND(ISNUMBER(AI33),ISNUMBER(AI34)),IF(AI33&gt;0,AI34/AI33,""),"")</f>
        <v/>
      </c>
      <c r="AJ35" s="194" t="str">
        <f>IF(AND(ISNUMBER(AJ33),ISNUMBER(AJ34)),IF(AJ33&gt;0,AJ34/AJ33,""),"")</f>
        <v/>
      </c>
      <c r="AK35" s="191" t="str">
        <f>IF(AND(ISNUMBER(AK33),ISNUMBER(AK34)),IF(AK33&gt;0,AK34/AK33,""),"")</f>
        <v/>
      </c>
    </row>
    <row r="36" ht="15.75" customHeight="1">
      <c r="A36" s="227"/>
      <c r="B36" s="223" t="inlineStr">
        <is>
          <t xml:space="preserve">GENTE</t>
        </is>
      </c>
      <c r="C36" s="195" t="inlineStr">
        <is>
          <t xml:space="preserve">Efetivo Op.</t>
        </is>
      </c>
      <c r="D36" s="196" t="str">
        <f>IFERROR(1/(1/INDEX(BD!$AK$47:$AT$47,MATCH($A$24,BD!$AK$22:$AT$22,0))),"")</f>
        <v/>
      </c>
      <c r="E36" s="197"/>
      <c r="F36" s="198" t="str">
        <f>IF(F$3="","",IF(COUNTIFS(BD!$A$3:$A$5001,F$3,BD!$B$3:$B$5001,$A$24,BD!$Z$3:$Z$5001,"&lt;&gt;")=0,"",SUMIFS(BD!$Z$3:$Z$5001,BD!$A$3:$A$5001,F$3,BD!$B$3:$B$5001,$A$24)))</f>
        <v/>
      </c>
      <c r="G36" s="199" t="str">
        <f>IF(G$3="","",IF(COUNTIFS(BD!$A$3:$A$5001,G$3,BD!$B$3:$B$5001,$A$24,BD!$Z$3:$Z$5001,"&lt;&gt;")=0,"",SUMIFS(BD!$Z$3:$Z$5001,BD!$A$3:$A$5001,G$3,BD!$B$3:$B$5001,$A$24)))</f>
        <v/>
      </c>
      <c r="H36" s="199" t="str">
        <f>IF(H$3="","",IF(COUNTIFS(BD!$A$3:$A$5001,H$3,BD!$B$3:$B$5001,$A$24,BD!$Z$3:$Z$5001,"&lt;&gt;")=0,"",SUMIFS(BD!$Z$3:$Z$5001,BD!$A$3:$A$5001,H$3,BD!$B$3:$B$5001,$A$24)))</f>
        <v/>
      </c>
      <c r="I36" s="199" t="str">
        <f>IF(I$3="","",IF(COUNTIFS(BD!$A$3:$A$5001,I$3,BD!$B$3:$B$5001,$A$24,BD!$Z$3:$Z$5001,"&lt;&gt;")=0,"",SUMIFS(BD!$Z$3:$Z$5001,BD!$A$3:$A$5001,I$3,BD!$B$3:$B$5001,$A$24)))</f>
        <v/>
      </c>
      <c r="J36" s="199" t="str">
        <f>IF(J$3="","",IF(COUNTIFS(BD!$A$3:$A$5001,J$3,BD!$B$3:$B$5001,$A$24,BD!$Z$3:$Z$5001,"&lt;&gt;")=0,"",SUMIFS(BD!$Z$3:$Z$5001,BD!$A$3:$A$5001,J$3,BD!$B$3:$B$5001,$A$24)))</f>
        <v/>
      </c>
      <c r="K36" s="199" t="str">
        <f>IF(K$3="","",IF(COUNTIFS(BD!$A$3:$A$5001,K$3,BD!$B$3:$B$5001,$A$24,BD!$Z$3:$Z$5001,"&lt;&gt;")=0,"",SUMIFS(BD!$Z$3:$Z$5001,BD!$A$3:$A$5001,K$3,BD!$B$3:$B$5001,$A$24)))</f>
        <v/>
      </c>
      <c r="L36" s="199" t="str">
        <f>IF(L$3="","",IF(COUNTIFS(BD!$A$3:$A$5001,L$3,BD!$B$3:$B$5001,$A$24,BD!$Z$3:$Z$5001,"&lt;&gt;")=0,"",SUMIFS(BD!$Z$3:$Z$5001,BD!$A$3:$A$5001,L$3,BD!$B$3:$B$5001,$A$24)))</f>
        <v/>
      </c>
      <c r="M36" s="199" t="str">
        <f>IF(M$3="","",IF(COUNTIFS(BD!$A$3:$A$5001,M$3,BD!$B$3:$B$5001,$A$24,BD!$Z$3:$Z$5001,"&lt;&gt;")=0,"",SUMIFS(BD!$Z$3:$Z$5001,BD!$A$3:$A$5001,M$3,BD!$B$3:$B$5001,$A$24)))</f>
        <v/>
      </c>
      <c r="N36" s="199" t="str">
        <f>IF(N$3="","",IF(COUNTIFS(BD!$A$3:$A$5001,N$3,BD!$B$3:$B$5001,$A$24,BD!$Z$3:$Z$5001,"&lt;&gt;")=0,"",SUMIFS(BD!$Z$3:$Z$5001,BD!$A$3:$A$5001,N$3,BD!$B$3:$B$5001,$A$24)))</f>
        <v/>
      </c>
      <c r="O36" s="199" t="str">
        <f>IF(O$3="","",IF(COUNTIFS(BD!$A$3:$A$5001,O$3,BD!$B$3:$B$5001,$A$24,BD!$Z$3:$Z$5001,"&lt;&gt;")=0,"",SUMIFS(BD!$Z$3:$Z$5001,BD!$A$3:$A$5001,O$3,BD!$B$3:$B$5001,$A$24)))</f>
        <v/>
      </c>
      <c r="P36" s="199" t="str">
        <f>IF(P$3="","",IF(COUNTIFS(BD!$A$3:$A$5001,P$3,BD!$B$3:$B$5001,$A$24,BD!$Z$3:$Z$5001,"&lt;&gt;")=0,"",SUMIFS(BD!$Z$3:$Z$5001,BD!$A$3:$A$5001,P$3,BD!$B$3:$B$5001,$A$24)))</f>
        <v/>
      </c>
      <c r="Q36" s="199" t="str">
        <f>IF(Q$3="","",IF(COUNTIFS(BD!$A$3:$A$5001,Q$3,BD!$B$3:$B$5001,$A$24,BD!$Z$3:$Z$5001,"&lt;&gt;")=0,"",SUMIFS(BD!$Z$3:$Z$5001,BD!$A$3:$A$5001,Q$3,BD!$B$3:$B$5001,$A$24)))</f>
        <v/>
      </c>
      <c r="R36" s="199" t="str">
        <f>IF(R$3="","",IF(COUNTIFS(BD!$A$3:$A$5001,R$3,BD!$B$3:$B$5001,$A$24,BD!$Z$3:$Z$5001,"&lt;&gt;")=0,"",SUMIFS(BD!$Z$3:$Z$5001,BD!$A$3:$A$5001,R$3,BD!$B$3:$B$5001,$A$24)))</f>
        <v/>
      </c>
      <c r="S36" s="199" t="str">
        <f>IF(S$3="","",IF(COUNTIFS(BD!$A$3:$A$5001,S$3,BD!$B$3:$B$5001,$A$24,BD!$Z$3:$Z$5001,"&lt;&gt;")=0,"",SUMIFS(BD!$Z$3:$Z$5001,BD!$A$3:$A$5001,S$3,BD!$B$3:$B$5001,$A$24)))</f>
        <v/>
      </c>
      <c r="T36" s="199" t="str">
        <f>IF(T$3="","",IF(COUNTIFS(BD!$A$3:$A$5001,T$3,BD!$B$3:$B$5001,$A$24,BD!$Z$3:$Z$5001,"&lt;&gt;")=0,"",SUMIFS(BD!$Z$3:$Z$5001,BD!$A$3:$A$5001,T$3,BD!$B$3:$B$5001,$A$24)))</f>
        <v/>
      </c>
      <c r="U36" s="199" t="str">
        <f>IF(U$3="","",IF(COUNTIFS(BD!$A$3:$A$5001,U$3,BD!$B$3:$B$5001,$A$24,BD!$Z$3:$Z$5001,"&lt;&gt;")=0,"",SUMIFS(BD!$Z$3:$Z$5001,BD!$A$3:$A$5001,U$3,BD!$B$3:$B$5001,$A$24)))</f>
        <v/>
      </c>
      <c r="V36" s="199" t="str">
        <f>IF(V$3="","",IF(COUNTIFS(BD!$A$3:$A$5001,V$3,BD!$B$3:$B$5001,$A$24,BD!$Z$3:$Z$5001,"&lt;&gt;")=0,"",SUMIFS(BD!$Z$3:$Z$5001,BD!$A$3:$A$5001,V$3,BD!$B$3:$B$5001,$A$24)))</f>
        <v/>
      </c>
      <c r="W36" s="199" t="str">
        <f>IF(W$3="","",IF(COUNTIFS(BD!$A$3:$A$5001,W$3,BD!$B$3:$B$5001,$A$24,BD!$Z$3:$Z$5001,"&lt;&gt;")=0,"",SUMIFS(BD!$Z$3:$Z$5001,BD!$A$3:$A$5001,W$3,BD!$B$3:$B$5001,$A$24)))</f>
        <v/>
      </c>
      <c r="X36" s="199" t="str">
        <f>IF(X$3="","",IF(COUNTIFS(BD!$A$3:$A$5001,X$3,BD!$B$3:$B$5001,$A$24,BD!$Z$3:$Z$5001,"&lt;&gt;")=0,"",SUMIFS(BD!$Z$3:$Z$5001,BD!$A$3:$A$5001,X$3,BD!$B$3:$B$5001,$A$24)))</f>
        <v/>
      </c>
      <c r="Y36" s="199" t="str">
        <f>IF(Y$3="","",IF(COUNTIFS(BD!$A$3:$A$5001,Y$3,BD!$B$3:$B$5001,$A$24,BD!$Z$3:$Z$5001,"&lt;&gt;")=0,"",SUMIFS(BD!$Z$3:$Z$5001,BD!$A$3:$A$5001,Y$3,BD!$B$3:$B$5001,$A$24)))</f>
        <v/>
      </c>
      <c r="Z36" s="199" t="str">
        <f>IF(Z$3="","",IF(COUNTIFS(BD!$A$3:$A$5001,Z$3,BD!$B$3:$B$5001,$A$24,BD!$Z$3:$Z$5001,"&lt;&gt;")=0,"",SUMIFS(BD!$Z$3:$Z$5001,BD!$A$3:$A$5001,Z$3,BD!$B$3:$B$5001,$A$24)))</f>
        <v/>
      </c>
      <c r="AA36" s="199" t="str">
        <f>IF(AA$3="","",IF(COUNTIFS(BD!$A$3:$A$5001,AA$3,BD!$B$3:$B$5001,$A$24,BD!$Z$3:$Z$5001,"&lt;&gt;")=0,"",SUMIFS(BD!$Z$3:$Z$5001,BD!$A$3:$A$5001,AA$3,BD!$B$3:$B$5001,$A$24)))</f>
        <v/>
      </c>
      <c r="AB36" s="199" t="str">
        <f>IF(AB$3="","",IF(COUNTIFS(BD!$A$3:$A$5001,AB$3,BD!$B$3:$B$5001,$A$24,BD!$Z$3:$Z$5001,"&lt;&gt;")=0,"",SUMIFS(BD!$Z$3:$Z$5001,BD!$A$3:$A$5001,AB$3,BD!$B$3:$B$5001,$A$24)))</f>
        <v/>
      </c>
      <c r="AC36" s="199" t="str">
        <f>IF(AC$3="","",IF(COUNTIFS(BD!$A$3:$A$5001,AC$3,BD!$B$3:$B$5001,$A$24,BD!$Z$3:$Z$5001,"&lt;&gt;")=0,"",SUMIFS(BD!$Z$3:$Z$5001,BD!$A$3:$A$5001,AC$3,BD!$B$3:$B$5001,$A$24)))</f>
        <v/>
      </c>
      <c r="AD36" s="199" t="str">
        <f>IF(AD$3="","",IF(COUNTIFS(BD!$A$3:$A$5001,AD$3,BD!$B$3:$B$5001,$A$24,BD!$Z$3:$Z$5001,"&lt;&gt;")=0,"",SUMIFS(BD!$Z$3:$Z$5001,BD!$A$3:$A$5001,AD$3,BD!$B$3:$B$5001,$A$24)))</f>
        <v/>
      </c>
      <c r="AE36" s="199" t="str">
        <f>IF(AE$3="","",IF(COUNTIFS(BD!$A$3:$A$5001,AE$3,BD!$B$3:$B$5001,$A$24,BD!$Z$3:$Z$5001,"&lt;&gt;")=0,"",SUMIFS(BD!$Z$3:$Z$5001,BD!$A$3:$A$5001,AE$3,BD!$B$3:$B$5001,$A$24)))</f>
        <v/>
      </c>
      <c r="AF36" s="199" t="str">
        <f>IF(AF$3="","",IF(COUNTIFS(BD!$A$3:$A$5001,AF$3,BD!$B$3:$B$5001,$A$24,BD!$Z$3:$Z$5001,"&lt;&gt;")=0,"",SUMIFS(BD!$Z$3:$Z$5001,BD!$A$3:$A$5001,AF$3,BD!$B$3:$B$5001,$A$24)))</f>
        <v/>
      </c>
      <c r="AG36" s="199" t="str">
        <f>IF(AG$3="","",IF(COUNTIFS(BD!$A$3:$A$5001,AG$3,BD!$B$3:$B$5001,$A$24,BD!$Z$3:$Z$5001,"&lt;&gt;")=0,"",SUMIFS(BD!$Z$3:$Z$5001,BD!$A$3:$A$5001,AG$3,BD!$B$3:$B$5001,$A$24)))</f>
        <v/>
      </c>
      <c r="AH36" s="199" t="str">
        <f>IF(AH$3="","",IF(COUNTIFS(BD!$A$3:$A$5001,AH$3,BD!$B$3:$B$5001,$A$24,BD!$Z$3:$Z$5001,"&lt;&gt;")=0,"",SUMIFS(BD!$Z$3:$Z$5001,BD!$A$3:$A$5001,AH$3,BD!$B$3:$B$5001,$A$24)))</f>
        <v/>
      </c>
      <c r="AI36" s="199" t="str">
        <f>IF(AI$3="","",IF(COUNTIFS(BD!$A$3:$A$5001,AI$3,BD!$B$3:$B$5001,$A$24,BD!$Z$3:$Z$5001,"&lt;&gt;")=0,"",SUMIFS(BD!$Z$3:$Z$5001,BD!$A$3:$A$5001,AI$3,BD!$B$3:$B$5001,$A$24)))</f>
        <v/>
      </c>
      <c r="AJ36" s="200" t="str">
        <f>IF(AJ$3="","",IF(COUNTIFS(BD!$A$3:$A$5001,AJ$3,BD!$B$3:$B$5001,$A$24,BD!$Z$3:$Z$5001,"&lt;&gt;")=0,"",SUMIFS(BD!$Z$3:$Z$5001,BD!$A$3:$A$5001,AJ$3,BD!$B$3:$B$5001,$A$24)))</f>
        <v/>
      </c>
      <c r="AK36" s="201" t="str">
        <f>IFERROR(LOOKUP(9.99E+307,F36:AJ36),"")</f>
        <v/>
      </c>
    </row>
    <row r="37" ht="15.75" customHeight="1">
      <c r="A37" s="227"/>
      <c r="B37" s="224"/>
      <c r="C37" s="202" t="inlineStr">
        <is>
          <t xml:space="preserve">Falta</t>
        </is>
      </c>
      <c r="D37" s="203" t="str">
        <f>IFERROR(1/(1/INDEX(BD!$AK$48:$AT$48,MATCH($A$24,BD!$AK$22:$AT$22,0))),"")</f>
        <v/>
      </c>
      <c r="E37" s="204"/>
      <c r="F37" s="205" t="str">
        <f>IF(F$3="","",IF(COUNTIFS(BD!$A$3:$A$5001,F$3,BD!$B$3:$B$5001,$A$24,BD!$AA$3:$AA$5001,"&lt;&gt;")=0,"",SUMIFS(BD!$AA$3:$AA$5001,BD!$A$3:$A$5001,F$3,BD!$B$3:$B$5001,$A$24)))</f>
        <v/>
      </c>
      <c r="G37" s="206" t="str">
        <f>IF(G$3="","",IF(COUNTIFS(BD!$A$3:$A$5001,G$3,BD!$B$3:$B$5001,$A$24,BD!$AA$3:$AA$5001,"&lt;&gt;")=0,"",SUMIFS(BD!$AA$3:$AA$5001,BD!$A$3:$A$5001,G$3,BD!$B$3:$B$5001,$A$24)))</f>
        <v/>
      </c>
      <c r="H37" s="206" t="str">
        <f>IF(H$3="","",IF(COUNTIFS(BD!$A$3:$A$5001,H$3,BD!$B$3:$B$5001,$A$24,BD!$AA$3:$AA$5001,"&lt;&gt;")=0,"",SUMIFS(BD!$AA$3:$AA$5001,BD!$A$3:$A$5001,H$3,BD!$B$3:$B$5001,$A$24)))</f>
        <v/>
      </c>
      <c r="I37" s="206" t="str">
        <f>IF(I$3="","",IF(COUNTIFS(BD!$A$3:$A$5001,I$3,BD!$B$3:$B$5001,$A$24,BD!$AA$3:$AA$5001,"&lt;&gt;")=0,"",SUMIFS(BD!$AA$3:$AA$5001,BD!$A$3:$A$5001,I$3,BD!$B$3:$B$5001,$A$24)))</f>
        <v/>
      </c>
      <c r="J37" s="206" t="str">
        <f>IF(J$3="","",IF(COUNTIFS(BD!$A$3:$A$5001,J$3,BD!$B$3:$B$5001,$A$24,BD!$AA$3:$AA$5001,"&lt;&gt;")=0,"",SUMIFS(BD!$AA$3:$AA$5001,BD!$A$3:$A$5001,J$3,BD!$B$3:$B$5001,$A$24)))</f>
        <v/>
      </c>
      <c r="K37" s="206" t="str">
        <f>IF(K$3="","",IF(COUNTIFS(BD!$A$3:$A$5001,K$3,BD!$B$3:$B$5001,$A$24,BD!$AA$3:$AA$5001,"&lt;&gt;")=0,"",SUMIFS(BD!$AA$3:$AA$5001,BD!$A$3:$A$5001,K$3,BD!$B$3:$B$5001,$A$24)))</f>
        <v/>
      </c>
      <c r="L37" s="206" t="str">
        <f>IF(L$3="","",IF(COUNTIFS(BD!$A$3:$A$5001,L$3,BD!$B$3:$B$5001,$A$24,BD!$AA$3:$AA$5001,"&lt;&gt;")=0,"",SUMIFS(BD!$AA$3:$AA$5001,BD!$A$3:$A$5001,L$3,BD!$B$3:$B$5001,$A$24)))</f>
        <v/>
      </c>
      <c r="M37" s="206" t="str">
        <f>IF(M$3="","",IF(COUNTIFS(BD!$A$3:$A$5001,M$3,BD!$B$3:$B$5001,$A$24,BD!$AA$3:$AA$5001,"&lt;&gt;")=0,"",SUMIFS(BD!$AA$3:$AA$5001,BD!$A$3:$A$5001,M$3,BD!$B$3:$B$5001,$A$24)))</f>
        <v/>
      </c>
      <c r="N37" s="206" t="str">
        <f>IF(N$3="","",IF(COUNTIFS(BD!$A$3:$A$5001,N$3,BD!$B$3:$B$5001,$A$24,BD!$AA$3:$AA$5001,"&lt;&gt;")=0,"",SUMIFS(BD!$AA$3:$AA$5001,BD!$A$3:$A$5001,N$3,BD!$B$3:$B$5001,$A$24)))</f>
        <v/>
      </c>
      <c r="O37" s="206" t="str">
        <f>IF(O$3="","",IF(COUNTIFS(BD!$A$3:$A$5001,O$3,BD!$B$3:$B$5001,$A$24,BD!$AA$3:$AA$5001,"&lt;&gt;")=0,"",SUMIFS(BD!$AA$3:$AA$5001,BD!$A$3:$A$5001,O$3,BD!$B$3:$B$5001,$A$24)))</f>
        <v/>
      </c>
      <c r="P37" s="206" t="str">
        <f>IF(P$3="","",IF(COUNTIFS(BD!$A$3:$A$5001,P$3,BD!$B$3:$B$5001,$A$24,BD!$AA$3:$AA$5001,"&lt;&gt;")=0,"",SUMIFS(BD!$AA$3:$AA$5001,BD!$A$3:$A$5001,P$3,BD!$B$3:$B$5001,$A$24)))</f>
        <v/>
      </c>
      <c r="Q37" s="206" t="str">
        <f>IF(Q$3="","",IF(COUNTIFS(BD!$A$3:$A$5001,Q$3,BD!$B$3:$B$5001,$A$24,BD!$AA$3:$AA$5001,"&lt;&gt;")=0,"",SUMIFS(BD!$AA$3:$AA$5001,BD!$A$3:$A$5001,Q$3,BD!$B$3:$B$5001,$A$24)))</f>
        <v/>
      </c>
      <c r="R37" s="206" t="str">
        <f>IF(R$3="","",IF(COUNTIFS(BD!$A$3:$A$5001,R$3,BD!$B$3:$B$5001,$A$24,BD!$AA$3:$AA$5001,"&lt;&gt;")=0,"",SUMIFS(BD!$AA$3:$AA$5001,BD!$A$3:$A$5001,R$3,BD!$B$3:$B$5001,$A$24)))</f>
        <v/>
      </c>
      <c r="S37" s="206" t="str">
        <f>IF(S$3="","",IF(COUNTIFS(BD!$A$3:$A$5001,S$3,BD!$B$3:$B$5001,$A$24,BD!$AA$3:$AA$5001,"&lt;&gt;")=0,"",SUMIFS(BD!$AA$3:$AA$5001,BD!$A$3:$A$5001,S$3,BD!$B$3:$B$5001,$A$24)))</f>
        <v/>
      </c>
      <c r="T37" s="206" t="str">
        <f>IF(T$3="","",IF(COUNTIFS(BD!$A$3:$A$5001,T$3,BD!$B$3:$B$5001,$A$24,BD!$AA$3:$AA$5001,"&lt;&gt;")=0,"",SUMIFS(BD!$AA$3:$AA$5001,BD!$A$3:$A$5001,T$3,BD!$B$3:$B$5001,$A$24)))</f>
        <v/>
      </c>
      <c r="U37" s="206" t="str">
        <f>IF(U$3="","",IF(COUNTIFS(BD!$A$3:$A$5001,U$3,BD!$B$3:$B$5001,$A$24,BD!$AA$3:$AA$5001,"&lt;&gt;")=0,"",SUMIFS(BD!$AA$3:$AA$5001,BD!$A$3:$A$5001,U$3,BD!$B$3:$B$5001,$A$24)))</f>
        <v/>
      </c>
      <c r="V37" s="206" t="str">
        <f>IF(V$3="","",IF(COUNTIFS(BD!$A$3:$A$5001,V$3,BD!$B$3:$B$5001,$A$24,BD!$AA$3:$AA$5001,"&lt;&gt;")=0,"",SUMIFS(BD!$AA$3:$AA$5001,BD!$A$3:$A$5001,V$3,BD!$B$3:$B$5001,$A$24)))</f>
        <v/>
      </c>
      <c r="W37" s="206" t="str">
        <f>IF(W$3="","",IF(COUNTIFS(BD!$A$3:$A$5001,W$3,BD!$B$3:$B$5001,$A$24,BD!$AA$3:$AA$5001,"&lt;&gt;")=0,"",SUMIFS(BD!$AA$3:$AA$5001,BD!$A$3:$A$5001,W$3,BD!$B$3:$B$5001,$A$24)))</f>
        <v/>
      </c>
      <c r="X37" s="206" t="str">
        <f>IF(X$3="","",IF(COUNTIFS(BD!$A$3:$A$5001,X$3,BD!$B$3:$B$5001,$A$24,BD!$AA$3:$AA$5001,"&lt;&gt;")=0,"",SUMIFS(BD!$AA$3:$AA$5001,BD!$A$3:$A$5001,X$3,BD!$B$3:$B$5001,$A$24)))</f>
        <v/>
      </c>
      <c r="Y37" s="206" t="str">
        <f>IF(Y$3="","",IF(COUNTIFS(BD!$A$3:$A$5001,Y$3,BD!$B$3:$B$5001,$A$24,BD!$AA$3:$AA$5001,"&lt;&gt;")=0,"",SUMIFS(BD!$AA$3:$AA$5001,BD!$A$3:$A$5001,Y$3,BD!$B$3:$B$5001,$A$24)))</f>
        <v/>
      </c>
      <c r="Z37" s="206" t="str">
        <f>IF(Z$3="","",IF(COUNTIFS(BD!$A$3:$A$5001,Z$3,BD!$B$3:$B$5001,$A$24,BD!$AA$3:$AA$5001,"&lt;&gt;")=0,"",SUMIFS(BD!$AA$3:$AA$5001,BD!$A$3:$A$5001,Z$3,BD!$B$3:$B$5001,$A$24)))</f>
        <v/>
      </c>
      <c r="AA37" s="206" t="str">
        <f>IF(AA$3="","",IF(COUNTIFS(BD!$A$3:$A$5001,AA$3,BD!$B$3:$B$5001,$A$24,BD!$AA$3:$AA$5001,"&lt;&gt;")=0,"",SUMIFS(BD!$AA$3:$AA$5001,BD!$A$3:$A$5001,AA$3,BD!$B$3:$B$5001,$A$24)))</f>
        <v/>
      </c>
      <c r="AB37" s="206" t="str">
        <f>IF(AB$3="","",IF(COUNTIFS(BD!$A$3:$A$5001,AB$3,BD!$B$3:$B$5001,$A$24,BD!$AA$3:$AA$5001,"&lt;&gt;")=0,"",SUMIFS(BD!$AA$3:$AA$5001,BD!$A$3:$A$5001,AB$3,BD!$B$3:$B$5001,$A$24)))</f>
        <v/>
      </c>
      <c r="AC37" s="206" t="str">
        <f>IF(AC$3="","",IF(COUNTIFS(BD!$A$3:$A$5001,AC$3,BD!$B$3:$B$5001,$A$24,BD!$AA$3:$AA$5001,"&lt;&gt;")=0,"",SUMIFS(BD!$AA$3:$AA$5001,BD!$A$3:$A$5001,AC$3,BD!$B$3:$B$5001,$A$24)))</f>
        <v/>
      </c>
      <c r="AD37" s="206" t="str">
        <f>IF(AD$3="","",IF(COUNTIFS(BD!$A$3:$A$5001,AD$3,BD!$B$3:$B$5001,$A$24,BD!$AA$3:$AA$5001,"&lt;&gt;")=0,"",SUMIFS(BD!$AA$3:$AA$5001,BD!$A$3:$A$5001,AD$3,BD!$B$3:$B$5001,$A$24)))</f>
        <v/>
      </c>
      <c r="AE37" s="206" t="str">
        <f>IF(AE$3="","",IF(COUNTIFS(BD!$A$3:$A$5001,AE$3,BD!$B$3:$B$5001,$A$24,BD!$AA$3:$AA$5001,"&lt;&gt;")=0,"",SUMIFS(BD!$AA$3:$AA$5001,BD!$A$3:$A$5001,AE$3,BD!$B$3:$B$5001,$A$24)))</f>
        <v/>
      </c>
      <c r="AF37" s="206" t="str">
        <f>IF(AF$3="","",IF(COUNTIFS(BD!$A$3:$A$5001,AF$3,BD!$B$3:$B$5001,$A$24,BD!$AA$3:$AA$5001,"&lt;&gt;")=0,"",SUMIFS(BD!$AA$3:$AA$5001,BD!$A$3:$A$5001,AF$3,BD!$B$3:$B$5001,$A$24)))</f>
        <v/>
      </c>
      <c r="AG37" s="206" t="str">
        <f>IF(AG$3="","",IF(COUNTIFS(BD!$A$3:$A$5001,AG$3,BD!$B$3:$B$5001,$A$24,BD!$AA$3:$AA$5001,"&lt;&gt;")=0,"",SUMIFS(BD!$AA$3:$AA$5001,BD!$A$3:$A$5001,AG$3,BD!$B$3:$B$5001,$A$24)))</f>
        <v/>
      </c>
      <c r="AH37" s="206" t="str">
        <f>IF(AH$3="","",IF(COUNTIFS(BD!$A$3:$A$5001,AH$3,BD!$B$3:$B$5001,$A$24,BD!$AA$3:$AA$5001,"&lt;&gt;")=0,"",SUMIFS(BD!$AA$3:$AA$5001,BD!$A$3:$A$5001,AH$3,BD!$B$3:$B$5001,$A$24)))</f>
        <v/>
      </c>
      <c r="AI37" s="206" t="str">
        <f>IF(AI$3="","",IF(COUNTIFS(BD!$A$3:$A$5001,AI$3,BD!$B$3:$B$5001,$A$24,BD!$AA$3:$AA$5001,"&lt;&gt;")=0,"",SUMIFS(BD!$AA$3:$AA$5001,BD!$A$3:$A$5001,AI$3,BD!$B$3:$B$5001,$A$24)))</f>
        <v/>
      </c>
      <c r="AJ37" s="207" t="str">
        <f>IF(AJ$3="","",IF(COUNTIFS(BD!$A$3:$A$5001,AJ$3,BD!$B$3:$B$5001,$A$24,BD!$AA$3:$AA$5001,"&lt;&gt;")=0,"",SUMIFS(BD!$AA$3:$AA$5001,BD!$A$3:$A$5001,AJ$3,BD!$B$3:$B$5001,$A$24)))</f>
        <v/>
      </c>
      <c r="AK37" s="208" t="str">
        <f>IF(COUNT(F37:AJ37)=0,"",SUM(F37:AJ37))</f>
        <v/>
      </c>
    </row>
    <row r="38" ht="15.75" customHeight="1">
      <c r="A38" s="227"/>
      <c r="B38" s="224"/>
      <c r="C38" s="202" t="inlineStr">
        <is>
          <t xml:space="preserve">Folga</t>
        </is>
      </c>
      <c r="D38" s="203" t="str">
        <f>IFERROR(1/(1/INDEX(BD!$AK$49:$AT$49,MATCH($A$24,BD!$AK$22:$AT$22,0))),"")</f>
        <v/>
      </c>
      <c r="E38" s="204"/>
      <c r="F38" s="205" t="str">
        <f>IF(F$3="","",IF(COUNTIFS(BD!$A$3:$A$5001,F$3,BD!$B$3:$B$5001,$A$24,BD!$AB$3:$AB$5001,"&lt;&gt;")=0,"",SUMIFS(BD!$AB$3:$AB$5001,BD!$A$3:$A$5001,F$3,BD!$B$3:$B$5001,$A$24)))</f>
        <v/>
      </c>
      <c r="G38" s="206" t="str">
        <f>IF(G$3="","",IF(COUNTIFS(BD!$A$3:$A$5001,G$3,BD!$B$3:$B$5001,$A$24,BD!$AB$3:$AB$5001,"&lt;&gt;")=0,"",SUMIFS(BD!$AB$3:$AB$5001,BD!$A$3:$A$5001,G$3,BD!$B$3:$B$5001,$A$24)))</f>
        <v/>
      </c>
      <c r="H38" s="206" t="str">
        <f>IF(H$3="","",IF(COUNTIFS(BD!$A$3:$A$5001,H$3,BD!$B$3:$B$5001,$A$24,BD!$AB$3:$AB$5001,"&lt;&gt;")=0,"",SUMIFS(BD!$AB$3:$AB$5001,BD!$A$3:$A$5001,H$3,BD!$B$3:$B$5001,$A$24)))</f>
        <v/>
      </c>
      <c r="I38" s="206" t="str">
        <f>IF(I$3="","",IF(COUNTIFS(BD!$A$3:$A$5001,I$3,BD!$B$3:$B$5001,$A$24,BD!$AB$3:$AB$5001,"&lt;&gt;")=0,"",SUMIFS(BD!$AB$3:$AB$5001,BD!$A$3:$A$5001,I$3,BD!$B$3:$B$5001,$A$24)))</f>
        <v/>
      </c>
      <c r="J38" s="206" t="str">
        <f>IF(J$3="","",IF(COUNTIFS(BD!$A$3:$A$5001,J$3,BD!$B$3:$B$5001,$A$24,BD!$AB$3:$AB$5001,"&lt;&gt;")=0,"",SUMIFS(BD!$AB$3:$AB$5001,BD!$A$3:$A$5001,J$3,BD!$B$3:$B$5001,$A$24)))</f>
        <v/>
      </c>
      <c r="K38" s="206" t="str">
        <f>IF(K$3="","",IF(COUNTIFS(BD!$A$3:$A$5001,K$3,BD!$B$3:$B$5001,$A$24,BD!$AB$3:$AB$5001,"&lt;&gt;")=0,"",SUMIFS(BD!$AB$3:$AB$5001,BD!$A$3:$A$5001,K$3,BD!$B$3:$B$5001,$A$24)))</f>
        <v/>
      </c>
      <c r="L38" s="206" t="str">
        <f>IF(L$3="","",IF(COUNTIFS(BD!$A$3:$A$5001,L$3,BD!$B$3:$B$5001,$A$24,BD!$AB$3:$AB$5001,"&lt;&gt;")=0,"",SUMIFS(BD!$AB$3:$AB$5001,BD!$A$3:$A$5001,L$3,BD!$B$3:$B$5001,$A$24)))</f>
        <v/>
      </c>
      <c r="M38" s="206" t="str">
        <f>IF(M$3="","",IF(COUNTIFS(BD!$A$3:$A$5001,M$3,BD!$B$3:$B$5001,$A$24,BD!$AB$3:$AB$5001,"&lt;&gt;")=0,"",SUMIFS(BD!$AB$3:$AB$5001,BD!$A$3:$A$5001,M$3,BD!$B$3:$B$5001,$A$24)))</f>
        <v/>
      </c>
      <c r="N38" s="206" t="str">
        <f>IF(N$3="","",IF(COUNTIFS(BD!$A$3:$A$5001,N$3,BD!$B$3:$B$5001,$A$24,BD!$AB$3:$AB$5001,"&lt;&gt;")=0,"",SUMIFS(BD!$AB$3:$AB$5001,BD!$A$3:$A$5001,N$3,BD!$B$3:$B$5001,$A$24)))</f>
        <v/>
      </c>
      <c r="O38" s="206" t="str">
        <f>IF(O$3="","",IF(COUNTIFS(BD!$A$3:$A$5001,O$3,BD!$B$3:$B$5001,$A$24,BD!$AB$3:$AB$5001,"&lt;&gt;")=0,"",SUMIFS(BD!$AB$3:$AB$5001,BD!$A$3:$A$5001,O$3,BD!$B$3:$B$5001,$A$24)))</f>
        <v/>
      </c>
      <c r="P38" s="206" t="str">
        <f>IF(P$3="","",IF(COUNTIFS(BD!$A$3:$A$5001,P$3,BD!$B$3:$B$5001,$A$24,BD!$AB$3:$AB$5001,"&lt;&gt;")=0,"",SUMIFS(BD!$AB$3:$AB$5001,BD!$A$3:$A$5001,P$3,BD!$B$3:$B$5001,$A$24)))</f>
        <v/>
      </c>
      <c r="Q38" s="206" t="str">
        <f>IF(Q$3="","",IF(COUNTIFS(BD!$A$3:$A$5001,Q$3,BD!$B$3:$B$5001,$A$24,BD!$AB$3:$AB$5001,"&lt;&gt;")=0,"",SUMIFS(BD!$AB$3:$AB$5001,BD!$A$3:$A$5001,Q$3,BD!$B$3:$B$5001,$A$24)))</f>
        <v/>
      </c>
      <c r="R38" s="206" t="str">
        <f>IF(R$3="","",IF(COUNTIFS(BD!$A$3:$A$5001,R$3,BD!$B$3:$B$5001,$A$24,BD!$AB$3:$AB$5001,"&lt;&gt;")=0,"",SUMIFS(BD!$AB$3:$AB$5001,BD!$A$3:$A$5001,R$3,BD!$B$3:$B$5001,$A$24)))</f>
        <v/>
      </c>
      <c r="S38" s="206" t="str">
        <f>IF(S$3="","",IF(COUNTIFS(BD!$A$3:$A$5001,S$3,BD!$B$3:$B$5001,$A$24,BD!$AB$3:$AB$5001,"&lt;&gt;")=0,"",SUMIFS(BD!$AB$3:$AB$5001,BD!$A$3:$A$5001,S$3,BD!$B$3:$B$5001,$A$24)))</f>
        <v/>
      </c>
      <c r="T38" s="206" t="str">
        <f>IF(T$3="","",IF(COUNTIFS(BD!$A$3:$A$5001,T$3,BD!$B$3:$B$5001,$A$24,BD!$AB$3:$AB$5001,"&lt;&gt;")=0,"",SUMIFS(BD!$AB$3:$AB$5001,BD!$A$3:$A$5001,T$3,BD!$B$3:$B$5001,$A$24)))</f>
        <v/>
      </c>
      <c r="U38" s="206" t="str">
        <f>IF(U$3="","",IF(COUNTIFS(BD!$A$3:$A$5001,U$3,BD!$B$3:$B$5001,$A$24,BD!$AB$3:$AB$5001,"&lt;&gt;")=0,"",SUMIFS(BD!$AB$3:$AB$5001,BD!$A$3:$A$5001,U$3,BD!$B$3:$B$5001,$A$24)))</f>
        <v/>
      </c>
      <c r="V38" s="206" t="str">
        <f>IF(V$3="","",IF(COUNTIFS(BD!$A$3:$A$5001,V$3,BD!$B$3:$B$5001,$A$24,BD!$AB$3:$AB$5001,"&lt;&gt;")=0,"",SUMIFS(BD!$AB$3:$AB$5001,BD!$A$3:$A$5001,V$3,BD!$B$3:$B$5001,$A$24)))</f>
        <v/>
      </c>
      <c r="W38" s="206" t="str">
        <f>IF(W$3="","",IF(COUNTIFS(BD!$A$3:$A$5001,W$3,BD!$B$3:$B$5001,$A$24,BD!$AB$3:$AB$5001,"&lt;&gt;")=0,"",SUMIFS(BD!$AB$3:$AB$5001,BD!$A$3:$A$5001,W$3,BD!$B$3:$B$5001,$A$24)))</f>
        <v/>
      </c>
      <c r="X38" s="206" t="str">
        <f>IF(X$3="","",IF(COUNTIFS(BD!$A$3:$A$5001,X$3,BD!$B$3:$B$5001,$A$24,BD!$AB$3:$AB$5001,"&lt;&gt;")=0,"",SUMIFS(BD!$AB$3:$AB$5001,BD!$A$3:$A$5001,X$3,BD!$B$3:$B$5001,$A$24)))</f>
        <v/>
      </c>
      <c r="Y38" s="206" t="str">
        <f>IF(Y$3="","",IF(COUNTIFS(BD!$A$3:$A$5001,Y$3,BD!$B$3:$B$5001,$A$24,BD!$AB$3:$AB$5001,"&lt;&gt;")=0,"",SUMIFS(BD!$AB$3:$AB$5001,BD!$A$3:$A$5001,Y$3,BD!$B$3:$B$5001,$A$24)))</f>
        <v/>
      </c>
      <c r="Z38" s="206" t="str">
        <f>IF(Z$3="","",IF(COUNTIFS(BD!$A$3:$A$5001,Z$3,BD!$B$3:$B$5001,$A$24,BD!$AB$3:$AB$5001,"&lt;&gt;")=0,"",SUMIFS(BD!$AB$3:$AB$5001,BD!$A$3:$A$5001,Z$3,BD!$B$3:$B$5001,$A$24)))</f>
        <v/>
      </c>
      <c r="AA38" s="206" t="str">
        <f>IF(AA$3="","",IF(COUNTIFS(BD!$A$3:$A$5001,AA$3,BD!$B$3:$B$5001,$A$24,BD!$AB$3:$AB$5001,"&lt;&gt;")=0,"",SUMIFS(BD!$AB$3:$AB$5001,BD!$A$3:$A$5001,AA$3,BD!$B$3:$B$5001,$A$24)))</f>
        <v/>
      </c>
      <c r="AB38" s="206" t="str">
        <f>IF(AB$3="","",IF(COUNTIFS(BD!$A$3:$A$5001,AB$3,BD!$B$3:$B$5001,$A$24,BD!$AB$3:$AB$5001,"&lt;&gt;")=0,"",SUMIFS(BD!$AB$3:$AB$5001,BD!$A$3:$A$5001,AB$3,BD!$B$3:$B$5001,$A$24)))</f>
        <v/>
      </c>
      <c r="AC38" s="206" t="str">
        <f>IF(AC$3="","",IF(COUNTIFS(BD!$A$3:$A$5001,AC$3,BD!$B$3:$B$5001,$A$24,BD!$AB$3:$AB$5001,"&lt;&gt;")=0,"",SUMIFS(BD!$AB$3:$AB$5001,BD!$A$3:$A$5001,AC$3,BD!$B$3:$B$5001,$A$24)))</f>
        <v/>
      </c>
      <c r="AD38" s="206" t="str">
        <f>IF(AD$3="","",IF(COUNTIFS(BD!$A$3:$A$5001,AD$3,BD!$B$3:$B$5001,$A$24,BD!$AB$3:$AB$5001,"&lt;&gt;")=0,"",SUMIFS(BD!$AB$3:$AB$5001,BD!$A$3:$A$5001,AD$3,BD!$B$3:$B$5001,$A$24)))</f>
        <v/>
      </c>
      <c r="AE38" s="206" t="str">
        <f>IF(AE$3="","",IF(COUNTIFS(BD!$A$3:$A$5001,AE$3,BD!$B$3:$B$5001,$A$24,BD!$AB$3:$AB$5001,"&lt;&gt;")=0,"",SUMIFS(BD!$AB$3:$AB$5001,BD!$A$3:$A$5001,AE$3,BD!$B$3:$B$5001,$A$24)))</f>
        <v/>
      </c>
      <c r="AF38" s="206" t="str">
        <f>IF(AF$3="","",IF(COUNTIFS(BD!$A$3:$A$5001,AF$3,BD!$B$3:$B$5001,$A$24,BD!$AB$3:$AB$5001,"&lt;&gt;")=0,"",SUMIFS(BD!$AB$3:$AB$5001,BD!$A$3:$A$5001,AF$3,BD!$B$3:$B$5001,$A$24)))</f>
        <v/>
      </c>
      <c r="AG38" s="206" t="str">
        <f>IF(AG$3="","",IF(COUNTIFS(BD!$A$3:$A$5001,AG$3,BD!$B$3:$B$5001,$A$24,BD!$AB$3:$AB$5001,"&lt;&gt;")=0,"",SUMIFS(BD!$AB$3:$AB$5001,BD!$A$3:$A$5001,AG$3,BD!$B$3:$B$5001,$A$24)))</f>
        <v/>
      </c>
      <c r="AH38" s="206" t="str">
        <f>IF(AH$3="","",IF(COUNTIFS(BD!$A$3:$A$5001,AH$3,BD!$B$3:$B$5001,$A$24,BD!$AB$3:$AB$5001,"&lt;&gt;")=0,"",SUMIFS(BD!$AB$3:$AB$5001,BD!$A$3:$A$5001,AH$3,BD!$B$3:$B$5001,$A$24)))</f>
        <v/>
      </c>
      <c r="AI38" s="206" t="str">
        <f>IF(AI$3="","",IF(COUNTIFS(BD!$A$3:$A$5001,AI$3,BD!$B$3:$B$5001,$A$24,BD!$AB$3:$AB$5001,"&lt;&gt;")=0,"",SUMIFS(BD!$AB$3:$AB$5001,BD!$A$3:$A$5001,AI$3,BD!$B$3:$B$5001,$A$24)))</f>
        <v/>
      </c>
      <c r="AJ38" s="207" t="str">
        <f>IF(AJ$3="","",IF(COUNTIFS(BD!$A$3:$A$5001,AJ$3,BD!$B$3:$B$5001,$A$24,BD!$AB$3:$AB$5001,"&lt;&gt;")=0,"",SUMIFS(BD!$AB$3:$AB$5001,BD!$A$3:$A$5001,AJ$3,BD!$B$3:$B$5001,$A$24)))</f>
        <v/>
      </c>
      <c r="AK38" s="208" t="str">
        <f>IF(COUNT(F38:AJ38)=0,"",SUM(F38:AJ38))</f>
        <v/>
      </c>
    </row>
    <row r="39" ht="15.75" customHeight="1">
      <c r="A39" s="227"/>
      <c r="B39" s="224"/>
      <c r="C39" s="202" t="inlineStr">
        <is>
          <t xml:space="preserve">Férias</t>
        </is>
      </c>
      <c r="D39" s="203" t="str">
        <f>IFERROR(1/(1/INDEX(BD!$AK$50:$AT$50,MATCH($A$24,BD!$AK$22:$AT$22,0))),"")</f>
        <v/>
      </c>
      <c r="E39" s="204"/>
      <c r="F39" s="205" t="str">
        <f>IF(F$3="","",IF(COUNTIFS(BD!$A$3:$A$5001,F$3,BD!$B$3:$B$5001,$A$24,BD!$AC$3:$AC$5001,"&lt;&gt;")=0,"",SUMIFS(BD!$AC$3:$AC$5001,BD!$A$3:$A$5001,F$3,BD!$B$3:$B$5001,$A$24)))</f>
        <v/>
      </c>
      <c r="G39" s="206" t="str">
        <f>IF(G$3="","",IF(COUNTIFS(BD!$A$3:$A$5001,G$3,BD!$B$3:$B$5001,$A$24,BD!$AC$3:$AC$5001,"&lt;&gt;")=0,"",SUMIFS(BD!$AC$3:$AC$5001,BD!$A$3:$A$5001,G$3,BD!$B$3:$B$5001,$A$24)))</f>
        <v/>
      </c>
      <c r="H39" s="206" t="str">
        <f>IF(H$3="","",IF(COUNTIFS(BD!$A$3:$A$5001,H$3,BD!$B$3:$B$5001,$A$24,BD!$AC$3:$AC$5001,"&lt;&gt;")=0,"",SUMIFS(BD!$AC$3:$AC$5001,BD!$A$3:$A$5001,H$3,BD!$B$3:$B$5001,$A$24)))</f>
        <v/>
      </c>
      <c r="I39" s="206" t="str">
        <f>IF(I$3="","",IF(COUNTIFS(BD!$A$3:$A$5001,I$3,BD!$B$3:$B$5001,$A$24,BD!$AC$3:$AC$5001,"&lt;&gt;")=0,"",SUMIFS(BD!$AC$3:$AC$5001,BD!$A$3:$A$5001,I$3,BD!$B$3:$B$5001,$A$24)))</f>
        <v/>
      </c>
      <c r="J39" s="206" t="str">
        <f>IF(J$3="","",IF(COUNTIFS(BD!$A$3:$A$5001,J$3,BD!$B$3:$B$5001,$A$24,BD!$AC$3:$AC$5001,"&lt;&gt;")=0,"",SUMIFS(BD!$AC$3:$AC$5001,BD!$A$3:$A$5001,J$3,BD!$B$3:$B$5001,$A$24)))</f>
        <v/>
      </c>
      <c r="K39" s="206" t="str">
        <f>IF(K$3="","",IF(COUNTIFS(BD!$A$3:$A$5001,K$3,BD!$B$3:$B$5001,$A$24,BD!$AC$3:$AC$5001,"&lt;&gt;")=0,"",SUMIFS(BD!$AC$3:$AC$5001,BD!$A$3:$A$5001,K$3,BD!$B$3:$B$5001,$A$24)))</f>
        <v/>
      </c>
      <c r="L39" s="206" t="str">
        <f>IF(L$3="","",IF(COUNTIFS(BD!$A$3:$A$5001,L$3,BD!$B$3:$B$5001,$A$24,BD!$AC$3:$AC$5001,"&lt;&gt;")=0,"",SUMIFS(BD!$AC$3:$AC$5001,BD!$A$3:$A$5001,L$3,BD!$B$3:$B$5001,$A$24)))</f>
        <v/>
      </c>
      <c r="M39" s="206" t="str">
        <f>IF(M$3="","",IF(COUNTIFS(BD!$A$3:$A$5001,M$3,BD!$B$3:$B$5001,$A$24,BD!$AC$3:$AC$5001,"&lt;&gt;")=0,"",SUMIFS(BD!$AC$3:$AC$5001,BD!$A$3:$A$5001,M$3,BD!$B$3:$B$5001,$A$24)))</f>
        <v/>
      </c>
      <c r="N39" s="206" t="str">
        <f>IF(N$3="","",IF(COUNTIFS(BD!$A$3:$A$5001,N$3,BD!$B$3:$B$5001,$A$24,BD!$AC$3:$AC$5001,"&lt;&gt;")=0,"",SUMIFS(BD!$AC$3:$AC$5001,BD!$A$3:$A$5001,N$3,BD!$B$3:$B$5001,$A$24)))</f>
        <v/>
      </c>
      <c r="O39" s="206" t="str">
        <f>IF(O$3="","",IF(COUNTIFS(BD!$A$3:$A$5001,O$3,BD!$B$3:$B$5001,$A$24,BD!$AC$3:$AC$5001,"&lt;&gt;")=0,"",SUMIFS(BD!$AC$3:$AC$5001,BD!$A$3:$A$5001,O$3,BD!$B$3:$B$5001,$A$24)))</f>
        <v/>
      </c>
      <c r="P39" s="206" t="str">
        <f>IF(P$3="","",IF(COUNTIFS(BD!$A$3:$A$5001,P$3,BD!$B$3:$B$5001,$A$24,BD!$AC$3:$AC$5001,"&lt;&gt;")=0,"",SUMIFS(BD!$AC$3:$AC$5001,BD!$A$3:$A$5001,P$3,BD!$B$3:$B$5001,$A$24)))</f>
        <v/>
      </c>
      <c r="Q39" s="206" t="str">
        <f>IF(Q$3="","",IF(COUNTIFS(BD!$A$3:$A$5001,Q$3,BD!$B$3:$B$5001,$A$24,BD!$AC$3:$AC$5001,"&lt;&gt;")=0,"",SUMIFS(BD!$AC$3:$AC$5001,BD!$A$3:$A$5001,Q$3,BD!$B$3:$B$5001,$A$24)))</f>
        <v/>
      </c>
      <c r="R39" s="206" t="str">
        <f>IF(R$3="","",IF(COUNTIFS(BD!$A$3:$A$5001,R$3,BD!$B$3:$B$5001,$A$24,BD!$AC$3:$AC$5001,"&lt;&gt;")=0,"",SUMIFS(BD!$AC$3:$AC$5001,BD!$A$3:$A$5001,R$3,BD!$B$3:$B$5001,$A$24)))</f>
        <v/>
      </c>
      <c r="S39" s="206" t="str">
        <f>IF(S$3="","",IF(COUNTIFS(BD!$A$3:$A$5001,S$3,BD!$B$3:$B$5001,$A$24,BD!$AC$3:$AC$5001,"&lt;&gt;")=0,"",SUMIFS(BD!$AC$3:$AC$5001,BD!$A$3:$A$5001,S$3,BD!$B$3:$B$5001,$A$24)))</f>
        <v/>
      </c>
      <c r="T39" s="206" t="str">
        <f>IF(T$3="","",IF(COUNTIFS(BD!$A$3:$A$5001,T$3,BD!$B$3:$B$5001,$A$24,BD!$AC$3:$AC$5001,"&lt;&gt;")=0,"",SUMIFS(BD!$AC$3:$AC$5001,BD!$A$3:$A$5001,T$3,BD!$B$3:$B$5001,$A$24)))</f>
        <v/>
      </c>
      <c r="U39" s="206" t="str">
        <f>IF(U$3="","",IF(COUNTIFS(BD!$A$3:$A$5001,U$3,BD!$B$3:$B$5001,$A$24,BD!$AC$3:$AC$5001,"&lt;&gt;")=0,"",SUMIFS(BD!$AC$3:$AC$5001,BD!$A$3:$A$5001,U$3,BD!$B$3:$B$5001,$A$24)))</f>
        <v/>
      </c>
      <c r="V39" s="206" t="str">
        <f>IF(V$3="","",IF(COUNTIFS(BD!$A$3:$A$5001,V$3,BD!$B$3:$B$5001,$A$24,BD!$AC$3:$AC$5001,"&lt;&gt;")=0,"",SUMIFS(BD!$AC$3:$AC$5001,BD!$A$3:$A$5001,V$3,BD!$B$3:$B$5001,$A$24)))</f>
        <v/>
      </c>
      <c r="W39" s="206" t="str">
        <f>IF(W$3="","",IF(COUNTIFS(BD!$A$3:$A$5001,W$3,BD!$B$3:$B$5001,$A$24,BD!$AC$3:$AC$5001,"&lt;&gt;")=0,"",SUMIFS(BD!$AC$3:$AC$5001,BD!$A$3:$A$5001,W$3,BD!$B$3:$B$5001,$A$24)))</f>
        <v/>
      </c>
      <c r="X39" s="206" t="str">
        <f>IF(X$3="","",IF(COUNTIFS(BD!$A$3:$A$5001,X$3,BD!$B$3:$B$5001,$A$24,BD!$AC$3:$AC$5001,"&lt;&gt;")=0,"",SUMIFS(BD!$AC$3:$AC$5001,BD!$A$3:$A$5001,X$3,BD!$B$3:$B$5001,$A$24)))</f>
        <v/>
      </c>
      <c r="Y39" s="206" t="str">
        <f>IF(Y$3="","",IF(COUNTIFS(BD!$A$3:$A$5001,Y$3,BD!$B$3:$B$5001,$A$24,BD!$AC$3:$AC$5001,"&lt;&gt;")=0,"",SUMIFS(BD!$AC$3:$AC$5001,BD!$A$3:$A$5001,Y$3,BD!$B$3:$B$5001,$A$24)))</f>
        <v/>
      </c>
      <c r="Z39" s="206" t="str">
        <f>IF(Z$3="","",IF(COUNTIFS(BD!$A$3:$A$5001,Z$3,BD!$B$3:$B$5001,$A$24,BD!$AC$3:$AC$5001,"&lt;&gt;")=0,"",SUMIFS(BD!$AC$3:$AC$5001,BD!$A$3:$A$5001,Z$3,BD!$B$3:$B$5001,$A$24)))</f>
        <v/>
      </c>
      <c r="AA39" s="206" t="str">
        <f>IF(AA$3="","",IF(COUNTIFS(BD!$A$3:$A$5001,AA$3,BD!$B$3:$B$5001,$A$24,BD!$AC$3:$AC$5001,"&lt;&gt;")=0,"",SUMIFS(BD!$AC$3:$AC$5001,BD!$A$3:$A$5001,AA$3,BD!$B$3:$B$5001,$A$24)))</f>
        <v/>
      </c>
      <c r="AB39" s="206" t="str">
        <f>IF(AB$3="","",IF(COUNTIFS(BD!$A$3:$A$5001,AB$3,BD!$B$3:$B$5001,$A$24,BD!$AC$3:$AC$5001,"&lt;&gt;")=0,"",SUMIFS(BD!$AC$3:$AC$5001,BD!$A$3:$A$5001,AB$3,BD!$B$3:$B$5001,$A$24)))</f>
        <v/>
      </c>
      <c r="AC39" s="206" t="str">
        <f>IF(AC$3="","",IF(COUNTIFS(BD!$A$3:$A$5001,AC$3,BD!$B$3:$B$5001,$A$24,BD!$AC$3:$AC$5001,"&lt;&gt;")=0,"",SUMIFS(BD!$AC$3:$AC$5001,BD!$A$3:$A$5001,AC$3,BD!$B$3:$B$5001,$A$24)))</f>
        <v/>
      </c>
      <c r="AD39" s="206" t="str">
        <f>IF(AD$3="","",IF(COUNTIFS(BD!$A$3:$A$5001,AD$3,BD!$B$3:$B$5001,$A$24,BD!$AC$3:$AC$5001,"&lt;&gt;")=0,"",SUMIFS(BD!$AC$3:$AC$5001,BD!$A$3:$A$5001,AD$3,BD!$B$3:$B$5001,$A$24)))</f>
        <v/>
      </c>
      <c r="AE39" s="206" t="str">
        <f>IF(AE$3="","",IF(COUNTIFS(BD!$A$3:$A$5001,AE$3,BD!$B$3:$B$5001,$A$24,BD!$AC$3:$AC$5001,"&lt;&gt;")=0,"",SUMIFS(BD!$AC$3:$AC$5001,BD!$A$3:$A$5001,AE$3,BD!$B$3:$B$5001,$A$24)))</f>
        <v/>
      </c>
      <c r="AF39" s="206" t="str">
        <f>IF(AF$3="","",IF(COUNTIFS(BD!$A$3:$A$5001,AF$3,BD!$B$3:$B$5001,$A$24,BD!$AC$3:$AC$5001,"&lt;&gt;")=0,"",SUMIFS(BD!$AC$3:$AC$5001,BD!$A$3:$A$5001,AF$3,BD!$B$3:$B$5001,$A$24)))</f>
        <v/>
      </c>
      <c r="AG39" s="206" t="str">
        <f>IF(AG$3="","",IF(COUNTIFS(BD!$A$3:$A$5001,AG$3,BD!$B$3:$B$5001,$A$24,BD!$AC$3:$AC$5001,"&lt;&gt;")=0,"",SUMIFS(BD!$AC$3:$AC$5001,BD!$A$3:$A$5001,AG$3,BD!$B$3:$B$5001,$A$24)))</f>
        <v/>
      </c>
      <c r="AH39" s="206" t="str">
        <f>IF(AH$3="","",IF(COUNTIFS(BD!$A$3:$A$5001,AH$3,BD!$B$3:$B$5001,$A$24,BD!$AC$3:$AC$5001,"&lt;&gt;")=0,"",SUMIFS(BD!$AC$3:$AC$5001,BD!$A$3:$A$5001,AH$3,BD!$B$3:$B$5001,$A$24)))</f>
        <v/>
      </c>
      <c r="AI39" s="206" t="str">
        <f>IF(AI$3="","",IF(COUNTIFS(BD!$A$3:$A$5001,AI$3,BD!$B$3:$B$5001,$A$24,BD!$AC$3:$AC$5001,"&lt;&gt;")=0,"",SUMIFS(BD!$AC$3:$AC$5001,BD!$A$3:$A$5001,AI$3,BD!$B$3:$B$5001,$A$24)))</f>
        <v/>
      </c>
      <c r="AJ39" s="207" t="str">
        <f>IF(AJ$3="","",IF(COUNTIFS(BD!$A$3:$A$5001,AJ$3,BD!$B$3:$B$5001,$A$24,BD!$AC$3:$AC$5001,"&lt;&gt;")=0,"",SUMIFS(BD!$AC$3:$AC$5001,BD!$A$3:$A$5001,AJ$3,BD!$B$3:$B$5001,$A$24)))</f>
        <v/>
      </c>
      <c r="AK39" s="208" t="str">
        <f>IF(COUNT(F39:AJ39)=0,"",SUM(F39:AJ39))</f>
        <v/>
      </c>
    </row>
    <row r="40" ht="15.75" customHeight="1">
      <c r="A40" s="227"/>
      <c r="B40" s="224"/>
      <c r="C40" s="202" t="inlineStr">
        <is>
          <t xml:space="preserve">Desligamento</t>
        </is>
      </c>
      <c r="D40" s="203" t="str">
        <f>IFERROR(1/(1/INDEX(BD!$AK$51:$AT$51,MATCH($A$24,BD!$AK$22:$AT$22,0))),"")</f>
        <v/>
      </c>
      <c r="E40" s="204"/>
      <c r="F40" s="205" t="str">
        <f>IF(F$3="","",IF(COUNTIFS(BD!$A$3:$A$5001,F$3,BD!$B$3:$B$5001,$A$24,BD!$AD$3:$AD$5001,"&lt;&gt;")=0,"",SUMIFS(BD!$AD$3:$AD$5001,BD!$A$3:$A$5001,F$3,BD!$B$3:$B$5001,$A$24)))</f>
        <v/>
      </c>
      <c r="G40" s="206" t="str">
        <f>IF(G$3="","",IF(COUNTIFS(BD!$A$3:$A$5001,G$3,BD!$B$3:$B$5001,$A$24,BD!$AD$3:$AD$5001,"&lt;&gt;")=0,"",SUMIFS(BD!$AD$3:$AD$5001,BD!$A$3:$A$5001,G$3,BD!$B$3:$B$5001,$A$24)))</f>
        <v/>
      </c>
      <c r="H40" s="206" t="str">
        <f>IF(H$3="","",IF(COUNTIFS(BD!$A$3:$A$5001,H$3,BD!$B$3:$B$5001,$A$24,BD!$AD$3:$AD$5001,"&lt;&gt;")=0,"",SUMIFS(BD!$AD$3:$AD$5001,BD!$A$3:$A$5001,H$3,BD!$B$3:$B$5001,$A$24)))</f>
        <v/>
      </c>
      <c r="I40" s="206" t="str">
        <f>IF(I$3="","",IF(COUNTIFS(BD!$A$3:$A$5001,I$3,BD!$B$3:$B$5001,$A$24,BD!$AD$3:$AD$5001,"&lt;&gt;")=0,"",SUMIFS(BD!$AD$3:$AD$5001,BD!$A$3:$A$5001,I$3,BD!$B$3:$B$5001,$A$24)))</f>
        <v/>
      </c>
      <c r="J40" s="206" t="str">
        <f>IF(J$3="","",IF(COUNTIFS(BD!$A$3:$A$5001,J$3,BD!$B$3:$B$5001,$A$24,BD!$AD$3:$AD$5001,"&lt;&gt;")=0,"",SUMIFS(BD!$AD$3:$AD$5001,BD!$A$3:$A$5001,J$3,BD!$B$3:$B$5001,$A$24)))</f>
        <v/>
      </c>
      <c r="K40" s="206" t="str">
        <f>IF(K$3="","",IF(COUNTIFS(BD!$A$3:$A$5001,K$3,BD!$B$3:$B$5001,$A$24,BD!$AD$3:$AD$5001,"&lt;&gt;")=0,"",SUMIFS(BD!$AD$3:$AD$5001,BD!$A$3:$A$5001,K$3,BD!$B$3:$B$5001,$A$24)))</f>
        <v/>
      </c>
      <c r="L40" s="206" t="str">
        <f>IF(L$3="","",IF(COUNTIFS(BD!$A$3:$A$5001,L$3,BD!$B$3:$B$5001,$A$24,BD!$AD$3:$AD$5001,"&lt;&gt;")=0,"",SUMIFS(BD!$AD$3:$AD$5001,BD!$A$3:$A$5001,L$3,BD!$B$3:$B$5001,$A$24)))</f>
        <v/>
      </c>
      <c r="M40" s="206" t="str">
        <f>IF(M$3="","",IF(COUNTIFS(BD!$A$3:$A$5001,M$3,BD!$B$3:$B$5001,$A$24,BD!$AD$3:$AD$5001,"&lt;&gt;")=0,"",SUMIFS(BD!$AD$3:$AD$5001,BD!$A$3:$A$5001,M$3,BD!$B$3:$B$5001,$A$24)))</f>
        <v/>
      </c>
      <c r="N40" s="206" t="str">
        <f>IF(N$3="","",IF(COUNTIFS(BD!$A$3:$A$5001,N$3,BD!$B$3:$B$5001,$A$24,BD!$AD$3:$AD$5001,"&lt;&gt;")=0,"",SUMIFS(BD!$AD$3:$AD$5001,BD!$A$3:$A$5001,N$3,BD!$B$3:$B$5001,$A$24)))</f>
        <v/>
      </c>
      <c r="O40" s="206" t="str">
        <f>IF(O$3="","",IF(COUNTIFS(BD!$A$3:$A$5001,O$3,BD!$B$3:$B$5001,$A$24,BD!$AD$3:$AD$5001,"&lt;&gt;")=0,"",SUMIFS(BD!$AD$3:$AD$5001,BD!$A$3:$A$5001,O$3,BD!$B$3:$B$5001,$A$24)))</f>
        <v/>
      </c>
      <c r="P40" s="206" t="str">
        <f>IF(P$3="","",IF(COUNTIFS(BD!$A$3:$A$5001,P$3,BD!$B$3:$B$5001,$A$24,BD!$AD$3:$AD$5001,"&lt;&gt;")=0,"",SUMIFS(BD!$AD$3:$AD$5001,BD!$A$3:$A$5001,P$3,BD!$B$3:$B$5001,$A$24)))</f>
        <v/>
      </c>
      <c r="Q40" s="206" t="str">
        <f>IF(Q$3="","",IF(COUNTIFS(BD!$A$3:$A$5001,Q$3,BD!$B$3:$B$5001,$A$24,BD!$AD$3:$AD$5001,"&lt;&gt;")=0,"",SUMIFS(BD!$AD$3:$AD$5001,BD!$A$3:$A$5001,Q$3,BD!$B$3:$B$5001,$A$24)))</f>
        <v/>
      </c>
      <c r="R40" s="206" t="str">
        <f>IF(R$3="","",IF(COUNTIFS(BD!$A$3:$A$5001,R$3,BD!$B$3:$B$5001,$A$24,BD!$AD$3:$AD$5001,"&lt;&gt;")=0,"",SUMIFS(BD!$AD$3:$AD$5001,BD!$A$3:$A$5001,R$3,BD!$B$3:$B$5001,$A$24)))</f>
        <v/>
      </c>
      <c r="S40" s="206" t="str">
        <f>IF(S$3="","",IF(COUNTIFS(BD!$A$3:$A$5001,S$3,BD!$B$3:$B$5001,$A$24,BD!$AD$3:$AD$5001,"&lt;&gt;")=0,"",SUMIFS(BD!$AD$3:$AD$5001,BD!$A$3:$A$5001,S$3,BD!$B$3:$B$5001,$A$24)))</f>
        <v/>
      </c>
      <c r="T40" s="206" t="str">
        <f>IF(T$3="","",IF(COUNTIFS(BD!$A$3:$A$5001,T$3,BD!$B$3:$B$5001,$A$24,BD!$AD$3:$AD$5001,"&lt;&gt;")=0,"",SUMIFS(BD!$AD$3:$AD$5001,BD!$A$3:$A$5001,T$3,BD!$B$3:$B$5001,$A$24)))</f>
        <v/>
      </c>
      <c r="U40" s="206" t="str">
        <f>IF(U$3="","",IF(COUNTIFS(BD!$A$3:$A$5001,U$3,BD!$B$3:$B$5001,$A$24,BD!$AD$3:$AD$5001,"&lt;&gt;")=0,"",SUMIFS(BD!$AD$3:$AD$5001,BD!$A$3:$A$5001,U$3,BD!$B$3:$B$5001,$A$24)))</f>
        <v/>
      </c>
      <c r="V40" s="206" t="str">
        <f>IF(V$3="","",IF(COUNTIFS(BD!$A$3:$A$5001,V$3,BD!$B$3:$B$5001,$A$24,BD!$AD$3:$AD$5001,"&lt;&gt;")=0,"",SUMIFS(BD!$AD$3:$AD$5001,BD!$A$3:$A$5001,V$3,BD!$B$3:$B$5001,$A$24)))</f>
        <v/>
      </c>
      <c r="W40" s="206" t="str">
        <f>IF(W$3="","",IF(COUNTIFS(BD!$A$3:$A$5001,W$3,BD!$B$3:$B$5001,$A$24,BD!$AD$3:$AD$5001,"&lt;&gt;")=0,"",SUMIFS(BD!$AD$3:$AD$5001,BD!$A$3:$A$5001,W$3,BD!$B$3:$B$5001,$A$24)))</f>
        <v/>
      </c>
      <c r="X40" s="206" t="str">
        <f>IF(X$3="","",IF(COUNTIFS(BD!$A$3:$A$5001,X$3,BD!$B$3:$B$5001,$A$24,BD!$AD$3:$AD$5001,"&lt;&gt;")=0,"",SUMIFS(BD!$AD$3:$AD$5001,BD!$A$3:$A$5001,X$3,BD!$B$3:$B$5001,$A$24)))</f>
        <v/>
      </c>
      <c r="Y40" s="206" t="str">
        <f>IF(Y$3="","",IF(COUNTIFS(BD!$A$3:$A$5001,Y$3,BD!$B$3:$B$5001,$A$24,BD!$AD$3:$AD$5001,"&lt;&gt;")=0,"",SUMIFS(BD!$AD$3:$AD$5001,BD!$A$3:$A$5001,Y$3,BD!$B$3:$B$5001,$A$24)))</f>
        <v/>
      </c>
      <c r="Z40" s="206" t="str">
        <f>IF(Z$3="","",IF(COUNTIFS(BD!$A$3:$A$5001,Z$3,BD!$B$3:$B$5001,$A$24,BD!$AD$3:$AD$5001,"&lt;&gt;")=0,"",SUMIFS(BD!$AD$3:$AD$5001,BD!$A$3:$A$5001,Z$3,BD!$B$3:$B$5001,$A$24)))</f>
        <v/>
      </c>
      <c r="AA40" s="206" t="str">
        <f>IF(AA$3="","",IF(COUNTIFS(BD!$A$3:$A$5001,AA$3,BD!$B$3:$B$5001,$A$24,BD!$AD$3:$AD$5001,"&lt;&gt;")=0,"",SUMIFS(BD!$AD$3:$AD$5001,BD!$A$3:$A$5001,AA$3,BD!$B$3:$B$5001,$A$24)))</f>
        <v/>
      </c>
      <c r="AB40" s="206" t="str">
        <f>IF(AB$3="","",IF(COUNTIFS(BD!$A$3:$A$5001,AB$3,BD!$B$3:$B$5001,$A$24,BD!$AD$3:$AD$5001,"&lt;&gt;")=0,"",SUMIFS(BD!$AD$3:$AD$5001,BD!$A$3:$A$5001,AB$3,BD!$B$3:$B$5001,$A$24)))</f>
        <v/>
      </c>
      <c r="AC40" s="206" t="str">
        <f>IF(AC$3="","",IF(COUNTIFS(BD!$A$3:$A$5001,AC$3,BD!$B$3:$B$5001,$A$24,BD!$AD$3:$AD$5001,"&lt;&gt;")=0,"",SUMIFS(BD!$AD$3:$AD$5001,BD!$A$3:$A$5001,AC$3,BD!$B$3:$B$5001,$A$24)))</f>
        <v/>
      </c>
      <c r="AD40" s="206" t="str">
        <f>IF(AD$3="","",IF(COUNTIFS(BD!$A$3:$A$5001,AD$3,BD!$B$3:$B$5001,$A$24,BD!$AD$3:$AD$5001,"&lt;&gt;")=0,"",SUMIFS(BD!$AD$3:$AD$5001,BD!$A$3:$A$5001,AD$3,BD!$B$3:$B$5001,$A$24)))</f>
        <v/>
      </c>
      <c r="AE40" s="206" t="str">
        <f>IF(AE$3="","",IF(COUNTIFS(BD!$A$3:$A$5001,AE$3,BD!$B$3:$B$5001,$A$24,BD!$AD$3:$AD$5001,"&lt;&gt;")=0,"",SUMIFS(BD!$AD$3:$AD$5001,BD!$A$3:$A$5001,AE$3,BD!$B$3:$B$5001,$A$24)))</f>
        <v/>
      </c>
      <c r="AF40" s="206" t="str">
        <f>IF(AF$3="","",IF(COUNTIFS(BD!$A$3:$A$5001,AF$3,BD!$B$3:$B$5001,$A$24,BD!$AD$3:$AD$5001,"&lt;&gt;")=0,"",SUMIFS(BD!$AD$3:$AD$5001,BD!$A$3:$A$5001,AF$3,BD!$B$3:$B$5001,$A$24)))</f>
        <v/>
      </c>
      <c r="AG40" s="206" t="str">
        <f>IF(AG$3="","",IF(COUNTIFS(BD!$A$3:$A$5001,AG$3,BD!$B$3:$B$5001,$A$24,BD!$AD$3:$AD$5001,"&lt;&gt;")=0,"",SUMIFS(BD!$AD$3:$AD$5001,BD!$A$3:$A$5001,AG$3,BD!$B$3:$B$5001,$A$24)))</f>
        <v/>
      </c>
      <c r="AH40" s="206" t="str">
        <f>IF(AH$3="","",IF(COUNTIFS(BD!$A$3:$A$5001,AH$3,BD!$B$3:$B$5001,$A$24,BD!$AD$3:$AD$5001,"&lt;&gt;")=0,"",SUMIFS(BD!$AD$3:$AD$5001,BD!$A$3:$A$5001,AH$3,BD!$B$3:$B$5001,$A$24)))</f>
        <v/>
      </c>
      <c r="AI40" s="206" t="str">
        <f>IF(AI$3="","",IF(COUNTIFS(BD!$A$3:$A$5001,AI$3,BD!$B$3:$B$5001,$A$24,BD!$AD$3:$AD$5001,"&lt;&gt;")=0,"",SUMIFS(BD!$AD$3:$AD$5001,BD!$A$3:$A$5001,AI$3,BD!$B$3:$B$5001,$A$24)))</f>
        <v/>
      </c>
      <c r="AJ40" s="207" t="str">
        <f>IF(AJ$3="","",IF(COUNTIFS(BD!$A$3:$A$5001,AJ$3,BD!$B$3:$B$5001,$A$24,BD!$AD$3:$AD$5001,"&lt;&gt;")=0,"",SUMIFS(BD!$AD$3:$AD$5001,BD!$A$3:$A$5001,AJ$3,BD!$B$3:$B$5001,$A$24)))</f>
        <v/>
      </c>
      <c r="AK40" s="208" t="str">
        <f>IF(COUNT(F40:AJ40)=0,"",SUM(F40:AJ40))</f>
        <v/>
      </c>
    </row>
    <row r="41" ht="15.75" customHeight="1">
      <c r="A41" s="227"/>
      <c r="B41" s="224"/>
      <c r="C41" s="202" t="inlineStr">
        <is>
          <t xml:space="preserve">Desvios Comportamentais</t>
        </is>
      </c>
      <c r="D41" s="203" t="str">
        <f>IFERROR(1/(1/INDEX(BD!$AK$52:$AT$52,MATCH($A$24,BD!$AK$22:$AT$22,0))),"")</f>
        <v/>
      </c>
      <c r="E41" s="204"/>
      <c r="F41" s="205" t="str">
        <f>IF(F$3="","",IF(COUNTIFS(BD!$A$3:$A$5001,F$3,BD!$B$3:$B$5001,$A$24,BD!$AE$3:$AE$5001,"&lt;&gt;")=0,"",SUMIFS(BD!$AE$3:$AE$5001,BD!$A$3:$A$5001,F$3,BD!$B$3:$B$5001,$A$24)))</f>
        <v/>
      </c>
      <c r="G41" s="206" t="str">
        <f>IF(G$3="","",IF(COUNTIFS(BD!$A$3:$A$5001,G$3,BD!$B$3:$B$5001,$A$24,BD!$AE$3:$AE$5001,"&lt;&gt;")=0,"",SUMIFS(BD!$AE$3:$AE$5001,BD!$A$3:$A$5001,G$3,BD!$B$3:$B$5001,$A$24)))</f>
        <v/>
      </c>
      <c r="H41" s="206" t="str">
        <f>IF(H$3="","",IF(COUNTIFS(BD!$A$3:$A$5001,H$3,BD!$B$3:$B$5001,$A$24,BD!$AE$3:$AE$5001,"&lt;&gt;")=0,"",SUMIFS(BD!$AE$3:$AE$5001,BD!$A$3:$A$5001,H$3,BD!$B$3:$B$5001,$A$24)))</f>
        <v/>
      </c>
      <c r="I41" s="206" t="str">
        <f>IF(I$3="","",IF(COUNTIFS(BD!$A$3:$A$5001,I$3,BD!$B$3:$B$5001,$A$24,BD!$AE$3:$AE$5001,"&lt;&gt;")=0,"",SUMIFS(BD!$AE$3:$AE$5001,BD!$A$3:$A$5001,I$3,BD!$B$3:$B$5001,$A$24)))</f>
        <v/>
      </c>
      <c r="J41" s="206" t="str">
        <f>IF(J$3="","",IF(COUNTIFS(BD!$A$3:$A$5001,J$3,BD!$B$3:$B$5001,$A$24,BD!$AE$3:$AE$5001,"&lt;&gt;")=0,"",SUMIFS(BD!$AE$3:$AE$5001,BD!$A$3:$A$5001,J$3,BD!$B$3:$B$5001,$A$24)))</f>
        <v/>
      </c>
      <c r="K41" s="206" t="str">
        <f>IF(K$3="","",IF(COUNTIFS(BD!$A$3:$A$5001,K$3,BD!$B$3:$B$5001,$A$24,BD!$AE$3:$AE$5001,"&lt;&gt;")=0,"",SUMIFS(BD!$AE$3:$AE$5001,BD!$A$3:$A$5001,K$3,BD!$B$3:$B$5001,$A$24)))</f>
        <v/>
      </c>
      <c r="L41" s="206" t="str">
        <f>IF(L$3="","",IF(COUNTIFS(BD!$A$3:$A$5001,L$3,BD!$B$3:$B$5001,$A$24,BD!$AE$3:$AE$5001,"&lt;&gt;")=0,"",SUMIFS(BD!$AE$3:$AE$5001,BD!$A$3:$A$5001,L$3,BD!$B$3:$B$5001,$A$24)))</f>
        <v/>
      </c>
      <c r="M41" s="206" t="str">
        <f>IF(M$3="","",IF(COUNTIFS(BD!$A$3:$A$5001,M$3,BD!$B$3:$B$5001,$A$24,BD!$AE$3:$AE$5001,"&lt;&gt;")=0,"",SUMIFS(BD!$AE$3:$AE$5001,BD!$A$3:$A$5001,M$3,BD!$B$3:$B$5001,$A$24)))</f>
        <v/>
      </c>
      <c r="N41" s="206" t="str">
        <f>IF(N$3="","",IF(COUNTIFS(BD!$A$3:$A$5001,N$3,BD!$B$3:$B$5001,$A$24,BD!$AE$3:$AE$5001,"&lt;&gt;")=0,"",SUMIFS(BD!$AE$3:$AE$5001,BD!$A$3:$A$5001,N$3,BD!$B$3:$B$5001,$A$24)))</f>
        <v/>
      </c>
      <c r="O41" s="206" t="str">
        <f>IF(O$3="","",IF(COUNTIFS(BD!$A$3:$A$5001,O$3,BD!$B$3:$B$5001,$A$24,BD!$AE$3:$AE$5001,"&lt;&gt;")=0,"",SUMIFS(BD!$AE$3:$AE$5001,BD!$A$3:$A$5001,O$3,BD!$B$3:$B$5001,$A$24)))</f>
        <v/>
      </c>
      <c r="P41" s="206" t="str">
        <f>IF(P$3="","",IF(COUNTIFS(BD!$A$3:$A$5001,P$3,BD!$B$3:$B$5001,$A$24,BD!$AE$3:$AE$5001,"&lt;&gt;")=0,"",SUMIFS(BD!$AE$3:$AE$5001,BD!$A$3:$A$5001,P$3,BD!$B$3:$B$5001,$A$24)))</f>
        <v/>
      </c>
      <c r="Q41" s="206" t="str">
        <f>IF(Q$3="","",IF(COUNTIFS(BD!$A$3:$A$5001,Q$3,BD!$B$3:$B$5001,$A$24,BD!$AE$3:$AE$5001,"&lt;&gt;")=0,"",SUMIFS(BD!$AE$3:$AE$5001,BD!$A$3:$A$5001,Q$3,BD!$B$3:$B$5001,$A$24)))</f>
        <v/>
      </c>
      <c r="R41" s="206" t="str">
        <f>IF(R$3="","",IF(COUNTIFS(BD!$A$3:$A$5001,R$3,BD!$B$3:$B$5001,$A$24,BD!$AE$3:$AE$5001,"&lt;&gt;")=0,"",SUMIFS(BD!$AE$3:$AE$5001,BD!$A$3:$A$5001,R$3,BD!$B$3:$B$5001,$A$24)))</f>
        <v/>
      </c>
      <c r="S41" s="206" t="str">
        <f>IF(S$3="","",IF(COUNTIFS(BD!$A$3:$A$5001,S$3,BD!$B$3:$B$5001,$A$24,BD!$AE$3:$AE$5001,"&lt;&gt;")=0,"",SUMIFS(BD!$AE$3:$AE$5001,BD!$A$3:$A$5001,S$3,BD!$B$3:$B$5001,$A$24)))</f>
        <v/>
      </c>
      <c r="T41" s="206" t="str">
        <f>IF(T$3="","",IF(COUNTIFS(BD!$A$3:$A$5001,T$3,BD!$B$3:$B$5001,$A$24,BD!$AE$3:$AE$5001,"&lt;&gt;")=0,"",SUMIFS(BD!$AE$3:$AE$5001,BD!$A$3:$A$5001,T$3,BD!$B$3:$B$5001,$A$24)))</f>
        <v/>
      </c>
      <c r="U41" s="206" t="str">
        <f>IF(U$3="","",IF(COUNTIFS(BD!$A$3:$A$5001,U$3,BD!$B$3:$B$5001,$A$24,BD!$AE$3:$AE$5001,"&lt;&gt;")=0,"",SUMIFS(BD!$AE$3:$AE$5001,BD!$A$3:$A$5001,U$3,BD!$B$3:$B$5001,$A$24)))</f>
        <v/>
      </c>
      <c r="V41" s="206" t="str">
        <f>IF(V$3="","",IF(COUNTIFS(BD!$A$3:$A$5001,V$3,BD!$B$3:$B$5001,$A$24,BD!$AE$3:$AE$5001,"&lt;&gt;")=0,"",SUMIFS(BD!$AE$3:$AE$5001,BD!$A$3:$A$5001,V$3,BD!$B$3:$B$5001,$A$24)))</f>
        <v/>
      </c>
      <c r="W41" s="206" t="str">
        <f>IF(W$3="","",IF(COUNTIFS(BD!$A$3:$A$5001,W$3,BD!$B$3:$B$5001,$A$24,BD!$AE$3:$AE$5001,"&lt;&gt;")=0,"",SUMIFS(BD!$AE$3:$AE$5001,BD!$A$3:$A$5001,W$3,BD!$B$3:$B$5001,$A$24)))</f>
        <v/>
      </c>
      <c r="X41" s="206" t="str">
        <f>IF(X$3="","",IF(COUNTIFS(BD!$A$3:$A$5001,X$3,BD!$B$3:$B$5001,$A$24,BD!$AE$3:$AE$5001,"&lt;&gt;")=0,"",SUMIFS(BD!$AE$3:$AE$5001,BD!$A$3:$A$5001,X$3,BD!$B$3:$B$5001,$A$24)))</f>
        <v/>
      </c>
      <c r="Y41" s="206" t="str">
        <f>IF(Y$3="","",IF(COUNTIFS(BD!$A$3:$A$5001,Y$3,BD!$B$3:$B$5001,$A$24,BD!$AE$3:$AE$5001,"&lt;&gt;")=0,"",SUMIFS(BD!$AE$3:$AE$5001,BD!$A$3:$A$5001,Y$3,BD!$B$3:$B$5001,$A$24)))</f>
        <v/>
      </c>
      <c r="Z41" s="206" t="str">
        <f>IF(Z$3="","",IF(COUNTIFS(BD!$A$3:$A$5001,Z$3,BD!$B$3:$B$5001,$A$24,BD!$AE$3:$AE$5001,"&lt;&gt;")=0,"",SUMIFS(BD!$AE$3:$AE$5001,BD!$A$3:$A$5001,Z$3,BD!$B$3:$B$5001,$A$24)))</f>
        <v/>
      </c>
      <c r="AA41" s="206" t="str">
        <f>IF(AA$3="","",IF(COUNTIFS(BD!$A$3:$A$5001,AA$3,BD!$B$3:$B$5001,$A$24,BD!$AE$3:$AE$5001,"&lt;&gt;")=0,"",SUMIFS(BD!$AE$3:$AE$5001,BD!$A$3:$A$5001,AA$3,BD!$B$3:$B$5001,$A$24)))</f>
        <v/>
      </c>
      <c r="AB41" s="206" t="str">
        <f>IF(AB$3="","",IF(COUNTIFS(BD!$A$3:$A$5001,AB$3,BD!$B$3:$B$5001,$A$24,BD!$AE$3:$AE$5001,"&lt;&gt;")=0,"",SUMIFS(BD!$AE$3:$AE$5001,BD!$A$3:$A$5001,AB$3,BD!$B$3:$B$5001,$A$24)))</f>
        <v/>
      </c>
      <c r="AC41" s="206" t="str">
        <f>IF(AC$3="","",IF(COUNTIFS(BD!$A$3:$A$5001,AC$3,BD!$B$3:$B$5001,$A$24,BD!$AE$3:$AE$5001,"&lt;&gt;")=0,"",SUMIFS(BD!$AE$3:$AE$5001,BD!$A$3:$A$5001,AC$3,BD!$B$3:$B$5001,$A$24)))</f>
        <v/>
      </c>
      <c r="AD41" s="206" t="str">
        <f>IF(AD$3="","",IF(COUNTIFS(BD!$A$3:$A$5001,AD$3,BD!$B$3:$B$5001,$A$24,BD!$AE$3:$AE$5001,"&lt;&gt;")=0,"",SUMIFS(BD!$AE$3:$AE$5001,BD!$A$3:$A$5001,AD$3,BD!$B$3:$B$5001,$A$24)))</f>
        <v/>
      </c>
      <c r="AE41" s="206" t="str">
        <f>IF(AE$3="","",IF(COUNTIFS(BD!$A$3:$A$5001,AE$3,BD!$B$3:$B$5001,$A$24,BD!$AE$3:$AE$5001,"&lt;&gt;")=0,"",SUMIFS(BD!$AE$3:$AE$5001,BD!$A$3:$A$5001,AE$3,BD!$B$3:$B$5001,$A$24)))</f>
        <v/>
      </c>
      <c r="AF41" s="206" t="str">
        <f>IF(AF$3="","",IF(COUNTIFS(BD!$A$3:$A$5001,AF$3,BD!$B$3:$B$5001,$A$24,BD!$AE$3:$AE$5001,"&lt;&gt;")=0,"",SUMIFS(BD!$AE$3:$AE$5001,BD!$A$3:$A$5001,AF$3,BD!$B$3:$B$5001,$A$24)))</f>
        <v/>
      </c>
      <c r="AG41" s="206" t="str">
        <f>IF(AG$3="","",IF(COUNTIFS(BD!$A$3:$A$5001,AG$3,BD!$B$3:$B$5001,$A$24,BD!$AE$3:$AE$5001,"&lt;&gt;")=0,"",SUMIFS(BD!$AE$3:$AE$5001,BD!$A$3:$A$5001,AG$3,BD!$B$3:$B$5001,$A$24)))</f>
        <v/>
      </c>
      <c r="AH41" s="206" t="str">
        <f>IF(AH$3="","",IF(COUNTIFS(BD!$A$3:$A$5001,AH$3,BD!$B$3:$B$5001,$A$24,BD!$AE$3:$AE$5001,"&lt;&gt;")=0,"",SUMIFS(BD!$AE$3:$AE$5001,BD!$A$3:$A$5001,AH$3,BD!$B$3:$B$5001,$A$24)))</f>
        <v/>
      </c>
      <c r="AI41" s="206" t="str">
        <f>IF(AI$3="","",IF(COUNTIFS(BD!$A$3:$A$5001,AI$3,BD!$B$3:$B$5001,$A$24,BD!$AE$3:$AE$5001,"&lt;&gt;")=0,"",SUMIFS(BD!$AE$3:$AE$5001,BD!$A$3:$A$5001,AI$3,BD!$B$3:$B$5001,$A$24)))</f>
        <v/>
      </c>
      <c r="AJ41" s="207" t="str">
        <f>IF(AJ$3="","",IF(COUNTIFS(BD!$A$3:$A$5001,AJ$3,BD!$B$3:$B$5001,$A$24,BD!$AE$3:$AE$5001,"&lt;&gt;")=0,"",SUMIFS(BD!$AE$3:$AE$5001,BD!$A$3:$A$5001,AJ$3,BD!$B$3:$B$5001,$A$24)))</f>
        <v/>
      </c>
      <c r="AK41" s="208" t="str">
        <f>IF(COUNT(F41:AJ41)=0,"",SUM(F41:AJ41))</f>
        <v/>
      </c>
    </row>
    <row r="42" ht="15.75" customHeight="1">
      <c r="A42" s="227"/>
      <c r="B42" s="224"/>
      <c r="C42" s="202" t="inlineStr">
        <is>
          <t xml:space="preserve">Acidentes CAF</t>
        </is>
      </c>
      <c r="D42" s="203" t="str">
        <f>IFERROR(1/(1/INDEX(BD!$AK$53:$AT$53,MATCH($A$24,BD!$AK$22:$AT$22,0))),"")</f>
        <v/>
      </c>
      <c r="E42" s="204"/>
      <c r="F42" s="205" t="str">
        <f>IF(F$3="","",IF(COUNTIFS(BD!$A$3:$A$5001,F$3,BD!$B$3:$B$5001,$A$24,BD!$AF$3:$AF$5001,"&lt;&gt;")=0,"",SUMIFS(BD!$AF$3:$AF$5001,BD!$A$3:$A$5001,F$3,BD!$B$3:$B$5001,$A$24)))</f>
        <v/>
      </c>
      <c r="G42" s="206" t="str">
        <f>IF(G$3="","",IF(COUNTIFS(BD!$A$3:$A$5001,G$3,BD!$B$3:$B$5001,$A$24,BD!$AF$3:$AF$5001,"&lt;&gt;")=0,"",SUMIFS(BD!$AF$3:$AF$5001,BD!$A$3:$A$5001,G$3,BD!$B$3:$B$5001,$A$24)))</f>
        <v/>
      </c>
      <c r="H42" s="206" t="str">
        <f>IF(H$3="","",IF(COUNTIFS(BD!$A$3:$A$5001,H$3,BD!$B$3:$B$5001,$A$24,BD!$AF$3:$AF$5001,"&lt;&gt;")=0,"",SUMIFS(BD!$AF$3:$AF$5001,BD!$A$3:$A$5001,H$3,BD!$B$3:$B$5001,$A$24)))</f>
        <v/>
      </c>
      <c r="I42" s="206" t="str">
        <f>IF(I$3="","",IF(COUNTIFS(BD!$A$3:$A$5001,I$3,BD!$B$3:$B$5001,$A$24,BD!$AF$3:$AF$5001,"&lt;&gt;")=0,"",SUMIFS(BD!$AF$3:$AF$5001,BD!$A$3:$A$5001,I$3,BD!$B$3:$B$5001,$A$24)))</f>
        <v/>
      </c>
      <c r="J42" s="206" t="str">
        <f>IF(J$3="","",IF(COUNTIFS(BD!$A$3:$A$5001,J$3,BD!$B$3:$B$5001,$A$24,BD!$AF$3:$AF$5001,"&lt;&gt;")=0,"",SUMIFS(BD!$AF$3:$AF$5001,BD!$A$3:$A$5001,J$3,BD!$B$3:$B$5001,$A$24)))</f>
        <v/>
      </c>
      <c r="K42" s="206" t="str">
        <f>IF(K$3="","",IF(COUNTIFS(BD!$A$3:$A$5001,K$3,BD!$B$3:$B$5001,$A$24,BD!$AF$3:$AF$5001,"&lt;&gt;")=0,"",SUMIFS(BD!$AF$3:$AF$5001,BD!$A$3:$A$5001,K$3,BD!$B$3:$B$5001,$A$24)))</f>
        <v/>
      </c>
      <c r="L42" s="206" t="str">
        <f>IF(L$3="","",IF(COUNTIFS(BD!$A$3:$A$5001,L$3,BD!$B$3:$B$5001,$A$24,BD!$AF$3:$AF$5001,"&lt;&gt;")=0,"",SUMIFS(BD!$AF$3:$AF$5001,BD!$A$3:$A$5001,L$3,BD!$B$3:$B$5001,$A$24)))</f>
        <v/>
      </c>
      <c r="M42" s="206" t="str">
        <f>IF(M$3="","",IF(COUNTIFS(BD!$A$3:$A$5001,M$3,BD!$B$3:$B$5001,$A$24,BD!$AF$3:$AF$5001,"&lt;&gt;")=0,"",SUMIFS(BD!$AF$3:$AF$5001,BD!$A$3:$A$5001,M$3,BD!$B$3:$B$5001,$A$24)))</f>
        <v/>
      </c>
      <c r="N42" s="206" t="str">
        <f>IF(N$3="","",IF(COUNTIFS(BD!$A$3:$A$5001,N$3,BD!$B$3:$B$5001,$A$24,BD!$AF$3:$AF$5001,"&lt;&gt;")=0,"",SUMIFS(BD!$AF$3:$AF$5001,BD!$A$3:$A$5001,N$3,BD!$B$3:$B$5001,$A$24)))</f>
        <v/>
      </c>
      <c r="O42" s="206" t="str">
        <f>IF(O$3="","",IF(COUNTIFS(BD!$A$3:$A$5001,O$3,BD!$B$3:$B$5001,$A$24,BD!$AF$3:$AF$5001,"&lt;&gt;")=0,"",SUMIFS(BD!$AF$3:$AF$5001,BD!$A$3:$A$5001,O$3,BD!$B$3:$B$5001,$A$24)))</f>
        <v/>
      </c>
      <c r="P42" s="206" t="str">
        <f>IF(P$3="","",IF(COUNTIFS(BD!$A$3:$A$5001,P$3,BD!$B$3:$B$5001,$A$24,BD!$AF$3:$AF$5001,"&lt;&gt;")=0,"",SUMIFS(BD!$AF$3:$AF$5001,BD!$A$3:$A$5001,P$3,BD!$B$3:$B$5001,$A$24)))</f>
        <v/>
      </c>
      <c r="Q42" s="206" t="str">
        <f>IF(Q$3="","",IF(COUNTIFS(BD!$A$3:$A$5001,Q$3,BD!$B$3:$B$5001,$A$24,BD!$AF$3:$AF$5001,"&lt;&gt;")=0,"",SUMIFS(BD!$AF$3:$AF$5001,BD!$A$3:$A$5001,Q$3,BD!$B$3:$B$5001,$A$24)))</f>
        <v/>
      </c>
      <c r="R42" s="206" t="str">
        <f>IF(R$3="","",IF(COUNTIFS(BD!$A$3:$A$5001,R$3,BD!$B$3:$B$5001,$A$24,BD!$AF$3:$AF$5001,"&lt;&gt;")=0,"",SUMIFS(BD!$AF$3:$AF$5001,BD!$A$3:$A$5001,R$3,BD!$B$3:$B$5001,$A$24)))</f>
        <v/>
      </c>
      <c r="S42" s="206" t="str">
        <f>IF(S$3="","",IF(COUNTIFS(BD!$A$3:$A$5001,S$3,BD!$B$3:$B$5001,$A$24,BD!$AF$3:$AF$5001,"&lt;&gt;")=0,"",SUMIFS(BD!$AF$3:$AF$5001,BD!$A$3:$A$5001,S$3,BD!$B$3:$B$5001,$A$24)))</f>
        <v/>
      </c>
      <c r="T42" s="206" t="str">
        <f>IF(T$3="","",IF(COUNTIFS(BD!$A$3:$A$5001,T$3,BD!$B$3:$B$5001,$A$24,BD!$AF$3:$AF$5001,"&lt;&gt;")=0,"",SUMIFS(BD!$AF$3:$AF$5001,BD!$A$3:$A$5001,T$3,BD!$B$3:$B$5001,$A$24)))</f>
        <v/>
      </c>
      <c r="U42" s="206" t="str">
        <f>IF(U$3="","",IF(COUNTIFS(BD!$A$3:$A$5001,U$3,BD!$B$3:$B$5001,$A$24,BD!$AF$3:$AF$5001,"&lt;&gt;")=0,"",SUMIFS(BD!$AF$3:$AF$5001,BD!$A$3:$A$5001,U$3,BD!$B$3:$B$5001,$A$24)))</f>
        <v/>
      </c>
      <c r="V42" s="206" t="str">
        <f>IF(V$3="","",IF(COUNTIFS(BD!$A$3:$A$5001,V$3,BD!$B$3:$B$5001,$A$24,BD!$AF$3:$AF$5001,"&lt;&gt;")=0,"",SUMIFS(BD!$AF$3:$AF$5001,BD!$A$3:$A$5001,V$3,BD!$B$3:$B$5001,$A$24)))</f>
        <v/>
      </c>
      <c r="W42" s="206" t="str">
        <f>IF(W$3="","",IF(COUNTIFS(BD!$A$3:$A$5001,W$3,BD!$B$3:$B$5001,$A$24,BD!$AF$3:$AF$5001,"&lt;&gt;")=0,"",SUMIFS(BD!$AF$3:$AF$5001,BD!$A$3:$A$5001,W$3,BD!$B$3:$B$5001,$A$24)))</f>
        <v/>
      </c>
      <c r="X42" s="206" t="str">
        <f>IF(X$3="","",IF(COUNTIFS(BD!$A$3:$A$5001,X$3,BD!$B$3:$B$5001,$A$24,BD!$AF$3:$AF$5001,"&lt;&gt;")=0,"",SUMIFS(BD!$AF$3:$AF$5001,BD!$A$3:$A$5001,X$3,BD!$B$3:$B$5001,$A$24)))</f>
        <v/>
      </c>
      <c r="Y42" s="206" t="str">
        <f>IF(Y$3="","",IF(COUNTIFS(BD!$A$3:$A$5001,Y$3,BD!$B$3:$B$5001,$A$24,BD!$AF$3:$AF$5001,"&lt;&gt;")=0,"",SUMIFS(BD!$AF$3:$AF$5001,BD!$A$3:$A$5001,Y$3,BD!$B$3:$B$5001,$A$24)))</f>
        <v/>
      </c>
      <c r="Z42" s="206" t="str">
        <f>IF(Z$3="","",IF(COUNTIFS(BD!$A$3:$A$5001,Z$3,BD!$B$3:$B$5001,$A$24,BD!$AF$3:$AF$5001,"&lt;&gt;")=0,"",SUMIFS(BD!$AF$3:$AF$5001,BD!$A$3:$A$5001,Z$3,BD!$B$3:$B$5001,$A$24)))</f>
        <v/>
      </c>
      <c r="AA42" s="206" t="str">
        <f>IF(AA$3="","",IF(COUNTIFS(BD!$A$3:$A$5001,AA$3,BD!$B$3:$B$5001,$A$24,BD!$AF$3:$AF$5001,"&lt;&gt;")=0,"",SUMIFS(BD!$AF$3:$AF$5001,BD!$A$3:$A$5001,AA$3,BD!$B$3:$B$5001,$A$24)))</f>
        <v/>
      </c>
      <c r="AB42" s="206" t="str">
        <f>IF(AB$3="","",IF(COUNTIFS(BD!$A$3:$A$5001,AB$3,BD!$B$3:$B$5001,$A$24,BD!$AF$3:$AF$5001,"&lt;&gt;")=0,"",SUMIFS(BD!$AF$3:$AF$5001,BD!$A$3:$A$5001,AB$3,BD!$B$3:$B$5001,$A$24)))</f>
        <v/>
      </c>
      <c r="AC42" s="206" t="str">
        <f>IF(AC$3="","",IF(COUNTIFS(BD!$A$3:$A$5001,AC$3,BD!$B$3:$B$5001,$A$24,BD!$AF$3:$AF$5001,"&lt;&gt;")=0,"",SUMIFS(BD!$AF$3:$AF$5001,BD!$A$3:$A$5001,AC$3,BD!$B$3:$B$5001,$A$24)))</f>
        <v/>
      </c>
      <c r="AD42" s="206" t="str">
        <f>IF(AD$3="","",IF(COUNTIFS(BD!$A$3:$A$5001,AD$3,BD!$B$3:$B$5001,$A$24,BD!$AF$3:$AF$5001,"&lt;&gt;")=0,"",SUMIFS(BD!$AF$3:$AF$5001,BD!$A$3:$A$5001,AD$3,BD!$B$3:$B$5001,$A$24)))</f>
        <v/>
      </c>
      <c r="AE42" s="206" t="str">
        <f>IF(AE$3="","",IF(COUNTIFS(BD!$A$3:$A$5001,AE$3,BD!$B$3:$B$5001,$A$24,BD!$AF$3:$AF$5001,"&lt;&gt;")=0,"",SUMIFS(BD!$AF$3:$AF$5001,BD!$A$3:$A$5001,AE$3,BD!$B$3:$B$5001,$A$24)))</f>
        <v/>
      </c>
      <c r="AF42" s="206" t="str">
        <f>IF(AF$3="","",IF(COUNTIFS(BD!$A$3:$A$5001,AF$3,BD!$B$3:$B$5001,$A$24,BD!$AF$3:$AF$5001,"&lt;&gt;")=0,"",SUMIFS(BD!$AF$3:$AF$5001,BD!$A$3:$A$5001,AF$3,BD!$B$3:$B$5001,$A$24)))</f>
        <v/>
      </c>
      <c r="AG42" s="206" t="str">
        <f>IF(AG$3="","",IF(COUNTIFS(BD!$A$3:$A$5001,AG$3,BD!$B$3:$B$5001,$A$24,BD!$AF$3:$AF$5001,"&lt;&gt;")=0,"",SUMIFS(BD!$AF$3:$AF$5001,BD!$A$3:$A$5001,AG$3,BD!$B$3:$B$5001,$A$24)))</f>
        <v/>
      </c>
      <c r="AH42" s="206" t="str">
        <f>IF(AH$3="","",IF(COUNTIFS(BD!$A$3:$A$5001,AH$3,BD!$B$3:$B$5001,$A$24,BD!$AF$3:$AF$5001,"&lt;&gt;")=0,"",SUMIFS(BD!$AF$3:$AF$5001,BD!$A$3:$A$5001,AH$3,BD!$B$3:$B$5001,$A$24)))</f>
        <v/>
      </c>
      <c r="AI42" s="206" t="str">
        <f>IF(AI$3="","",IF(COUNTIFS(BD!$A$3:$A$5001,AI$3,BD!$B$3:$B$5001,$A$24,BD!$AF$3:$AF$5001,"&lt;&gt;")=0,"",SUMIFS(BD!$AF$3:$AF$5001,BD!$A$3:$A$5001,AI$3,BD!$B$3:$B$5001,$A$24)))</f>
        <v/>
      </c>
      <c r="AJ42" s="207" t="str">
        <f>IF(AJ$3="","",IF(COUNTIFS(BD!$A$3:$A$5001,AJ$3,BD!$B$3:$B$5001,$A$24,BD!$AF$3:$AF$5001,"&lt;&gt;")=0,"",SUMIFS(BD!$AF$3:$AF$5001,BD!$A$3:$A$5001,AJ$3,BD!$B$3:$B$5001,$A$24)))</f>
        <v/>
      </c>
      <c r="AK42" s="208" t="str">
        <f>IF(COUNT(F42:AJ42)=0,"",SUM(F42:AJ42))</f>
        <v/>
      </c>
    </row>
    <row r="43" ht="15.75" customHeight="1">
      <c r="A43" s="228"/>
      <c r="B43" s="225"/>
      <c r="C43" s="209" t="inlineStr">
        <is>
          <t xml:space="preserve">Acidentes SAF</t>
        </is>
      </c>
      <c r="D43" s="210" t="str">
        <f>IFERROR(1/(1/INDEX(BD!$AK$54:$AT$54,MATCH($A$24,BD!$AK$22:$AT$22,0))),"")</f>
        <v/>
      </c>
      <c r="E43" s="211"/>
      <c r="F43" s="212" t="str">
        <f>IF(F$3="","",IF(COUNTIFS(BD!$A$3:$A$5001,F$3,BD!$B$3:$B$5001,$A$24,BD!$AG$3:$AG$5001,"&lt;&gt;")=0,"",SUMIFS(BD!$AG$3:$AG$5001,BD!$A$3:$A$5001,F$3,BD!$B$3:$B$5001,$A$24)))</f>
        <v/>
      </c>
      <c r="G43" s="213" t="str">
        <f>IF(G$3="","",IF(COUNTIFS(BD!$A$3:$A$5001,G$3,BD!$B$3:$B$5001,$A$24,BD!$AG$3:$AG$5001,"&lt;&gt;")=0,"",SUMIFS(BD!$AG$3:$AG$5001,BD!$A$3:$A$5001,G$3,BD!$B$3:$B$5001,$A$24)))</f>
        <v/>
      </c>
      <c r="H43" s="213" t="str">
        <f>IF(H$3="","",IF(COUNTIFS(BD!$A$3:$A$5001,H$3,BD!$B$3:$B$5001,$A$24,BD!$AG$3:$AG$5001,"&lt;&gt;")=0,"",SUMIFS(BD!$AG$3:$AG$5001,BD!$A$3:$A$5001,H$3,BD!$B$3:$B$5001,$A$24)))</f>
        <v/>
      </c>
      <c r="I43" s="213" t="str">
        <f>IF(I$3="","",IF(COUNTIFS(BD!$A$3:$A$5001,I$3,BD!$B$3:$B$5001,$A$24,BD!$AG$3:$AG$5001,"&lt;&gt;")=0,"",SUMIFS(BD!$AG$3:$AG$5001,BD!$A$3:$A$5001,I$3,BD!$B$3:$B$5001,$A$24)))</f>
        <v/>
      </c>
      <c r="J43" s="213" t="str">
        <f>IF(J$3="","",IF(COUNTIFS(BD!$A$3:$A$5001,J$3,BD!$B$3:$B$5001,$A$24,BD!$AG$3:$AG$5001,"&lt;&gt;")=0,"",SUMIFS(BD!$AG$3:$AG$5001,BD!$A$3:$A$5001,J$3,BD!$B$3:$B$5001,$A$24)))</f>
        <v/>
      </c>
      <c r="K43" s="213" t="str">
        <f>IF(K$3="","",IF(COUNTIFS(BD!$A$3:$A$5001,K$3,BD!$B$3:$B$5001,$A$24,BD!$AG$3:$AG$5001,"&lt;&gt;")=0,"",SUMIFS(BD!$AG$3:$AG$5001,BD!$A$3:$A$5001,K$3,BD!$B$3:$B$5001,$A$24)))</f>
        <v/>
      </c>
      <c r="L43" s="213" t="str">
        <f>IF(L$3="","",IF(COUNTIFS(BD!$A$3:$A$5001,L$3,BD!$B$3:$B$5001,$A$24,BD!$AG$3:$AG$5001,"&lt;&gt;")=0,"",SUMIFS(BD!$AG$3:$AG$5001,BD!$A$3:$A$5001,L$3,BD!$B$3:$B$5001,$A$24)))</f>
        <v/>
      </c>
      <c r="M43" s="213" t="str">
        <f>IF(M$3="","",IF(COUNTIFS(BD!$A$3:$A$5001,M$3,BD!$B$3:$B$5001,$A$24,BD!$AG$3:$AG$5001,"&lt;&gt;")=0,"",SUMIFS(BD!$AG$3:$AG$5001,BD!$A$3:$A$5001,M$3,BD!$B$3:$B$5001,$A$24)))</f>
        <v/>
      </c>
      <c r="N43" s="213" t="str">
        <f>IF(N$3="","",IF(COUNTIFS(BD!$A$3:$A$5001,N$3,BD!$B$3:$B$5001,$A$24,BD!$AG$3:$AG$5001,"&lt;&gt;")=0,"",SUMIFS(BD!$AG$3:$AG$5001,BD!$A$3:$A$5001,N$3,BD!$B$3:$B$5001,$A$24)))</f>
        <v/>
      </c>
      <c r="O43" s="213" t="str">
        <f>IF(O$3="","",IF(COUNTIFS(BD!$A$3:$A$5001,O$3,BD!$B$3:$B$5001,$A$24,BD!$AG$3:$AG$5001,"&lt;&gt;")=0,"",SUMIFS(BD!$AG$3:$AG$5001,BD!$A$3:$A$5001,O$3,BD!$B$3:$B$5001,$A$24)))</f>
        <v/>
      </c>
      <c r="P43" s="213" t="str">
        <f>IF(P$3="","",IF(COUNTIFS(BD!$A$3:$A$5001,P$3,BD!$B$3:$B$5001,$A$24,BD!$AG$3:$AG$5001,"&lt;&gt;")=0,"",SUMIFS(BD!$AG$3:$AG$5001,BD!$A$3:$A$5001,P$3,BD!$B$3:$B$5001,$A$24)))</f>
        <v/>
      </c>
      <c r="Q43" s="213" t="str">
        <f>IF(Q$3="","",IF(COUNTIFS(BD!$A$3:$A$5001,Q$3,BD!$B$3:$B$5001,$A$24,BD!$AG$3:$AG$5001,"&lt;&gt;")=0,"",SUMIFS(BD!$AG$3:$AG$5001,BD!$A$3:$A$5001,Q$3,BD!$B$3:$B$5001,$A$24)))</f>
        <v/>
      </c>
      <c r="R43" s="213" t="str">
        <f>IF(R$3="","",IF(COUNTIFS(BD!$A$3:$A$5001,R$3,BD!$B$3:$B$5001,$A$24,BD!$AG$3:$AG$5001,"&lt;&gt;")=0,"",SUMIFS(BD!$AG$3:$AG$5001,BD!$A$3:$A$5001,R$3,BD!$B$3:$B$5001,$A$24)))</f>
        <v/>
      </c>
      <c r="S43" s="213" t="str">
        <f>IF(S$3="","",IF(COUNTIFS(BD!$A$3:$A$5001,S$3,BD!$B$3:$B$5001,$A$24,BD!$AG$3:$AG$5001,"&lt;&gt;")=0,"",SUMIFS(BD!$AG$3:$AG$5001,BD!$A$3:$A$5001,S$3,BD!$B$3:$B$5001,$A$24)))</f>
        <v/>
      </c>
      <c r="T43" s="213" t="str">
        <f>IF(T$3="","",IF(COUNTIFS(BD!$A$3:$A$5001,T$3,BD!$B$3:$B$5001,$A$24,BD!$AG$3:$AG$5001,"&lt;&gt;")=0,"",SUMIFS(BD!$AG$3:$AG$5001,BD!$A$3:$A$5001,T$3,BD!$B$3:$B$5001,$A$24)))</f>
        <v/>
      </c>
      <c r="U43" s="213" t="str">
        <f>IF(U$3="","",IF(COUNTIFS(BD!$A$3:$A$5001,U$3,BD!$B$3:$B$5001,$A$24,BD!$AG$3:$AG$5001,"&lt;&gt;")=0,"",SUMIFS(BD!$AG$3:$AG$5001,BD!$A$3:$A$5001,U$3,BD!$B$3:$B$5001,$A$24)))</f>
        <v/>
      </c>
      <c r="V43" s="213" t="str">
        <f>IF(V$3="","",IF(COUNTIFS(BD!$A$3:$A$5001,V$3,BD!$B$3:$B$5001,$A$24,BD!$AG$3:$AG$5001,"&lt;&gt;")=0,"",SUMIFS(BD!$AG$3:$AG$5001,BD!$A$3:$A$5001,V$3,BD!$B$3:$B$5001,$A$24)))</f>
        <v/>
      </c>
      <c r="W43" s="213" t="str">
        <f>IF(W$3="","",IF(COUNTIFS(BD!$A$3:$A$5001,W$3,BD!$B$3:$B$5001,$A$24,BD!$AG$3:$AG$5001,"&lt;&gt;")=0,"",SUMIFS(BD!$AG$3:$AG$5001,BD!$A$3:$A$5001,W$3,BD!$B$3:$B$5001,$A$24)))</f>
        <v/>
      </c>
      <c r="X43" s="213" t="str">
        <f>IF(X$3="","",IF(COUNTIFS(BD!$A$3:$A$5001,X$3,BD!$B$3:$B$5001,$A$24,BD!$AG$3:$AG$5001,"&lt;&gt;")=0,"",SUMIFS(BD!$AG$3:$AG$5001,BD!$A$3:$A$5001,X$3,BD!$B$3:$B$5001,$A$24)))</f>
        <v/>
      </c>
      <c r="Y43" s="213" t="str">
        <f>IF(Y$3="","",IF(COUNTIFS(BD!$A$3:$A$5001,Y$3,BD!$B$3:$B$5001,$A$24,BD!$AG$3:$AG$5001,"&lt;&gt;")=0,"",SUMIFS(BD!$AG$3:$AG$5001,BD!$A$3:$A$5001,Y$3,BD!$B$3:$B$5001,$A$24)))</f>
        <v/>
      </c>
      <c r="Z43" s="213" t="str">
        <f>IF(Z$3="","",IF(COUNTIFS(BD!$A$3:$A$5001,Z$3,BD!$B$3:$B$5001,$A$24,BD!$AG$3:$AG$5001,"&lt;&gt;")=0,"",SUMIFS(BD!$AG$3:$AG$5001,BD!$A$3:$A$5001,Z$3,BD!$B$3:$B$5001,$A$24)))</f>
        <v/>
      </c>
      <c r="AA43" s="213" t="str">
        <f>IF(AA$3="","",IF(COUNTIFS(BD!$A$3:$A$5001,AA$3,BD!$B$3:$B$5001,$A$24,BD!$AG$3:$AG$5001,"&lt;&gt;")=0,"",SUMIFS(BD!$AG$3:$AG$5001,BD!$A$3:$A$5001,AA$3,BD!$B$3:$B$5001,$A$24)))</f>
        <v/>
      </c>
      <c r="AB43" s="213" t="str">
        <f>IF(AB$3="","",IF(COUNTIFS(BD!$A$3:$A$5001,AB$3,BD!$B$3:$B$5001,$A$24,BD!$AG$3:$AG$5001,"&lt;&gt;")=0,"",SUMIFS(BD!$AG$3:$AG$5001,BD!$A$3:$A$5001,AB$3,BD!$B$3:$B$5001,$A$24)))</f>
        <v/>
      </c>
      <c r="AC43" s="213" t="str">
        <f>IF(AC$3="","",IF(COUNTIFS(BD!$A$3:$A$5001,AC$3,BD!$B$3:$B$5001,$A$24,BD!$AG$3:$AG$5001,"&lt;&gt;")=0,"",SUMIFS(BD!$AG$3:$AG$5001,BD!$A$3:$A$5001,AC$3,BD!$B$3:$B$5001,$A$24)))</f>
        <v/>
      </c>
      <c r="AD43" s="213" t="str">
        <f>IF(AD$3="","",IF(COUNTIFS(BD!$A$3:$A$5001,AD$3,BD!$B$3:$B$5001,$A$24,BD!$AG$3:$AG$5001,"&lt;&gt;")=0,"",SUMIFS(BD!$AG$3:$AG$5001,BD!$A$3:$A$5001,AD$3,BD!$B$3:$B$5001,$A$24)))</f>
        <v/>
      </c>
      <c r="AE43" s="213" t="str">
        <f>IF(AE$3="","",IF(COUNTIFS(BD!$A$3:$A$5001,AE$3,BD!$B$3:$B$5001,$A$24,BD!$AG$3:$AG$5001,"&lt;&gt;")=0,"",SUMIFS(BD!$AG$3:$AG$5001,BD!$A$3:$A$5001,AE$3,BD!$B$3:$B$5001,$A$24)))</f>
        <v/>
      </c>
      <c r="AF43" s="213" t="str">
        <f>IF(AF$3="","",IF(COUNTIFS(BD!$A$3:$A$5001,AF$3,BD!$B$3:$B$5001,$A$24,BD!$AG$3:$AG$5001,"&lt;&gt;")=0,"",SUMIFS(BD!$AG$3:$AG$5001,BD!$A$3:$A$5001,AF$3,BD!$B$3:$B$5001,$A$24)))</f>
        <v/>
      </c>
      <c r="AG43" s="213" t="str">
        <f>IF(AG$3="","",IF(COUNTIFS(BD!$A$3:$A$5001,AG$3,BD!$B$3:$B$5001,$A$24,BD!$AG$3:$AG$5001,"&lt;&gt;")=0,"",SUMIFS(BD!$AG$3:$AG$5001,BD!$A$3:$A$5001,AG$3,BD!$B$3:$B$5001,$A$24)))</f>
        <v/>
      </c>
      <c r="AH43" s="213" t="str">
        <f>IF(AH$3="","",IF(COUNTIFS(BD!$A$3:$A$5001,AH$3,BD!$B$3:$B$5001,$A$24,BD!$AG$3:$AG$5001,"&lt;&gt;")=0,"",SUMIFS(BD!$AG$3:$AG$5001,BD!$A$3:$A$5001,AH$3,BD!$B$3:$B$5001,$A$24)))</f>
        <v/>
      </c>
      <c r="AI43" s="213" t="str">
        <f>IF(AI$3="","",IF(COUNTIFS(BD!$A$3:$A$5001,AI$3,BD!$B$3:$B$5001,$A$24,BD!$AG$3:$AG$5001,"&lt;&gt;")=0,"",SUMIFS(BD!$AG$3:$AG$5001,BD!$A$3:$A$5001,AI$3,BD!$B$3:$B$5001,$A$24)))</f>
        <v/>
      </c>
      <c r="AJ43" s="214" t="str">
        <f>IF(AJ$3="","",IF(COUNTIFS(BD!$A$3:$A$5001,AJ$3,BD!$B$3:$B$5001,$A$24,BD!$AG$3:$AG$5001,"&lt;&gt;")=0,"",SUMIFS(BD!$AG$3:$AG$5001,BD!$A$3:$A$5001,AJ$3,BD!$B$3:$B$5001,$A$24)))</f>
        <v/>
      </c>
      <c r="AK43" s="210" t="str">
        <f>IF(COUNT(F43:AJ43)=0,"",SUM(F43:AJ43))</f>
        <v/>
      </c>
    </row>
    <row r="45" ht="15.75" customHeight="1">
      <c r="A45" s="226" t="inlineStr">
        <is>
          <t xml:space="preserve">Beautybiz</t>
        </is>
      </c>
      <c r="B45" s="215" t="inlineStr">
        <is>
          <t xml:space="preserve">IN</t>
        </is>
      </c>
      <c r="C45" s="138" t="inlineStr">
        <is>
          <t xml:space="preserve">Veículos Recebidos</t>
        </is>
      </c>
      <c r="D45" s="139" t="str">
        <f>IFERROR(1/(1/INDEX(BD!$AK$23:$AT$23,MATCH($A$45,BD!$AK$22:$AT$22,0))),"")</f>
        <v/>
      </c>
      <c r="E45" s="140"/>
      <c r="F45" s="141" t="str">
        <f>IF(F$3="","",IF(COUNTIFS(BD!$A$3:$A$5001,F$3,BD!$B$3:$B$5001,$A$45,BD!$C$3:$C$5001,"&lt;&gt;")=0,"",SUMIFS(BD!$C$3:$C$5001,BD!$A$3:$A$5001,F$3,BD!$B$3:$B$5001,$A$45)))</f>
        <v/>
      </c>
      <c r="G45" s="142" t="str">
        <f>IF(G$3="","",IF(COUNTIFS(BD!$A$3:$A$5001,G$3,BD!$B$3:$B$5001,$A$45,BD!$C$3:$C$5001,"&lt;&gt;")=0,"",SUMIFS(BD!$C$3:$C$5001,BD!$A$3:$A$5001,G$3,BD!$B$3:$B$5001,$A$45)))</f>
        <v/>
      </c>
      <c r="H45" s="142" t="str">
        <f>IF(H$3="","",IF(COUNTIFS(BD!$A$3:$A$5001,H$3,BD!$B$3:$B$5001,$A$45,BD!$C$3:$C$5001,"&lt;&gt;")=0,"",SUMIFS(BD!$C$3:$C$5001,BD!$A$3:$A$5001,H$3,BD!$B$3:$B$5001,$A$45)))</f>
        <v/>
      </c>
      <c r="I45" s="142" t="str">
        <f>IF(I$3="","",IF(COUNTIFS(BD!$A$3:$A$5001,I$3,BD!$B$3:$B$5001,$A$45,BD!$C$3:$C$5001,"&lt;&gt;")=0,"",SUMIFS(BD!$C$3:$C$5001,BD!$A$3:$A$5001,I$3,BD!$B$3:$B$5001,$A$45)))</f>
        <v/>
      </c>
      <c r="J45" s="142" t="str">
        <f>IF(J$3="","",IF(COUNTIFS(BD!$A$3:$A$5001,J$3,BD!$B$3:$B$5001,$A$45,BD!$C$3:$C$5001,"&lt;&gt;")=0,"",SUMIFS(BD!$C$3:$C$5001,BD!$A$3:$A$5001,J$3,BD!$B$3:$B$5001,$A$45)))</f>
        <v/>
      </c>
      <c r="K45" s="142" t="str">
        <f>IF(K$3="","",IF(COUNTIFS(BD!$A$3:$A$5001,K$3,BD!$B$3:$B$5001,$A$45,BD!$C$3:$C$5001,"&lt;&gt;")=0,"",SUMIFS(BD!$C$3:$C$5001,BD!$A$3:$A$5001,K$3,BD!$B$3:$B$5001,$A$45)))</f>
        <v/>
      </c>
      <c r="L45" s="142" t="str">
        <f>IF(L$3="","",IF(COUNTIFS(BD!$A$3:$A$5001,L$3,BD!$B$3:$B$5001,$A$45,BD!$C$3:$C$5001,"&lt;&gt;")=0,"",SUMIFS(BD!$C$3:$C$5001,BD!$A$3:$A$5001,L$3,BD!$B$3:$B$5001,$A$45)))</f>
        <v/>
      </c>
      <c r="M45" s="142" t="str">
        <f>IF(M$3="","",IF(COUNTIFS(BD!$A$3:$A$5001,M$3,BD!$B$3:$B$5001,$A$45,BD!$C$3:$C$5001,"&lt;&gt;")=0,"",SUMIFS(BD!$C$3:$C$5001,BD!$A$3:$A$5001,M$3,BD!$B$3:$B$5001,$A$45)))</f>
        <v/>
      </c>
      <c r="N45" s="142" t="str">
        <f>IF(N$3="","",IF(COUNTIFS(BD!$A$3:$A$5001,N$3,BD!$B$3:$B$5001,$A$45,BD!$C$3:$C$5001,"&lt;&gt;")=0,"",SUMIFS(BD!$C$3:$C$5001,BD!$A$3:$A$5001,N$3,BD!$B$3:$B$5001,$A$45)))</f>
        <v/>
      </c>
      <c r="O45" s="142" t="str">
        <f>IF(O$3="","",IF(COUNTIFS(BD!$A$3:$A$5001,O$3,BD!$B$3:$B$5001,$A$45,BD!$C$3:$C$5001,"&lt;&gt;")=0,"",SUMIFS(BD!$C$3:$C$5001,BD!$A$3:$A$5001,O$3,BD!$B$3:$B$5001,$A$45)))</f>
        <v/>
      </c>
      <c r="P45" s="142" t="str">
        <f>IF(P$3="","",IF(COUNTIFS(BD!$A$3:$A$5001,P$3,BD!$B$3:$B$5001,$A$45,BD!$C$3:$C$5001,"&lt;&gt;")=0,"",SUMIFS(BD!$C$3:$C$5001,BD!$A$3:$A$5001,P$3,BD!$B$3:$B$5001,$A$45)))</f>
        <v/>
      </c>
      <c r="Q45" s="142" t="str">
        <f>IF(Q$3="","",IF(COUNTIFS(BD!$A$3:$A$5001,Q$3,BD!$B$3:$B$5001,$A$45,BD!$C$3:$C$5001,"&lt;&gt;")=0,"",SUMIFS(BD!$C$3:$C$5001,BD!$A$3:$A$5001,Q$3,BD!$B$3:$B$5001,$A$45)))</f>
        <v/>
      </c>
      <c r="R45" s="142" t="str">
        <f>IF(R$3="","",IF(COUNTIFS(BD!$A$3:$A$5001,R$3,BD!$B$3:$B$5001,$A$45,BD!$C$3:$C$5001,"&lt;&gt;")=0,"",SUMIFS(BD!$C$3:$C$5001,BD!$A$3:$A$5001,R$3,BD!$B$3:$B$5001,$A$45)))</f>
        <v/>
      </c>
      <c r="S45" s="142" t="str">
        <f>IF(S$3="","",IF(COUNTIFS(BD!$A$3:$A$5001,S$3,BD!$B$3:$B$5001,$A$45,BD!$C$3:$C$5001,"&lt;&gt;")=0,"",SUMIFS(BD!$C$3:$C$5001,BD!$A$3:$A$5001,S$3,BD!$B$3:$B$5001,$A$45)))</f>
        <v/>
      </c>
      <c r="T45" s="142" t="str">
        <f>IF(T$3="","",IF(COUNTIFS(BD!$A$3:$A$5001,T$3,BD!$B$3:$B$5001,$A$45,BD!$C$3:$C$5001,"&lt;&gt;")=0,"",SUMIFS(BD!$C$3:$C$5001,BD!$A$3:$A$5001,T$3,BD!$B$3:$B$5001,$A$45)))</f>
        <v/>
      </c>
      <c r="U45" s="142" t="str">
        <f>IF(U$3="","",IF(COUNTIFS(BD!$A$3:$A$5001,U$3,BD!$B$3:$B$5001,$A$45,BD!$C$3:$C$5001,"&lt;&gt;")=0,"",SUMIFS(BD!$C$3:$C$5001,BD!$A$3:$A$5001,U$3,BD!$B$3:$B$5001,$A$45)))</f>
        <v/>
      </c>
      <c r="V45" s="142" t="str">
        <f>IF(V$3="","",IF(COUNTIFS(BD!$A$3:$A$5001,V$3,BD!$B$3:$B$5001,$A$45,BD!$C$3:$C$5001,"&lt;&gt;")=0,"",SUMIFS(BD!$C$3:$C$5001,BD!$A$3:$A$5001,V$3,BD!$B$3:$B$5001,$A$45)))</f>
        <v/>
      </c>
      <c r="W45" s="142" t="str">
        <f>IF(W$3="","",IF(COUNTIFS(BD!$A$3:$A$5001,W$3,BD!$B$3:$B$5001,$A$45,BD!$C$3:$C$5001,"&lt;&gt;")=0,"",SUMIFS(BD!$C$3:$C$5001,BD!$A$3:$A$5001,W$3,BD!$B$3:$B$5001,$A$45)))</f>
        <v/>
      </c>
      <c r="X45" s="142" t="str">
        <f>IF(X$3="","",IF(COUNTIFS(BD!$A$3:$A$5001,X$3,BD!$B$3:$B$5001,$A$45,BD!$C$3:$C$5001,"&lt;&gt;")=0,"",SUMIFS(BD!$C$3:$C$5001,BD!$A$3:$A$5001,X$3,BD!$B$3:$B$5001,$A$45)))</f>
        <v/>
      </c>
      <c r="Y45" s="142" t="str">
        <f>IF(Y$3="","",IF(COUNTIFS(BD!$A$3:$A$5001,Y$3,BD!$B$3:$B$5001,$A$45,BD!$C$3:$C$5001,"&lt;&gt;")=0,"",SUMIFS(BD!$C$3:$C$5001,BD!$A$3:$A$5001,Y$3,BD!$B$3:$B$5001,$A$45)))</f>
        <v/>
      </c>
      <c r="Z45" s="142" t="str">
        <f>IF(Z$3="","",IF(COUNTIFS(BD!$A$3:$A$5001,Z$3,BD!$B$3:$B$5001,$A$45,BD!$C$3:$C$5001,"&lt;&gt;")=0,"",SUMIFS(BD!$C$3:$C$5001,BD!$A$3:$A$5001,Z$3,BD!$B$3:$B$5001,$A$45)))</f>
        <v/>
      </c>
      <c r="AA45" s="142" t="str">
        <f>IF(AA$3="","",IF(COUNTIFS(BD!$A$3:$A$5001,AA$3,BD!$B$3:$B$5001,$A$45,BD!$C$3:$C$5001,"&lt;&gt;")=0,"",SUMIFS(BD!$C$3:$C$5001,BD!$A$3:$A$5001,AA$3,BD!$B$3:$B$5001,$A$45)))</f>
        <v/>
      </c>
      <c r="AB45" s="142" t="str">
        <f>IF(AB$3="","",IF(COUNTIFS(BD!$A$3:$A$5001,AB$3,BD!$B$3:$B$5001,$A$45,BD!$C$3:$C$5001,"&lt;&gt;")=0,"",SUMIFS(BD!$C$3:$C$5001,BD!$A$3:$A$5001,AB$3,BD!$B$3:$B$5001,$A$45)))</f>
        <v/>
      </c>
      <c r="AC45" s="142" t="str">
        <f>IF(AC$3="","",IF(COUNTIFS(BD!$A$3:$A$5001,AC$3,BD!$B$3:$B$5001,$A$45,BD!$C$3:$C$5001,"&lt;&gt;")=0,"",SUMIFS(BD!$C$3:$C$5001,BD!$A$3:$A$5001,AC$3,BD!$B$3:$B$5001,$A$45)))</f>
        <v/>
      </c>
      <c r="AD45" s="142" t="str">
        <f>IF(AD$3="","",IF(COUNTIFS(BD!$A$3:$A$5001,AD$3,BD!$B$3:$B$5001,$A$45,BD!$C$3:$C$5001,"&lt;&gt;")=0,"",SUMIFS(BD!$C$3:$C$5001,BD!$A$3:$A$5001,AD$3,BD!$B$3:$B$5001,$A$45)))</f>
        <v/>
      </c>
      <c r="AE45" s="142" t="str">
        <f>IF(AE$3="","",IF(COUNTIFS(BD!$A$3:$A$5001,AE$3,BD!$B$3:$B$5001,$A$45,BD!$C$3:$C$5001,"&lt;&gt;")=0,"",SUMIFS(BD!$C$3:$C$5001,BD!$A$3:$A$5001,AE$3,BD!$B$3:$B$5001,$A$45)))</f>
        <v/>
      </c>
      <c r="AF45" s="142" t="str">
        <f>IF(AF$3="","",IF(COUNTIFS(BD!$A$3:$A$5001,AF$3,BD!$B$3:$B$5001,$A$45,BD!$C$3:$C$5001,"&lt;&gt;")=0,"",SUMIFS(BD!$C$3:$C$5001,BD!$A$3:$A$5001,AF$3,BD!$B$3:$B$5001,$A$45)))</f>
        <v/>
      </c>
      <c r="AG45" s="142" t="str">
        <f>IF(AG$3="","",IF(COUNTIFS(BD!$A$3:$A$5001,AG$3,BD!$B$3:$B$5001,$A$45,BD!$C$3:$C$5001,"&lt;&gt;")=0,"",SUMIFS(BD!$C$3:$C$5001,BD!$A$3:$A$5001,AG$3,BD!$B$3:$B$5001,$A$45)))</f>
        <v/>
      </c>
      <c r="AH45" s="142" t="str">
        <f>IF(AH$3="","",IF(COUNTIFS(BD!$A$3:$A$5001,AH$3,BD!$B$3:$B$5001,$A$45,BD!$C$3:$C$5001,"&lt;&gt;")=0,"",SUMIFS(BD!$C$3:$C$5001,BD!$A$3:$A$5001,AH$3,BD!$B$3:$B$5001,$A$45)))</f>
        <v/>
      </c>
      <c r="AI45" s="142" t="str">
        <f>IF(AI$3="","",IF(COUNTIFS(BD!$A$3:$A$5001,AI$3,BD!$B$3:$B$5001,$A$45,BD!$C$3:$C$5001,"&lt;&gt;")=0,"",SUMIFS(BD!$C$3:$C$5001,BD!$A$3:$A$5001,AI$3,BD!$B$3:$B$5001,$A$45)))</f>
        <v/>
      </c>
      <c r="AJ45" s="143" t="str">
        <f>IF(AJ$3="","",IF(COUNTIFS(BD!$A$3:$A$5001,AJ$3,BD!$B$3:$B$5001,$A$45,BD!$C$3:$C$5001,"&lt;&gt;")=0,"",SUMIFS(BD!$C$3:$C$5001,BD!$A$3:$A$5001,AJ$3,BD!$B$3:$B$5001,$A$45)))</f>
        <v/>
      </c>
      <c r="AK45" s="144" t="str">
        <f>IF(COUNT(F45:AJ45)=0,"",SUM(F45:AJ45))</f>
        <v/>
      </c>
    </row>
    <row r="46" ht="15.75" customHeight="1">
      <c r="A46" s="227"/>
      <c r="B46" s="222"/>
      <c r="C46" s="184" t="inlineStr">
        <is>
          <t xml:space="preserve">Pallets Movimentados</t>
        </is>
      </c>
      <c r="D46" s="185" t="str">
        <f>IFERROR(1/(1/INDEX(BD!$AK$24:$AT$24,MATCH($A$45,BD!$AK$22:$AT$22,0))),"")</f>
        <v/>
      </c>
      <c r="E46" s="186"/>
      <c r="F46" s="187" t="str">
        <f>IF(F$3="","",IF(COUNTIFS(BD!$A$3:$A$5001,F$3,BD!$B$3:$B$5001,$A$45,BD!$D$3:$D$5001,"&lt;&gt;")=0,"",SUMIFS(BD!$D$3:$D$5001,BD!$A$3:$A$5001,F$3,BD!$B$3:$B$5001,$A$45)))</f>
        <v/>
      </c>
      <c r="G46" s="188" t="str">
        <f>IF(G$3="","",IF(COUNTIFS(BD!$A$3:$A$5001,G$3,BD!$B$3:$B$5001,$A$45,BD!$D$3:$D$5001,"&lt;&gt;")=0,"",SUMIFS(BD!$D$3:$D$5001,BD!$A$3:$A$5001,G$3,BD!$B$3:$B$5001,$A$45)))</f>
        <v/>
      </c>
      <c r="H46" s="188" t="str">
        <f>IF(H$3="","",IF(COUNTIFS(BD!$A$3:$A$5001,H$3,BD!$B$3:$B$5001,$A$45,BD!$D$3:$D$5001,"&lt;&gt;")=0,"",SUMIFS(BD!$D$3:$D$5001,BD!$A$3:$A$5001,H$3,BD!$B$3:$B$5001,$A$45)))</f>
        <v/>
      </c>
      <c r="I46" s="188" t="str">
        <f>IF(I$3="","",IF(COUNTIFS(BD!$A$3:$A$5001,I$3,BD!$B$3:$B$5001,$A$45,BD!$D$3:$D$5001,"&lt;&gt;")=0,"",SUMIFS(BD!$D$3:$D$5001,BD!$A$3:$A$5001,I$3,BD!$B$3:$B$5001,$A$45)))</f>
        <v/>
      </c>
      <c r="J46" s="188" t="str">
        <f>IF(J$3="","",IF(COUNTIFS(BD!$A$3:$A$5001,J$3,BD!$B$3:$B$5001,$A$45,BD!$D$3:$D$5001,"&lt;&gt;")=0,"",SUMIFS(BD!$D$3:$D$5001,BD!$A$3:$A$5001,J$3,BD!$B$3:$B$5001,$A$45)))</f>
        <v/>
      </c>
      <c r="K46" s="188" t="str">
        <f>IF(K$3="","",IF(COUNTIFS(BD!$A$3:$A$5001,K$3,BD!$B$3:$B$5001,$A$45,BD!$D$3:$D$5001,"&lt;&gt;")=0,"",SUMIFS(BD!$D$3:$D$5001,BD!$A$3:$A$5001,K$3,BD!$B$3:$B$5001,$A$45)))</f>
        <v/>
      </c>
      <c r="L46" s="188" t="str">
        <f>IF(L$3="","",IF(COUNTIFS(BD!$A$3:$A$5001,L$3,BD!$B$3:$B$5001,$A$45,BD!$D$3:$D$5001,"&lt;&gt;")=0,"",SUMIFS(BD!$D$3:$D$5001,BD!$A$3:$A$5001,L$3,BD!$B$3:$B$5001,$A$45)))</f>
        <v/>
      </c>
      <c r="M46" s="188" t="str">
        <f>IF(M$3="","",IF(COUNTIFS(BD!$A$3:$A$5001,M$3,BD!$B$3:$B$5001,$A$45,BD!$D$3:$D$5001,"&lt;&gt;")=0,"",SUMIFS(BD!$D$3:$D$5001,BD!$A$3:$A$5001,M$3,BD!$B$3:$B$5001,$A$45)))</f>
        <v/>
      </c>
      <c r="N46" s="188" t="str">
        <f>IF(N$3="","",IF(COUNTIFS(BD!$A$3:$A$5001,N$3,BD!$B$3:$B$5001,$A$45,BD!$D$3:$D$5001,"&lt;&gt;")=0,"",SUMIFS(BD!$D$3:$D$5001,BD!$A$3:$A$5001,N$3,BD!$B$3:$B$5001,$A$45)))</f>
        <v/>
      </c>
      <c r="O46" s="188" t="str">
        <f>IF(O$3="","",IF(COUNTIFS(BD!$A$3:$A$5001,O$3,BD!$B$3:$B$5001,$A$45,BD!$D$3:$D$5001,"&lt;&gt;")=0,"",SUMIFS(BD!$D$3:$D$5001,BD!$A$3:$A$5001,O$3,BD!$B$3:$B$5001,$A$45)))</f>
        <v/>
      </c>
      <c r="P46" s="188" t="str">
        <f>IF(P$3="","",IF(COUNTIFS(BD!$A$3:$A$5001,P$3,BD!$B$3:$B$5001,$A$45,BD!$D$3:$D$5001,"&lt;&gt;")=0,"",SUMIFS(BD!$D$3:$D$5001,BD!$A$3:$A$5001,P$3,BD!$B$3:$B$5001,$A$45)))</f>
        <v/>
      </c>
      <c r="Q46" s="188" t="str">
        <f>IF(Q$3="","",IF(COUNTIFS(BD!$A$3:$A$5001,Q$3,BD!$B$3:$B$5001,$A$45,BD!$D$3:$D$5001,"&lt;&gt;")=0,"",SUMIFS(BD!$D$3:$D$5001,BD!$A$3:$A$5001,Q$3,BD!$B$3:$B$5001,$A$45)))</f>
        <v/>
      </c>
      <c r="R46" s="188" t="str">
        <f>IF(R$3="","",IF(COUNTIFS(BD!$A$3:$A$5001,R$3,BD!$B$3:$B$5001,$A$45,BD!$D$3:$D$5001,"&lt;&gt;")=0,"",SUMIFS(BD!$D$3:$D$5001,BD!$A$3:$A$5001,R$3,BD!$B$3:$B$5001,$A$45)))</f>
        <v/>
      </c>
      <c r="S46" s="188" t="str">
        <f>IF(S$3="","",IF(COUNTIFS(BD!$A$3:$A$5001,S$3,BD!$B$3:$B$5001,$A$45,BD!$D$3:$D$5001,"&lt;&gt;")=0,"",SUMIFS(BD!$D$3:$D$5001,BD!$A$3:$A$5001,S$3,BD!$B$3:$B$5001,$A$45)))</f>
        <v/>
      </c>
      <c r="T46" s="188" t="str">
        <f>IF(T$3="","",IF(COUNTIFS(BD!$A$3:$A$5001,T$3,BD!$B$3:$B$5001,$A$45,BD!$D$3:$D$5001,"&lt;&gt;")=0,"",SUMIFS(BD!$D$3:$D$5001,BD!$A$3:$A$5001,T$3,BD!$B$3:$B$5001,$A$45)))</f>
        <v/>
      </c>
      <c r="U46" s="188" t="str">
        <f>IF(U$3="","",IF(COUNTIFS(BD!$A$3:$A$5001,U$3,BD!$B$3:$B$5001,$A$45,BD!$D$3:$D$5001,"&lt;&gt;")=0,"",SUMIFS(BD!$D$3:$D$5001,BD!$A$3:$A$5001,U$3,BD!$B$3:$B$5001,$A$45)))</f>
        <v/>
      </c>
      <c r="V46" s="188" t="str">
        <f>IF(V$3="","",IF(COUNTIFS(BD!$A$3:$A$5001,V$3,BD!$B$3:$B$5001,$A$45,BD!$D$3:$D$5001,"&lt;&gt;")=0,"",SUMIFS(BD!$D$3:$D$5001,BD!$A$3:$A$5001,V$3,BD!$B$3:$B$5001,$A$45)))</f>
        <v/>
      </c>
      <c r="W46" s="188" t="str">
        <f>IF(W$3="","",IF(COUNTIFS(BD!$A$3:$A$5001,W$3,BD!$B$3:$B$5001,$A$45,BD!$D$3:$D$5001,"&lt;&gt;")=0,"",SUMIFS(BD!$D$3:$D$5001,BD!$A$3:$A$5001,W$3,BD!$B$3:$B$5001,$A$45)))</f>
        <v/>
      </c>
      <c r="X46" s="188" t="str">
        <f>IF(X$3="","",IF(COUNTIFS(BD!$A$3:$A$5001,X$3,BD!$B$3:$B$5001,$A$45,BD!$D$3:$D$5001,"&lt;&gt;")=0,"",SUMIFS(BD!$D$3:$D$5001,BD!$A$3:$A$5001,X$3,BD!$B$3:$B$5001,$A$45)))</f>
        <v/>
      </c>
      <c r="Y46" s="188" t="str">
        <f>IF(Y$3="","",IF(COUNTIFS(BD!$A$3:$A$5001,Y$3,BD!$B$3:$B$5001,$A$45,BD!$D$3:$D$5001,"&lt;&gt;")=0,"",SUMIFS(BD!$D$3:$D$5001,BD!$A$3:$A$5001,Y$3,BD!$B$3:$B$5001,$A$45)))</f>
        <v/>
      </c>
      <c r="Z46" s="188" t="str">
        <f>IF(Z$3="","",IF(COUNTIFS(BD!$A$3:$A$5001,Z$3,BD!$B$3:$B$5001,$A$45,BD!$D$3:$D$5001,"&lt;&gt;")=0,"",SUMIFS(BD!$D$3:$D$5001,BD!$A$3:$A$5001,Z$3,BD!$B$3:$B$5001,$A$45)))</f>
        <v/>
      </c>
      <c r="AA46" s="188" t="str">
        <f>IF(AA$3="","",IF(COUNTIFS(BD!$A$3:$A$5001,AA$3,BD!$B$3:$B$5001,$A$45,BD!$D$3:$D$5001,"&lt;&gt;")=0,"",SUMIFS(BD!$D$3:$D$5001,BD!$A$3:$A$5001,AA$3,BD!$B$3:$B$5001,$A$45)))</f>
        <v/>
      </c>
      <c r="AB46" s="188" t="str">
        <f>IF(AB$3="","",IF(COUNTIFS(BD!$A$3:$A$5001,AB$3,BD!$B$3:$B$5001,$A$45,BD!$D$3:$D$5001,"&lt;&gt;")=0,"",SUMIFS(BD!$D$3:$D$5001,BD!$A$3:$A$5001,AB$3,BD!$B$3:$B$5001,$A$45)))</f>
        <v/>
      </c>
      <c r="AC46" s="188" t="str">
        <f>IF(AC$3="","",IF(COUNTIFS(BD!$A$3:$A$5001,AC$3,BD!$B$3:$B$5001,$A$45,BD!$D$3:$D$5001,"&lt;&gt;")=0,"",SUMIFS(BD!$D$3:$D$5001,BD!$A$3:$A$5001,AC$3,BD!$B$3:$B$5001,$A$45)))</f>
        <v/>
      </c>
      <c r="AD46" s="188" t="str">
        <f>IF(AD$3="","",IF(COUNTIFS(BD!$A$3:$A$5001,AD$3,BD!$B$3:$B$5001,$A$45,BD!$D$3:$D$5001,"&lt;&gt;")=0,"",SUMIFS(BD!$D$3:$D$5001,BD!$A$3:$A$5001,AD$3,BD!$B$3:$B$5001,$A$45)))</f>
        <v/>
      </c>
      <c r="AE46" s="188" t="str">
        <f>IF(AE$3="","",IF(COUNTIFS(BD!$A$3:$A$5001,AE$3,BD!$B$3:$B$5001,$A$45,BD!$D$3:$D$5001,"&lt;&gt;")=0,"",SUMIFS(BD!$D$3:$D$5001,BD!$A$3:$A$5001,AE$3,BD!$B$3:$B$5001,$A$45)))</f>
        <v/>
      </c>
      <c r="AF46" s="188" t="str">
        <f>IF(AF$3="","",IF(COUNTIFS(BD!$A$3:$A$5001,AF$3,BD!$B$3:$B$5001,$A$45,BD!$D$3:$D$5001,"&lt;&gt;")=0,"",SUMIFS(BD!$D$3:$D$5001,BD!$A$3:$A$5001,AF$3,BD!$B$3:$B$5001,$A$45)))</f>
        <v/>
      </c>
      <c r="AG46" s="188" t="str">
        <f>IF(AG$3="","",IF(COUNTIFS(BD!$A$3:$A$5001,AG$3,BD!$B$3:$B$5001,$A$45,BD!$D$3:$D$5001,"&lt;&gt;")=0,"",SUMIFS(BD!$D$3:$D$5001,BD!$A$3:$A$5001,AG$3,BD!$B$3:$B$5001,$A$45)))</f>
        <v/>
      </c>
      <c r="AH46" s="188" t="str">
        <f>IF(AH$3="","",IF(COUNTIFS(BD!$A$3:$A$5001,AH$3,BD!$B$3:$B$5001,$A$45,BD!$D$3:$D$5001,"&lt;&gt;")=0,"",SUMIFS(BD!$D$3:$D$5001,BD!$A$3:$A$5001,AH$3,BD!$B$3:$B$5001,$A$45)))</f>
        <v/>
      </c>
      <c r="AI46" s="188" t="str">
        <f>IF(AI$3="","",IF(COUNTIFS(BD!$A$3:$A$5001,AI$3,BD!$B$3:$B$5001,$A$45,BD!$D$3:$D$5001,"&lt;&gt;")=0,"",SUMIFS(BD!$D$3:$D$5001,BD!$A$3:$A$5001,AI$3,BD!$B$3:$B$5001,$A$45)))</f>
        <v/>
      </c>
      <c r="AJ46" s="189" t="str">
        <f>IF(AJ$3="","",IF(COUNTIFS(BD!$A$3:$A$5001,AJ$3,BD!$B$3:$B$5001,$A$45,BD!$D$3:$D$5001,"&lt;&gt;")=0,"",SUMIFS(BD!$D$3:$D$5001,BD!$A$3:$A$5001,AJ$3,BD!$B$3:$B$5001,$A$45)))</f>
        <v/>
      </c>
      <c r="AK46" s="190" t="str">
        <f>IF(COUNT(F46:AJ46)=0,"",SUM(F46:AJ46))</f>
        <v/>
      </c>
    </row>
    <row r="47" ht="15.75" customHeight="1">
      <c r="A47" s="227"/>
      <c r="B47" s="216"/>
      <c r="C47" s="145" t="inlineStr">
        <is>
          <t xml:space="preserve">Caixas Movimentadas</t>
        </is>
      </c>
      <c r="D47" s="146" t="str">
        <f>IFERROR(1/(1/INDEX(BD!$AK$27:$AT$27,MATCH($A$45,BD!$AK$22:$AT$22,0))),"")</f>
        <v/>
      </c>
      <c r="E47" s="147"/>
      <c r="F47" s="148" t="str">
        <f>IF(F$3="","",IF(COUNTIFS(BD!$A$3:$A$5001,F$3,BD!$B$3:$B$5001,$A$45,BD!$G$3:$G$5001,"&lt;&gt;")=0,"",SUMIFS(BD!$G$3:$G$5001,BD!$A$3:$A$5001,F$3,BD!$B$3:$B$5001,$A$45)))</f>
        <v/>
      </c>
      <c r="G47" s="149" t="str">
        <f>IF(G$3="","",IF(COUNTIFS(BD!$A$3:$A$5001,G$3,BD!$B$3:$B$5001,$A$45,BD!$G$3:$G$5001,"&lt;&gt;")=0,"",SUMIFS(BD!$G$3:$G$5001,BD!$A$3:$A$5001,G$3,BD!$B$3:$B$5001,$A$45)))</f>
        <v/>
      </c>
      <c r="H47" s="149" t="str">
        <f>IF(H$3="","",IF(COUNTIFS(BD!$A$3:$A$5001,H$3,BD!$B$3:$B$5001,$A$45,BD!$G$3:$G$5001,"&lt;&gt;")=0,"",SUMIFS(BD!$G$3:$G$5001,BD!$A$3:$A$5001,H$3,BD!$B$3:$B$5001,$A$45)))</f>
        <v/>
      </c>
      <c r="I47" s="149" t="str">
        <f>IF(I$3="","",IF(COUNTIFS(BD!$A$3:$A$5001,I$3,BD!$B$3:$B$5001,$A$45,BD!$G$3:$G$5001,"&lt;&gt;")=0,"",SUMIFS(BD!$G$3:$G$5001,BD!$A$3:$A$5001,I$3,BD!$B$3:$B$5001,$A$45)))</f>
        <v/>
      </c>
      <c r="J47" s="149" t="str">
        <f>IF(J$3="","",IF(COUNTIFS(BD!$A$3:$A$5001,J$3,BD!$B$3:$B$5001,$A$45,BD!$G$3:$G$5001,"&lt;&gt;")=0,"",SUMIFS(BD!$G$3:$G$5001,BD!$A$3:$A$5001,J$3,BD!$B$3:$B$5001,$A$45)))</f>
        <v/>
      </c>
      <c r="K47" s="149" t="str">
        <f>IF(K$3="","",IF(COUNTIFS(BD!$A$3:$A$5001,K$3,BD!$B$3:$B$5001,$A$45,BD!$G$3:$G$5001,"&lt;&gt;")=0,"",SUMIFS(BD!$G$3:$G$5001,BD!$A$3:$A$5001,K$3,BD!$B$3:$B$5001,$A$45)))</f>
        <v/>
      </c>
      <c r="L47" s="149" t="str">
        <f>IF(L$3="","",IF(COUNTIFS(BD!$A$3:$A$5001,L$3,BD!$B$3:$B$5001,$A$45,BD!$G$3:$G$5001,"&lt;&gt;")=0,"",SUMIFS(BD!$G$3:$G$5001,BD!$A$3:$A$5001,L$3,BD!$B$3:$B$5001,$A$45)))</f>
        <v/>
      </c>
      <c r="M47" s="149" t="str">
        <f>IF(M$3="","",IF(COUNTIFS(BD!$A$3:$A$5001,M$3,BD!$B$3:$B$5001,$A$45,BD!$G$3:$G$5001,"&lt;&gt;")=0,"",SUMIFS(BD!$G$3:$G$5001,BD!$A$3:$A$5001,M$3,BD!$B$3:$B$5001,$A$45)))</f>
        <v/>
      </c>
      <c r="N47" s="149" t="str">
        <f>IF(N$3="","",IF(COUNTIFS(BD!$A$3:$A$5001,N$3,BD!$B$3:$B$5001,$A$45,BD!$G$3:$G$5001,"&lt;&gt;")=0,"",SUMIFS(BD!$G$3:$G$5001,BD!$A$3:$A$5001,N$3,BD!$B$3:$B$5001,$A$45)))</f>
        <v/>
      </c>
      <c r="O47" s="149" t="str">
        <f>IF(O$3="","",IF(COUNTIFS(BD!$A$3:$A$5001,O$3,BD!$B$3:$B$5001,$A$45,BD!$G$3:$G$5001,"&lt;&gt;")=0,"",SUMIFS(BD!$G$3:$G$5001,BD!$A$3:$A$5001,O$3,BD!$B$3:$B$5001,$A$45)))</f>
        <v/>
      </c>
      <c r="P47" s="149" t="str">
        <f>IF(P$3="","",IF(COUNTIFS(BD!$A$3:$A$5001,P$3,BD!$B$3:$B$5001,$A$45,BD!$G$3:$G$5001,"&lt;&gt;")=0,"",SUMIFS(BD!$G$3:$G$5001,BD!$A$3:$A$5001,P$3,BD!$B$3:$B$5001,$A$45)))</f>
        <v/>
      </c>
      <c r="Q47" s="149" t="str">
        <f>IF(Q$3="","",IF(COUNTIFS(BD!$A$3:$A$5001,Q$3,BD!$B$3:$B$5001,$A$45,BD!$G$3:$G$5001,"&lt;&gt;")=0,"",SUMIFS(BD!$G$3:$G$5001,BD!$A$3:$A$5001,Q$3,BD!$B$3:$B$5001,$A$45)))</f>
        <v/>
      </c>
      <c r="R47" s="149" t="str">
        <f>IF(R$3="","",IF(COUNTIFS(BD!$A$3:$A$5001,R$3,BD!$B$3:$B$5001,$A$45,BD!$G$3:$G$5001,"&lt;&gt;")=0,"",SUMIFS(BD!$G$3:$G$5001,BD!$A$3:$A$5001,R$3,BD!$B$3:$B$5001,$A$45)))</f>
        <v/>
      </c>
      <c r="S47" s="149" t="str">
        <f>IF(S$3="","",IF(COUNTIFS(BD!$A$3:$A$5001,S$3,BD!$B$3:$B$5001,$A$45,BD!$G$3:$G$5001,"&lt;&gt;")=0,"",SUMIFS(BD!$G$3:$G$5001,BD!$A$3:$A$5001,S$3,BD!$B$3:$B$5001,$A$45)))</f>
        <v/>
      </c>
      <c r="T47" s="149" t="str">
        <f>IF(T$3="","",IF(COUNTIFS(BD!$A$3:$A$5001,T$3,BD!$B$3:$B$5001,$A$45,BD!$G$3:$G$5001,"&lt;&gt;")=0,"",SUMIFS(BD!$G$3:$G$5001,BD!$A$3:$A$5001,T$3,BD!$B$3:$B$5001,$A$45)))</f>
        <v/>
      </c>
      <c r="U47" s="149" t="str">
        <f>IF(U$3="","",IF(COUNTIFS(BD!$A$3:$A$5001,U$3,BD!$B$3:$B$5001,$A$45,BD!$G$3:$G$5001,"&lt;&gt;")=0,"",SUMIFS(BD!$G$3:$G$5001,BD!$A$3:$A$5001,U$3,BD!$B$3:$B$5001,$A$45)))</f>
        <v/>
      </c>
      <c r="V47" s="149" t="str">
        <f>IF(V$3="","",IF(COUNTIFS(BD!$A$3:$A$5001,V$3,BD!$B$3:$B$5001,$A$45,BD!$G$3:$G$5001,"&lt;&gt;")=0,"",SUMIFS(BD!$G$3:$G$5001,BD!$A$3:$A$5001,V$3,BD!$B$3:$B$5001,$A$45)))</f>
        <v/>
      </c>
      <c r="W47" s="149" t="str">
        <f>IF(W$3="","",IF(COUNTIFS(BD!$A$3:$A$5001,W$3,BD!$B$3:$B$5001,$A$45,BD!$G$3:$G$5001,"&lt;&gt;")=0,"",SUMIFS(BD!$G$3:$G$5001,BD!$A$3:$A$5001,W$3,BD!$B$3:$B$5001,$A$45)))</f>
        <v/>
      </c>
      <c r="X47" s="149" t="str">
        <f>IF(X$3="","",IF(COUNTIFS(BD!$A$3:$A$5001,X$3,BD!$B$3:$B$5001,$A$45,BD!$G$3:$G$5001,"&lt;&gt;")=0,"",SUMIFS(BD!$G$3:$G$5001,BD!$A$3:$A$5001,X$3,BD!$B$3:$B$5001,$A$45)))</f>
        <v/>
      </c>
      <c r="Y47" s="149" t="str">
        <f>IF(Y$3="","",IF(COUNTIFS(BD!$A$3:$A$5001,Y$3,BD!$B$3:$B$5001,$A$45,BD!$G$3:$G$5001,"&lt;&gt;")=0,"",SUMIFS(BD!$G$3:$G$5001,BD!$A$3:$A$5001,Y$3,BD!$B$3:$B$5001,$A$45)))</f>
        <v/>
      </c>
      <c r="Z47" s="149" t="str">
        <f>IF(Z$3="","",IF(COUNTIFS(BD!$A$3:$A$5001,Z$3,BD!$B$3:$B$5001,$A$45,BD!$G$3:$G$5001,"&lt;&gt;")=0,"",SUMIFS(BD!$G$3:$G$5001,BD!$A$3:$A$5001,Z$3,BD!$B$3:$B$5001,$A$45)))</f>
        <v/>
      </c>
      <c r="AA47" s="149" t="str">
        <f>IF(AA$3="","",IF(COUNTIFS(BD!$A$3:$A$5001,AA$3,BD!$B$3:$B$5001,$A$45,BD!$G$3:$G$5001,"&lt;&gt;")=0,"",SUMIFS(BD!$G$3:$G$5001,BD!$A$3:$A$5001,AA$3,BD!$B$3:$B$5001,$A$45)))</f>
        <v/>
      </c>
      <c r="AB47" s="149" t="str">
        <f>IF(AB$3="","",IF(COUNTIFS(BD!$A$3:$A$5001,AB$3,BD!$B$3:$B$5001,$A$45,BD!$G$3:$G$5001,"&lt;&gt;")=0,"",SUMIFS(BD!$G$3:$G$5001,BD!$A$3:$A$5001,AB$3,BD!$B$3:$B$5001,$A$45)))</f>
        <v/>
      </c>
      <c r="AC47" s="149" t="str">
        <f>IF(AC$3="","",IF(COUNTIFS(BD!$A$3:$A$5001,AC$3,BD!$B$3:$B$5001,$A$45,BD!$G$3:$G$5001,"&lt;&gt;")=0,"",SUMIFS(BD!$G$3:$G$5001,BD!$A$3:$A$5001,AC$3,BD!$B$3:$B$5001,$A$45)))</f>
        <v/>
      </c>
      <c r="AD47" s="149" t="str">
        <f>IF(AD$3="","",IF(COUNTIFS(BD!$A$3:$A$5001,AD$3,BD!$B$3:$B$5001,$A$45,BD!$G$3:$G$5001,"&lt;&gt;")=0,"",SUMIFS(BD!$G$3:$G$5001,BD!$A$3:$A$5001,AD$3,BD!$B$3:$B$5001,$A$45)))</f>
        <v/>
      </c>
      <c r="AE47" s="149" t="str">
        <f>IF(AE$3="","",IF(COUNTIFS(BD!$A$3:$A$5001,AE$3,BD!$B$3:$B$5001,$A$45,BD!$G$3:$G$5001,"&lt;&gt;")=0,"",SUMIFS(BD!$G$3:$G$5001,BD!$A$3:$A$5001,AE$3,BD!$B$3:$B$5001,$A$45)))</f>
        <v/>
      </c>
      <c r="AF47" s="149" t="str">
        <f>IF(AF$3="","",IF(COUNTIFS(BD!$A$3:$A$5001,AF$3,BD!$B$3:$B$5001,$A$45,BD!$G$3:$G$5001,"&lt;&gt;")=0,"",SUMIFS(BD!$G$3:$G$5001,BD!$A$3:$A$5001,AF$3,BD!$B$3:$B$5001,$A$45)))</f>
        <v/>
      </c>
      <c r="AG47" s="149" t="str">
        <f>IF(AG$3="","",IF(COUNTIFS(BD!$A$3:$A$5001,AG$3,BD!$B$3:$B$5001,$A$45,BD!$G$3:$G$5001,"&lt;&gt;")=0,"",SUMIFS(BD!$G$3:$G$5001,BD!$A$3:$A$5001,AG$3,BD!$B$3:$B$5001,$A$45)))</f>
        <v/>
      </c>
      <c r="AH47" s="149" t="str">
        <f>IF(AH$3="","",IF(COUNTIFS(BD!$A$3:$A$5001,AH$3,BD!$B$3:$B$5001,$A$45,BD!$G$3:$G$5001,"&lt;&gt;")=0,"",SUMIFS(BD!$G$3:$G$5001,BD!$A$3:$A$5001,AH$3,BD!$B$3:$B$5001,$A$45)))</f>
        <v/>
      </c>
      <c r="AI47" s="149" t="str">
        <f>IF(AI$3="","",IF(COUNTIFS(BD!$A$3:$A$5001,AI$3,BD!$B$3:$B$5001,$A$45,BD!$G$3:$G$5001,"&lt;&gt;")=0,"",SUMIFS(BD!$G$3:$G$5001,BD!$A$3:$A$5001,AI$3,BD!$B$3:$B$5001,$A$45)))</f>
        <v/>
      </c>
      <c r="AJ47" s="150" t="str">
        <f>IF(AJ$3="","",IF(COUNTIFS(BD!$A$3:$A$5001,AJ$3,BD!$B$3:$B$5001,$A$45,BD!$G$3:$G$5001,"&lt;&gt;")=0,"",SUMIFS(BD!$G$3:$G$5001,BD!$A$3:$A$5001,AJ$3,BD!$B$3:$B$5001,$A$45)))</f>
        <v/>
      </c>
      <c r="AK47" s="146" t="str">
        <f>IF(COUNT(F47:AJ47)=0,"",SUM(F47:AJ47))</f>
        <v/>
      </c>
    </row>
    <row r="48" ht="15.75" customHeight="1">
      <c r="A48" s="227"/>
      <c r="B48" s="217" t="inlineStr">
        <is>
          <t xml:space="preserve">OUT</t>
        </is>
      </c>
      <c r="C48" s="151" t="inlineStr">
        <is>
          <t xml:space="preserve">Veículos Expedidos</t>
        </is>
      </c>
      <c r="D48" s="152" t="str">
        <f>IFERROR(1/(1/INDEX(BD!$AK$32:$AT$32,MATCH($A$45,BD!$AK$22:$AT$22,0))),"")</f>
        <v/>
      </c>
      <c r="E48" s="153"/>
      <c r="F48" s="154" t="str">
        <f>IF(F$3="","",IF(COUNTIFS(BD!$A$3:$A$5001,F$3,BD!$B$3:$B$5001,$A$45,BD!$L$3:$L$5001,"&lt;&gt;")=0,"",SUMIFS(BD!$L$3:$L$5001,BD!$A$3:$A$5001,F$3,BD!$B$3:$B$5001,$A$45)))</f>
        <v/>
      </c>
      <c r="G48" s="155" t="str">
        <f>IF(G$3="","",IF(COUNTIFS(BD!$A$3:$A$5001,G$3,BD!$B$3:$B$5001,$A$45,BD!$L$3:$L$5001,"&lt;&gt;")=0,"",SUMIFS(BD!$L$3:$L$5001,BD!$A$3:$A$5001,G$3,BD!$B$3:$B$5001,$A$45)))</f>
        <v/>
      </c>
      <c r="H48" s="155" t="str">
        <f>IF(H$3="","",IF(COUNTIFS(BD!$A$3:$A$5001,H$3,BD!$B$3:$B$5001,$A$45,BD!$L$3:$L$5001,"&lt;&gt;")=0,"",SUMIFS(BD!$L$3:$L$5001,BD!$A$3:$A$5001,H$3,BD!$B$3:$B$5001,$A$45)))</f>
        <v/>
      </c>
      <c r="I48" s="155" t="str">
        <f>IF(I$3="","",IF(COUNTIFS(BD!$A$3:$A$5001,I$3,BD!$B$3:$B$5001,$A$45,BD!$L$3:$L$5001,"&lt;&gt;")=0,"",SUMIFS(BD!$L$3:$L$5001,BD!$A$3:$A$5001,I$3,BD!$B$3:$B$5001,$A$45)))</f>
        <v/>
      </c>
      <c r="J48" s="155" t="str">
        <f>IF(J$3="","",IF(COUNTIFS(BD!$A$3:$A$5001,J$3,BD!$B$3:$B$5001,$A$45,BD!$L$3:$L$5001,"&lt;&gt;")=0,"",SUMIFS(BD!$L$3:$L$5001,BD!$A$3:$A$5001,J$3,BD!$B$3:$B$5001,$A$45)))</f>
        <v/>
      </c>
      <c r="K48" s="155" t="str">
        <f>IF(K$3="","",IF(COUNTIFS(BD!$A$3:$A$5001,K$3,BD!$B$3:$B$5001,$A$45,BD!$L$3:$L$5001,"&lt;&gt;")=0,"",SUMIFS(BD!$L$3:$L$5001,BD!$A$3:$A$5001,K$3,BD!$B$3:$B$5001,$A$45)))</f>
        <v/>
      </c>
      <c r="L48" s="155" t="str">
        <f>IF(L$3="","",IF(COUNTIFS(BD!$A$3:$A$5001,L$3,BD!$B$3:$B$5001,$A$45,BD!$L$3:$L$5001,"&lt;&gt;")=0,"",SUMIFS(BD!$L$3:$L$5001,BD!$A$3:$A$5001,L$3,BD!$B$3:$B$5001,$A$45)))</f>
        <v/>
      </c>
      <c r="M48" s="155" t="str">
        <f>IF(M$3="","",IF(COUNTIFS(BD!$A$3:$A$5001,M$3,BD!$B$3:$B$5001,$A$45,BD!$L$3:$L$5001,"&lt;&gt;")=0,"",SUMIFS(BD!$L$3:$L$5001,BD!$A$3:$A$5001,M$3,BD!$B$3:$B$5001,$A$45)))</f>
        <v/>
      </c>
      <c r="N48" s="155" t="str">
        <f>IF(N$3="","",IF(COUNTIFS(BD!$A$3:$A$5001,N$3,BD!$B$3:$B$5001,$A$45,BD!$L$3:$L$5001,"&lt;&gt;")=0,"",SUMIFS(BD!$L$3:$L$5001,BD!$A$3:$A$5001,N$3,BD!$B$3:$B$5001,$A$45)))</f>
        <v/>
      </c>
      <c r="O48" s="155" t="str">
        <f>IF(O$3="","",IF(COUNTIFS(BD!$A$3:$A$5001,O$3,BD!$B$3:$B$5001,$A$45,BD!$L$3:$L$5001,"&lt;&gt;")=0,"",SUMIFS(BD!$L$3:$L$5001,BD!$A$3:$A$5001,O$3,BD!$B$3:$B$5001,$A$45)))</f>
        <v/>
      </c>
      <c r="P48" s="155" t="str">
        <f>IF(P$3="","",IF(COUNTIFS(BD!$A$3:$A$5001,P$3,BD!$B$3:$B$5001,$A$45,BD!$L$3:$L$5001,"&lt;&gt;")=0,"",SUMIFS(BD!$L$3:$L$5001,BD!$A$3:$A$5001,P$3,BD!$B$3:$B$5001,$A$45)))</f>
        <v/>
      </c>
      <c r="Q48" s="155" t="str">
        <f>IF(Q$3="","",IF(COUNTIFS(BD!$A$3:$A$5001,Q$3,BD!$B$3:$B$5001,$A$45,BD!$L$3:$L$5001,"&lt;&gt;")=0,"",SUMIFS(BD!$L$3:$L$5001,BD!$A$3:$A$5001,Q$3,BD!$B$3:$B$5001,$A$45)))</f>
        <v/>
      </c>
      <c r="R48" s="155" t="str">
        <f>IF(R$3="","",IF(COUNTIFS(BD!$A$3:$A$5001,R$3,BD!$B$3:$B$5001,$A$45,BD!$L$3:$L$5001,"&lt;&gt;")=0,"",SUMIFS(BD!$L$3:$L$5001,BD!$A$3:$A$5001,R$3,BD!$B$3:$B$5001,$A$45)))</f>
        <v/>
      </c>
      <c r="S48" s="155" t="str">
        <f>IF(S$3="","",IF(COUNTIFS(BD!$A$3:$A$5001,S$3,BD!$B$3:$B$5001,$A$45,BD!$L$3:$L$5001,"&lt;&gt;")=0,"",SUMIFS(BD!$L$3:$L$5001,BD!$A$3:$A$5001,S$3,BD!$B$3:$B$5001,$A$45)))</f>
        <v/>
      </c>
      <c r="T48" s="155" t="str">
        <f>IF(T$3="","",IF(COUNTIFS(BD!$A$3:$A$5001,T$3,BD!$B$3:$B$5001,$A$45,BD!$L$3:$L$5001,"&lt;&gt;")=0,"",SUMIFS(BD!$L$3:$L$5001,BD!$A$3:$A$5001,T$3,BD!$B$3:$B$5001,$A$45)))</f>
        <v/>
      </c>
      <c r="U48" s="155" t="str">
        <f>IF(U$3="","",IF(COUNTIFS(BD!$A$3:$A$5001,U$3,BD!$B$3:$B$5001,$A$45,BD!$L$3:$L$5001,"&lt;&gt;")=0,"",SUMIFS(BD!$L$3:$L$5001,BD!$A$3:$A$5001,U$3,BD!$B$3:$B$5001,$A$45)))</f>
        <v/>
      </c>
      <c r="V48" s="155" t="str">
        <f>IF(V$3="","",IF(COUNTIFS(BD!$A$3:$A$5001,V$3,BD!$B$3:$B$5001,$A$45,BD!$L$3:$L$5001,"&lt;&gt;")=0,"",SUMIFS(BD!$L$3:$L$5001,BD!$A$3:$A$5001,V$3,BD!$B$3:$B$5001,$A$45)))</f>
        <v/>
      </c>
      <c r="W48" s="155" t="str">
        <f>IF(W$3="","",IF(COUNTIFS(BD!$A$3:$A$5001,W$3,BD!$B$3:$B$5001,$A$45,BD!$L$3:$L$5001,"&lt;&gt;")=0,"",SUMIFS(BD!$L$3:$L$5001,BD!$A$3:$A$5001,W$3,BD!$B$3:$B$5001,$A$45)))</f>
        <v/>
      </c>
      <c r="X48" s="155" t="str">
        <f>IF(X$3="","",IF(COUNTIFS(BD!$A$3:$A$5001,X$3,BD!$B$3:$B$5001,$A$45,BD!$L$3:$L$5001,"&lt;&gt;")=0,"",SUMIFS(BD!$L$3:$L$5001,BD!$A$3:$A$5001,X$3,BD!$B$3:$B$5001,$A$45)))</f>
        <v/>
      </c>
      <c r="Y48" s="155" t="str">
        <f>IF(Y$3="","",IF(COUNTIFS(BD!$A$3:$A$5001,Y$3,BD!$B$3:$B$5001,$A$45,BD!$L$3:$L$5001,"&lt;&gt;")=0,"",SUMIFS(BD!$L$3:$L$5001,BD!$A$3:$A$5001,Y$3,BD!$B$3:$B$5001,$A$45)))</f>
        <v/>
      </c>
      <c r="Z48" s="155" t="str">
        <f>IF(Z$3="","",IF(COUNTIFS(BD!$A$3:$A$5001,Z$3,BD!$B$3:$B$5001,$A$45,BD!$L$3:$L$5001,"&lt;&gt;")=0,"",SUMIFS(BD!$L$3:$L$5001,BD!$A$3:$A$5001,Z$3,BD!$B$3:$B$5001,$A$45)))</f>
        <v/>
      </c>
      <c r="AA48" s="155" t="str">
        <f>IF(AA$3="","",IF(COUNTIFS(BD!$A$3:$A$5001,AA$3,BD!$B$3:$B$5001,$A$45,BD!$L$3:$L$5001,"&lt;&gt;")=0,"",SUMIFS(BD!$L$3:$L$5001,BD!$A$3:$A$5001,AA$3,BD!$B$3:$B$5001,$A$45)))</f>
        <v/>
      </c>
      <c r="AB48" s="155" t="str">
        <f>IF(AB$3="","",IF(COUNTIFS(BD!$A$3:$A$5001,AB$3,BD!$B$3:$B$5001,$A$45,BD!$L$3:$L$5001,"&lt;&gt;")=0,"",SUMIFS(BD!$L$3:$L$5001,BD!$A$3:$A$5001,AB$3,BD!$B$3:$B$5001,$A$45)))</f>
        <v/>
      </c>
      <c r="AC48" s="155" t="str">
        <f>IF(AC$3="","",IF(COUNTIFS(BD!$A$3:$A$5001,AC$3,BD!$B$3:$B$5001,$A$45,BD!$L$3:$L$5001,"&lt;&gt;")=0,"",SUMIFS(BD!$L$3:$L$5001,BD!$A$3:$A$5001,AC$3,BD!$B$3:$B$5001,$A$45)))</f>
        <v/>
      </c>
      <c r="AD48" s="155" t="str">
        <f>IF(AD$3="","",IF(COUNTIFS(BD!$A$3:$A$5001,AD$3,BD!$B$3:$B$5001,$A$45,BD!$L$3:$L$5001,"&lt;&gt;")=0,"",SUMIFS(BD!$L$3:$L$5001,BD!$A$3:$A$5001,AD$3,BD!$B$3:$B$5001,$A$45)))</f>
        <v/>
      </c>
      <c r="AE48" s="155" t="str">
        <f>IF(AE$3="","",IF(COUNTIFS(BD!$A$3:$A$5001,AE$3,BD!$B$3:$B$5001,$A$45,BD!$L$3:$L$5001,"&lt;&gt;")=0,"",SUMIFS(BD!$L$3:$L$5001,BD!$A$3:$A$5001,AE$3,BD!$B$3:$B$5001,$A$45)))</f>
        <v/>
      </c>
      <c r="AF48" s="155" t="str">
        <f>IF(AF$3="","",IF(COUNTIFS(BD!$A$3:$A$5001,AF$3,BD!$B$3:$B$5001,$A$45,BD!$L$3:$L$5001,"&lt;&gt;")=0,"",SUMIFS(BD!$L$3:$L$5001,BD!$A$3:$A$5001,AF$3,BD!$B$3:$B$5001,$A$45)))</f>
        <v/>
      </c>
      <c r="AG48" s="155" t="str">
        <f>IF(AG$3="","",IF(COUNTIFS(BD!$A$3:$A$5001,AG$3,BD!$B$3:$B$5001,$A$45,BD!$L$3:$L$5001,"&lt;&gt;")=0,"",SUMIFS(BD!$L$3:$L$5001,BD!$A$3:$A$5001,AG$3,BD!$B$3:$B$5001,$A$45)))</f>
        <v/>
      </c>
      <c r="AH48" s="155" t="str">
        <f>IF(AH$3="","",IF(COUNTIFS(BD!$A$3:$A$5001,AH$3,BD!$B$3:$B$5001,$A$45,BD!$L$3:$L$5001,"&lt;&gt;")=0,"",SUMIFS(BD!$L$3:$L$5001,BD!$A$3:$A$5001,AH$3,BD!$B$3:$B$5001,$A$45)))</f>
        <v/>
      </c>
      <c r="AI48" s="155" t="str">
        <f>IF(AI$3="","",IF(COUNTIFS(BD!$A$3:$A$5001,AI$3,BD!$B$3:$B$5001,$A$45,BD!$L$3:$L$5001,"&lt;&gt;")=0,"",SUMIFS(BD!$L$3:$L$5001,BD!$A$3:$A$5001,AI$3,BD!$B$3:$B$5001,$A$45)))</f>
        <v/>
      </c>
      <c r="AJ48" s="156" t="str">
        <f>IF(AJ$3="","",IF(COUNTIFS(BD!$A$3:$A$5001,AJ$3,BD!$B$3:$B$5001,$A$45,BD!$L$3:$L$5001,"&lt;&gt;")=0,"",SUMIFS(BD!$L$3:$L$5001,BD!$A$3:$A$5001,AJ$3,BD!$B$3:$B$5001,$A$45)))</f>
        <v/>
      </c>
      <c r="AK48" s="157" t="str">
        <f>IF(COUNT(F48:AJ48)=0,"",SUM(F48:AJ48))</f>
        <v/>
      </c>
    </row>
    <row r="49" ht="15.75" customHeight="1">
      <c r="A49" s="227"/>
      <c r="B49" s="244"/>
      <c r="C49" s="233" t="inlineStr">
        <is>
          <t xml:space="preserve">Pallets Movimentados</t>
        </is>
      </c>
      <c r="D49" s="234" t="str">
        <f>IFERROR(1/(1/INDEX(BD!$AK$39:$AT$39,MATCH($A$45,BD!$AK$22:$AT$22,0))),"")</f>
        <v/>
      </c>
      <c r="E49" s="235"/>
      <c r="F49" s="236" t="str">
        <f>IF(F$3="","",IF(COUNTIFS(BD!$A$3:$A$5001,F$3,BD!$B$3:$B$5001,$A$45,BD!$S$3:$S$5001,"&lt;&gt;")=0,"",SUMIFS(BD!$S$3:$S$5001,BD!$A$3:$A$5001,F$3,BD!$B$3:$B$5001,$A$45)))</f>
        <v/>
      </c>
      <c r="G49" s="237" t="str">
        <f>IF(G$3="","",IF(COUNTIFS(BD!$A$3:$A$5001,G$3,BD!$B$3:$B$5001,$A$45,BD!$S$3:$S$5001,"&lt;&gt;")=0,"",SUMIFS(BD!$S$3:$S$5001,BD!$A$3:$A$5001,G$3,BD!$B$3:$B$5001,$A$45)))</f>
        <v/>
      </c>
      <c r="H49" s="237" t="str">
        <f>IF(H$3="","",IF(COUNTIFS(BD!$A$3:$A$5001,H$3,BD!$B$3:$B$5001,$A$45,BD!$S$3:$S$5001,"&lt;&gt;")=0,"",SUMIFS(BD!$S$3:$S$5001,BD!$A$3:$A$5001,H$3,BD!$B$3:$B$5001,$A$45)))</f>
        <v/>
      </c>
      <c r="I49" s="237" t="str">
        <f>IF(I$3="","",IF(COUNTIFS(BD!$A$3:$A$5001,I$3,BD!$B$3:$B$5001,$A$45,BD!$S$3:$S$5001,"&lt;&gt;")=0,"",SUMIFS(BD!$S$3:$S$5001,BD!$A$3:$A$5001,I$3,BD!$B$3:$B$5001,$A$45)))</f>
        <v/>
      </c>
      <c r="J49" s="237" t="str">
        <f>IF(J$3="","",IF(COUNTIFS(BD!$A$3:$A$5001,J$3,BD!$B$3:$B$5001,$A$45,BD!$S$3:$S$5001,"&lt;&gt;")=0,"",SUMIFS(BD!$S$3:$S$5001,BD!$A$3:$A$5001,J$3,BD!$B$3:$B$5001,$A$45)))</f>
        <v/>
      </c>
      <c r="K49" s="237" t="str">
        <f>IF(K$3="","",IF(COUNTIFS(BD!$A$3:$A$5001,K$3,BD!$B$3:$B$5001,$A$45,BD!$S$3:$S$5001,"&lt;&gt;")=0,"",SUMIFS(BD!$S$3:$S$5001,BD!$A$3:$A$5001,K$3,BD!$B$3:$B$5001,$A$45)))</f>
        <v/>
      </c>
      <c r="L49" s="237" t="str">
        <f>IF(L$3="","",IF(COUNTIFS(BD!$A$3:$A$5001,L$3,BD!$B$3:$B$5001,$A$45,BD!$S$3:$S$5001,"&lt;&gt;")=0,"",SUMIFS(BD!$S$3:$S$5001,BD!$A$3:$A$5001,L$3,BD!$B$3:$B$5001,$A$45)))</f>
        <v/>
      </c>
      <c r="M49" s="237" t="str">
        <f>IF(M$3="","",IF(COUNTIFS(BD!$A$3:$A$5001,M$3,BD!$B$3:$B$5001,$A$45,BD!$S$3:$S$5001,"&lt;&gt;")=0,"",SUMIFS(BD!$S$3:$S$5001,BD!$A$3:$A$5001,M$3,BD!$B$3:$B$5001,$A$45)))</f>
        <v/>
      </c>
      <c r="N49" s="237" t="str">
        <f>IF(N$3="","",IF(COUNTIFS(BD!$A$3:$A$5001,N$3,BD!$B$3:$B$5001,$A$45,BD!$S$3:$S$5001,"&lt;&gt;")=0,"",SUMIFS(BD!$S$3:$S$5001,BD!$A$3:$A$5001,N$3,BD!$B$3:$B$5001,$A$45)))</f>
        <v/>
      </c>
      <c r="O49" s="237" t="str">
        <f>IF(O$3="","",IF(COUNTIFS(BD!$A$3:$A$5001,O$3,BD!$B$3:$B$5001,$A$45,BD!$S$3:$S$5001,"&lt;&gt;")=0,"",SUMIFS(BD!$S$3:$S$5001,BD!$A$3:$A$5001,O$3,BD!$B$3:$B$5001,$A$45)))</f>
        <v/>
      </c>
      <c r="P49" s="237" t="str">
        <f>IF(P$3="","",IF(COUNTIFS(BD!$A$3:$A$5001,P$3,BD!$B$3:$B$5001,$A$45,BD!$S$3:$S$5001,"&lt;&gt;")=0,"",SUMIFS(BD!$S$3:$S$5001,BD!$A$3:$A$5001,P$3,BD!$B$3:$B$5001,$A$45)))</f>
        <v/>
      </c>
      <c r="Q49" s="237" t="str">
        <f>IF(Q$3="","",IF(COUNTIFS(BD!$A$3:$A$5001,Q$3,BD!$B$3:$B$5001,$A$45,BD!$S$3:$S$5001,"&lt;&gt;")=0,"",SUMIFS(BD!$S$3:$S$5001,BD!$A$3:$A$5001,Q$3,BD!$B$3:$B$5001,$A$45)))</f>
        <v/>
      </c>
      <c r="R49" s="237" t="str">
        <f>IF(R$3="","",IF(COUNTIFS(BD!$A$3:$A$5001,R$3,BD!$B$3:$B$5001,$A$45,BD!$S$3:$S$5001,"&lt;&gt;")=0,"",SUMIFS(BD!$S$3:$S$5001,BD!$A$3:$A$5001,R$3,BD!$B$3:$B$5001,$A$45)))</f>
        <v/>
      </c>
      <c r="S49" s="237" t="str">
        <f>IF(S$3="","",IF(COUNTIFS(BD!$A$3:$A$5001,S$3,BD!$B$3:$B$5001,$A$45,BD!$S$3:$S$5001,"&lt;&gt;")=0,"",SUMIFS(BD!$S$3:$S$5001,BD!$A$3:$A$5001,S$3,BD!$B$3:$B$5001,$A$45)))</f>
        <v/>
      </c>
      <c r="T49" s="237" t="str">
        <f>IF(T$3="","",IF(COUNTIFS(BD!$A$3:$A$5001,T$3,BD!$B$3:$B$5001,$A$45,BD!$S$3:$S$5001,"&lt;&gt;")=0,"",SUMIFS(BD!$S$3:$S$5001,BD!$A$3:$A$5001,T$3,BD!$B$3:$B$5001,$A$45)))</f>
        <v/>
      </c>
      <c r="U49" s="237" t="str">
        <f>IF(U$3="","",IF(COUNTIFS(BD!$A$3:$A$5001,U$3,BD!$B$3:$B$5001,$A$45,BD!$S$3:$S$5001,"&lt;&gt;")=0,"",SUMIFS(BD!$S$3:$S$5001,BD!$A$3:$A$5001,U$3,BD!$B$3:$B$5001,$A$45)))</f>
        <v/>
      </c>
      <c r="V49" s="237" t="str">
        <f>IF(V$3="","",IF(COUNTIFS(BD!$A$3:$A$5001,V$3,BD!$B$3:$B$5001,$A$45,BD!$S$3:$S$5001,"&lt;&gt;")=0,"",SUMIFS(BD!$S$3:$S$5001,BD!$A$3:$A$5001,V$3,BD!$B$3:$B$5001,$A$45)))</f>
        <v/>
      </c>
      <c r="W49" s="237" t="str">
        <f>IF(W$3="","",IF(COUNTIFS(BD!$A$3:$A$5001,W$3,BD!$B$3:$B$5001,$A$45,BD!$S$3:$S$5001,"&lt;&gt;")=0,"",SUMIFS(BD!$S$3:$S$5001,BD!$A$3:$A$5001,W$3,BD!$B$3:$B$5001,$A$45)))</f>
        <v/>
      </c>
      <c r="X49" s="237" t="str">
        <f>IF(X$3="","",IF(COUNTIFS(BD!$A$3:$A$5001,X$3,BD!$B$3:$B$5001,$A$45,BD!$S$3:$S$5001,"&lt;&gt;")=0,"",SUMIFS(BD!$S$3:$S$5001,BD!$A$3:$A$5001,X$3,BD!$B$3:$B$5001,$A$45)))</f>
        <v/>
      </c>
      <c r="Y49" s="237" t="str">
        <f>IF(Y$3="","",IF(COUNTIFS(BD!$A$3:$A$5001,Y$3,BD!$B$3:$B$5001,$A$45,BD!$S$3:$S$5001,"&lt;&gt;")=0,"",SUMIFS(BD!$S$3:$S$5001,BD!$A$3:$A$5001,Y$3,BD!$B$3:$B$5001,$A$45)))</f>
        <v/>
      </c>
      <c r="Z49" s="237" t="str">
        <f>IF(Z$3="","",IF(COUNTIFS(BD!$A$3:$A$5001,Z$3,BD!$B$3:$B$5001,$A$45,BD!$S$3:$S$5001,"&lt;&gt;")=0,"",SUMIFS(BD!$S$3:$S$5001,BD!$A$3:$A$5001,Z$3,BD!$B$3:$B$5001,$A$45)))</f>
        <v/>
      </c>
      <c r="AA49" s="237" t="str">
        <f>IF(AA$3="","",IF(COUNTIFS(BD!$A$3:$A$5001,AA$3,BD!$B$3:$B$5001,$A$45,BD!$S$3:$S$5001,"&lt;&gt;")=0,"",SUMIFS(BD!$S$3:$S$5001,BD!$A$3:$A$5001,AA$3,BD!$B$3:$B$5001,$A$45)))</f>
        <v/>
      </c>
      <c r="AB49" s="237" t="str">
        <f>IF(AB$3="","",IF(COUNTIFS(BD!$A$3:$A$5001,AB$3,BD!$B$3:$B$5001,$A$45,BD!$S$3:$S$5001,"&lt;&gt;")=0,"",SUMIFS(BD!$S$3:$S$5001,BD!$A$3:$A$5001,AB$3,BD!$B$3:$B$5001,$A$45)))</f>
        <v/>
      </c>
      <c r="AC49" s="237" t="str">
        <f>IF(AC$3="","",IF(COUNTIFS(BD!$A$3:$A$5001,AC$3,BD!$B$3:$B$5001,$A$45,BD!$S$3:$S$5001,"&lt;&gt;")=0,"",SUMIFS(BD!$S$3:$S$5001,BD!$A$3:$A$5001,AC$3,BD!$B$3:$B$5001,$A$45)))</f>
        <v/>
      </c>
      <c r="AD49" s="237" t="str">
        <f>IF(AD$3="","",IF(COUNTIFS(BD!$A$3:$A$5001,AD$3,BD!$B$3:$B$5001,$A$45,BD!$S$3:$S$5001,"&lt;&gt;")=0,"",SUMIFS(BD!$S$3:$S$5001,BD!$A$3:$A$5001,AD$3,BD!$B$3:$B$5001,$A$45)))</f>
        <v/>
      </c>
      <c r="AE49" s="237" t="str">
        <f>IF(AE$3="","",IF(COUNTIFS(BD!$A$3:$A$5001,AE$3,BD!$B$3:$B$5001,$A$45,BD!$S$3:$S$5001,"&lt;&gt;")=0,"",SUMIFS(BD!$S$3:$S$5001,BD!$A$3:$A$5001,AE$3,BD!$B$3:$B$5001,$A$45)))</f>
        <v/>
      </c>
      <c r="AF49" s="237" t="str">
        <f>IF(AF$3="","",IF(COUNTIFS(BD!$A$3:$A$5001,AF$3,BD!$B$3:$B$5001,$A$45,BD!$S$3:$S$5001,"&lt;&gt;")=0,"",SUMIFS(BD!$S$3:$S$5001,BD!$A$3:$A$5001,AF$3,BD!$B$3:$B$5001,$A$45)))</f>
        <v/>
      </c>
      <c r="AG49" s="237" t="str">
        <f>IF(AG$3="","",IF(COUNTIFS(BD!$A$3:$A$5001,AG$3,BD!$B$3:$B$5001,$A$45,BD!$S$3:$S$5001,"&lt;&gt;")=0,"",SUMIFS(BD!$S$3:$S$5001,BD!$A$3:$A$5001,AG$3,BD!$B$3:$B$5001,$A$45)))</f>
        <v/>
      </c>
      <c r="AH49" s="237" t="str">
        <f>IF(AH$3="","",IF(COUNTIFS(BD!$A$3:$A$5001,AH$3,BD!$B$3:$B$5001,$A$45,BD!$S$3:$S$5001,"&lt;&gt;")=0,"",SUMIFS(BD!$S$3:$S$5001,BD!$A$3:$A$5001,AH$3,BD!$B$3:$B$5001,$A$45)))</f>
        <v/>
      </c>
      <c r="AI49" s="237" t="str">
        <f>IF(AI$3="","",IF(COUNTIFS(BD!$A$3:$A$5001,AI$3,BD!$B$3:$B$5001,$A$45,BD!$S$3:$S$5001,"&lt;&gt;")=0,"",SUMIFS(BD!$S$3:$S$5001,BD!$A$3:$A$5001,AI$3,BD!$B$3:$B$5001,$A$45)))</f>
        <v/>
      </c>
      <c r="AJ49" s="238" t="str">
        <f>IF(AJ$3="","",IF(COUNTIFS(BD!$A$3:$A$5001,AJ$3,BD!$B$3:$B$5001,$A$45,BD!$S$3:$S$5001,"&lt;&gt;")=0,"",SUMIFS(BD!$S$3:$S$5001,BD!$A$3:$A$5001,AJ$3,BD!$B$3:$B$5001,$A$45)))</f>
        <v/>
      </c>
      <c r="AK49" s="239" t="str">
        <f>IF(COUNT(F49:AJ49)=0,"",SUM(F49:AJ49))</f>
        <v/>
      </c>
    </row>
    <row r="50" ht="15.75" customHeight="1">
      <c r="A50" s="227"/>
      <c r="B50" s="218"/>
      <c r="C50" s="158" t="inlineStr">
        <is>
          <t xml:space="preserve">Pedidos Expedidos</t>
        </is>
      </c>
      <c r="D50" s="159" t="str">
        <f>IFERROR(1/(1/INDEX(BD!$AK$33:$AT$33,MATCH($A$45,BD!$AK$22:$AT$22,0))),"")</f>
        <v/>
      </c>
      <c r="E50" s="160"/>
      <c r="F50" s="161" t="str">
        <f>IF(F$3="","",IF(COUNTIFS(BD!$A$3:$A$5001,F$3,BD!$B$3:$B$5001,$A$45,BD!$M$3:$M$5001,"&lt;&gt;")=0,"",SUMIFS(BD!$M$3:$M$5001,BD!$A$3:$A$5001,F$3,BD!$B$3:$B$5001,$A$45)))</f>
        <v/>
      </c>
      <c r="G50" s="162" t="str">
        <f>IF(G$3="","",IF(COUNTIFS(BD!$A$3:$A$5001,G$3,BD!$B$3:$B$5001,$A$45,BD!$M$3:$M$5001,"&lt;&gt;")=0,"",SUMIFS(BD!$M$3:$M$5001,BD!$A$3:$A$5001,G$3,BD!$B$3:$B$5001,$A$45)))</f>
        <v/>
      </c>
      <c r="H50" s="162" t="str">
        <f>IF(H$3="","",IF(COUNTIFS(BD!$A$3:$A$5001,H$3,BD!$B$3:$B$5001,$A$45,BD!$M$3:$M$5001,"&lt;&gt;")=0,"",SUMIFS(BD!$M$3:$M$5001,BD!$A$3:$A$5001,H$3,BD!$B$3:$B$5001,$A$45)))</f>
        <v/>
      </c>
      <c r="I50" s="162" t="str">
        <f>IF(I$3="","",IF(COUNTIFS(BD!$A$3:$A$5001,I$3,BD!$B$3:$B$5001,$A$45,BD!$M$3:$M$5001,"&lt;&gt;")=0,"",SUMIFS(BD!$M$3:$M$5001,BD!$A$3:$A$5001,I$3,BD!$B$3:$B$5001,$A$45)))</f>
        <v/>
      </c>
      <c r="J50" s="162" t="str">
        <f>IF(J$3="","",IF(COUNTIFS(BD!$A$3:$A$5001,J$3,BD!$B$3:$B$5001,$A$45,BD!$M$3:$M$5001,"&lt;&gt;")=0,"",SUMIFS(BD!$M$3:$M$5001,BD!$A$3:$A$5001,J$3,BD!$B$3:$B$5001,$A$45)))</f>
        <v/>
      </c>
      <c r="K50" s="162" t="str">
        <f>IF(K$3="","",IF(COUNTIFS(BD!$A$3:$A$5001,K$3,BD!$B$3:$B$5001,$A$45,BD!$M$3:$M$5001,"&lt;&gt;")=0,"",SUMIFS(BD!$M$3:$M$5001,BD!$A$3:$A$5001,K$3,BD!$B$3:$B$5001,$A$45)))</f>
        <v/>
      </c>
      <c r="L50" s="162" t="str">
        <f>IF(L$3="","",IF(COUNTIFS(BD!$A$3:$A$5001,L$3,BD!$B$3:$B$5001,$A$45,BD!$M$3:$M$5001,"&lt;&gt;")=0,"",SUMIFS(BD!$M$3:$M$5001,BD!$A$3:$A$5001,L$3,BD!$B$3:$B$5001,$A$45)))</f>
        <v/>
      </c>
      <c r="M50" s="162" t="str">
        <f>IF(M$3="","",IF(COUNTIFS(BD!$A$3:$A$5001,M$3,BD!$B$3:$B$5001,$A$45,BD!$M$3:$M$5001,"&lt;&gt;")=0,"",SUMIFS(BD!$M$3:$M$5001,BD!$A$3:$A$5001,M$3,BD!$B$3:$B$5001,$A$45)))</f>
        <v/>
      </c>
      <c r="N50" s="162" t="str">
        <f>IF(N$3="","",IF(COUNTIFS(BD!$A$3:$A$5001,N$3,BD!$B$3:$B$5001,$A$45,BD!$M$3:$M$5001,"&lt;&gt;")=0,"",SUMIFS(BD!$M$3:$M$5001,BD!$A$3:$A$5001,N$3,BD!$B$3:$B$5001,$A$45)))</f>
        <v/>
      </c>
      <c r="O50" s="162" t="str">
        <f>IF(O$3="","",IF(COUNTIFS(BD!$A$3:$A$5001,O$3,BD!$B$3:$B$5001,$A$45,BD!$M$3:$M$5001,"&lt;&gt;")=0,"",SUMIFS(BD!$M$3:$M$5001,BD!$A$3:$A$5001,O$3,BD!$B$3:$B$5001,$A$45)))</f>
        <v/>
      </c>
      <c r="P50" s="162" t="str">
        <f>IF(P$3="","",IF(COUNTIFS(BD!$A$3:$A$5001,P$3,BD!$B$3:$B$5001,$A$45,BD!$M$3:$M$5001,"&lt;&gt;")=0,"",SUMIFS(BD!$M$3:$M$5001,BD!$A$3:$A$5001,P$3,BD!$B$3:$B$5001,$A$45)))</f>
        <v/>
      </c>
      <c r="Q50" s="162" t="str">
        <f>IF(Q$3="","",IF(COUNTIFS(BD!$A$3:$A$5001,Q$3,BD!$B$3:$B$5001,$A$45,BD!$M$3:$M$5001,"&lt;&gt;")=0,"",SUMIFS(BD!$M$3:$M$5001,BD!$A$3:$A$5001,Q$3,BD!$B$3:$B$5001,$A$45)))</f>
        <v/>
      </c>
      <c r="R50" s="162" t="str">
        <f>IF(R$3="","",IF(COUNTIFS(BD!$A$3:$A$5001,R$3,BD!$B$3:$B$5001,$A$45,BD!$M$3:$M$5001,"&lt;&gt;")=0,"",SUMIFS(BD!$M$3:$M$5001,BD!$A$3:$A$5001,R$3,BD!$B$3:$B$5001,$A$45)))</f>
        <v/>
      </c>
      <c r="S50" s="162" t="str">
        <f>IF(S$3="","",IF(COUNTIFS(BD!$A$3:$A$5001,S$3,BD!$B$3:$B$5001,$A$45,BD!$M$3:$M$5001,"&lt;&gt;")=0,"",SUMIFS(BD!$M$3:$M$5001,BD!$A$3:$A$5001,S$3,BD!$B$3:$B$5001,$A$45)))</f>
        <v/>
      </c>
      <c r="T50" s="162" t="str">
        <f>IF(T$3="","",IF(COUNTIFS(BD!$A$3:$A$5001,T$3,BD!$B$3:$B$5001,$A$45,BD!$M$3:$M$5001,"&lt;&gt;")=0,"",SUMIFS(BD!$M$3:$M$5001,BD!$A$3:$A$5001,T$3,BD!$B$3:$B$5001,$A$45)))</f>
        <v/>
      </c>
      <c r="U50" s="162" t="str">
        <f>IF(U$3="","",IF(COUNTIFS(BD!$A$3:$A$5001,U$3,BD!$B$3:$B$5001,$A$45,BD!$M$3:$M$5001,"&lt;&gt;")=0,"",SUMIFS(BD!$M$3:$M$5001,BD!$A$3:$A$5001,U$3,BD!$B$3:$B$5001,$A$45)))</f>
        <v/>
      </c>
      <c r="V50" s="162" t="str">
        <f>IF(V$3="","",IF(COUNTIFS(BD!$A$3:$A$5001,V$3,BD!$B$3:$B$5001,$A$45,BD!$M$3:$M$5001,"&lt;&gt;")=0,"",SUMIFS(BD!$M$3:$M$5001,BD!$A$3:$A$5001,V$3,BD!$B$3:$B$5001,$A$45)))</f>
        <v/>
      </c>
      <c r="W50" s="162" t="str">
        <f>IF(W$3="","",IF(COUNTIFS(BD!$A$3:$A$5001,W$3,BD!$B$3:$B$5001,$A$45,BD!$M$3:$M$5001,"&lt;&gt;")=0,"",SUMIFS(BD!$M$3:$M$5001,BD!$A$3:$A$5001,W$3,BD!$B$3:$B$5001,$A$45)))</f>
        <v/>
      </c>
      <c r="X50" s="162" t="str">
        <f>IF(X$3="","",IF(COUNTIFS(BD!$A$3:$A$5001,X$3,BD!$B$3:$B$5001,$A$45,BD!$M$3:$M$5001,"&lt;&gt;")=0,"",SUMIFS(BD!$M$3:$M$5001,BD!$A$3:$A$5001,X$3,BD!$B$3:$B$5001,$A$45)))</f>
        <v/>
      </c>
      <c r="Y50" s="162" t="str">
        <f>IF(Y$3="","",IF(COUNTIFS(BD!$A$3:$A$5001,Y$3,BD!$B$3:$B$5001,$A$45,BD!$M$3:$M$5001,"&lt;&gt;")=0,"",SUMIFS(BD!$M$3:$M$5001,BD!$A$3:$A$5001,Y$3,BD!$B$3:$B$5001,$A$45)))</f>
        <v/>
      </c>
      <c r="Z50" s="162" t="str">
        <f>IF(Z$3="","",IF(COUNTIFS(BD!$A$3:$A$5001,Z$3,BD!$B$3:$B$5001,$A$45,BD!$M$3:$M$5001,"&lt;&gt;")=0,"",SUMIFS(BD!$M$3:$M$5001,BD!$A$3:$A$5001,Z$3,BD!$B$3:$B$5001,$A$45)))</f>
        <v/>
      </c>
      <c r="AA50" s="162" t="str">
        <f>IF(AA$3="","",IF(COUNTIFS(BD!$A$3:$A$5001,AA$3,BD!$B$3:$B$5001,$A$45,BD!$M$3:$M$5001,"&lt;&gt;")=0,"",SUMIFS(BD!$M$3:$M$5001,BD!$A$3:$A$5001,AA$3,BD!$B$3:$B$5001,$A$45)))</f>
        <v/>
      </c>
      <c r="AB50" s="162" t="str">
        <f>IF(AB$3="","",IF(COUNTIFS(BD!$A$3:$A$5001,AB$3,BD!$B$3:$B$5001,$A$45,BD!$M$3:$M$5001,"&lt;&gt;")=0,"",SUMIFS(BD!$M$3:$M$5001,BD!$A$3:$A$5001,AB$3,BD!$B$3:$B$5001,$A$45)))</f>
        <v/>
      </c>
      <c r="AC50" s="162" t="str">
        <f>IF(AC$3="","",IF(COUNTIFS(BD!$A$3:$A$5001,AC$3,BD!$B$3:$B$5001,$A$45,BD!$M$3:$M$5001,"&lt;&gt;")=0,"",SUMIFS(BD!$M$3:$M$5001,BD!$A$3:$A$5001,AC$3,BD!$B$3:$B$5001,$A$45)))</f>
        <v/>
      </c>
      <c r="AD50" s="162" t="str">
        <f>IF(AD$3="","",IF(COUNTIFS(BD!$A$3:$A$5001,AD$3,BD!$B$3:$B$5001,$A$45,BD!$M$3:$M$5001,"&lt;&gt;")=0,"",SUMIFS(BD!$M$3:$M$5001,BD!$A$3:$A$5001,AD$3,BD!$B$3:$B$5001,$A$45)))</f>
        <v/>
      </c>
      <c r="AE50" s="162" t="str">
        <f>IF(AE$3="","",IF(COUNTIFS(BD!$A$3:$A$5001,AE$3,BD!$B$3:$B$5001,$A$45,BD!$M$3:$M$5001,"&lt;&gt;")=0,"",SUMIFS(BD!$M$3:$M$5001,BD!$A$3:$A$5001,AE$3,BD!$B$3:$B$5001,$A$45)))</f>
        <v/>
      </c>
      <c r="AF50" s="162" t="str">
        <f>IF(AF$3="","",IF(COUNTIFS(BD!$A$3:$A$5001,AF$3,BD!$B$3:$B$5001,$A$45,BD!$M$3:$M$5001,"&lt;&gt;")=0,"",SUMIFS(BD!$M$3:$M$5001,BD!$A$3:$A$5001,AF$3,BD!$B$3:$B$5001,$A$45)))</f>
        <v/>
      </c>
      <c r="AG50" s="162" t="str">
        <f>IF(AG$3="","",IF(COUNTIFS(BD!$A$3:$A$5001,AG$3,BD!$B$3:$B$5001,$A$45,BD!$M$3:$M$5001,"&lt;&gt;")=0,"",SUMIFS(BD!$M$3:$M$5001,BD!$A$3:$A$5001,AG$3,BD!$B$3:$B$5001,$A$45)))</f>
        <v/>
      </c>
      <c r="AH50" s="162" t="str">
        <f>IF(AH$3="","",IF(COUNTIFS(BD!$A$3:$A$5001,AH$3,BD!$B$3:$B$5001,$A$45,BD!$M$3:$M$5001,"&lt;&gt;")=0,"",SUMIFS(BD!$M$3:$M$5001,BD!$A$3:$A$5001,AH$3,BD!$B$3:$B$5001,$A$45)))</f>
        <v/>
      </c>
      <c r="AI50" s="162" t="str">
        <f>IF(AI$3="","",IF(COUNTIFS(BD!$A$3:$A$5001,AI$3,BD!$B$3:$B$5001,$A$45,BD!$M$3:$M$5001,"&lt;&gt;")=0,"",SUMIFS(BD!$M$3:$M$5001,BD!$A$3:$A$5001,AI$3,BD!$B$3:$B$5001,$A$45)))</f>
        <v/>
      </c>
      <c r="AJ50" s="163" t="str">
        <f>IF(AJ$3="","",IF(COUNTIFS(BD!$A$3:$A$5001,AJ$3,BD!$B$3:$B$5001,$A$45,BD!$M$3:$M$5001,"&lt;&gt;")=0,"",SUMIFS(BD!$M$3:$M$5001,BD!$A$3:$A$5001,AJ$3,BD!$B$3:$B$5001,$A$45)))</f>
        <v/>
      </c>
      <c r="AK50" s="159" t="str">
        <f>IF(COUNT(F50:AJ50)=0,"",SUM(F50:AJ50))</f>
        <v/>
      </c>
    </row>
    <row r="51" ht="15.75" customHeight="1">
      <c r="A51" s="227"/>
      <c r="B51" s="219" t="inlineStr">
        <is>
          <t xml:space="preserve">NC</t>
        </is>
      </c>
      <c r="C51" s="164" t="inlineStr">
        <is>
          <t xml:space="preserve">Incidentes</t>
        </is>
      </c>
      <c r="D51" s="165" t="str">
        <f>IFERROR(1/(1/INDEX(BD!$AK$41:$AT$41,MATCH($A$45,BD!$AK$22:$AT$22,0))),"")</f>
        <v/>
      </c>
      <c r="E51" s="166"/>
      <c r="F51" s="167" t="str">
        <f>IF(F$3="","",IF(COUNTIFS(BD!$A$3:$A$5001,F$3,BD!$B$3:$B$5001,$A$45,BD!$U$3:$U$5001,"&lt;&gt;")=0,"",SUMIFS(BD!$U$3:$U$5001,BD!$A$3:$A$5001,F$3,BD!$B$3:$B$5001,$A$45)))</f>
        <v/>
      </c>
      <c r="G51" s="168" t="str">
        <f>IF(G$3="","",IF(COUNTIFS(BD!$A$3:$A$5001,G$3,BD!$B$3:$B$5001,$A$45,BD!$U$3:$U$5001,"&lt;&gt;")=0,"",SUMIFS(BD!$U$3:$U$5001,BD!$A$3:$A$5001,G$3,BD!$B$3:$B$5001,$A$45)))</f>
        <v/>
      </c>
      <c r="H51" s="168" t="str">
        <f>IF(H$3="","",IF(COUNTIFS(BD!$A$3:$A$5001,H$3,BD!$B$3:$B$5001,$A$45,BD!$U$3:$U$5001,"&lt;&gt;")=0,"",SUMIFS(BD!$U$3:$U$5001,BD!$A$3:$A$5001,H$3,BD!$B$3:$B$5001,$A$45)))</f>
        <v/>
      </c>
      <c r="I51" s="168" t="str">
        <f>IF(I$3="","",IF(COUNTIFS(BD!$A$3:$A$5001,I$3,BD!$B$3:$B$5001,$A$45,BD!$U$3:$U$5001,"&lt;&gt;")=0,"",SUMIFS(BD!$U$3:$U$5001,BD!$A$3:$A$5001,I$3,BD!$B$3:$B$5001,$A$45)))</f>
        <v/>
      </c>
      <c r="J51" s="168" t="str">
        <f>IF(J$3="","",IF(COUNTIFS(BD!$A$3:$A$5001,J$3,BD!$B$3:$B$5001,$A$45,BD!$U$3:$U$5001,"&lt;&gt;")=0,"",SUMIFS(BD!$U$3:$U$5001,BD!$A$3:$A$5001,J$3,BD!$B$3:$B$5001,$A$45)))</f>
        <v/>
      </c>
      <c r="K51" s="168" t="str">
        <f>IF(K$3="","",IF(COUNTIFS(BD!$A$3:$A$5001,K$3,BD!$B$3:$B$5001,$A$45,BD!$U$3:$U$5001,"&lt;&gt;")=0,"",SUMIFS(BD!$U$3:$U$5001,BD!$A$3:$A$5001,K$3,BD!$B$3:$B$5001,$A$45)))</f>
        <v/>
      </c>
      <c r="L51" s="168" t="str">
        <f>IF(L$3="","",IF(COUNTIFS(BD!$A$3:$A$5001,L$3,BD!$B$3:$B$5001,$A$45,BD!$U$3:$U$5001,"&lt;&gt;")=0,"",SUMIFS(BD!$U$3:$U$5001,BD!$A$3:$A$5001,L$3,BD!$B$3:$B$5001,$A$45)))</f>
        <v/>
      </c>
      <c r="M51" s="168" t="str">
        <f>IF(M$3="","",IF(COUNTIFS(BD!$A$3:$A$5001,M$3,BD!$B$3:$B$5001,$A$45,BD!$U$3:$U$5001,"&lt;&gt;")=0,"",SUMIFS(BD!$U$3:$U$5001,BD!$A$3:$A$5001,M$3,BD!$B$3:$B$5001,$A$45)))</f>
        <v/>
      </c>
      <c r="N51" s="168" t="str">
        <f>IF(N$3="","",IF(COUNTIFS(BD!$A$3:$A$5001,N$3,BD!$B$3:$B$5001,$A$45,BD!$U$3:$U$5001,"&lt;&gt;")=0,"",SUMIFS(BD!$U$3:$U$5001,BD!$A$3:$A$5001,N$3,BD!$B$3:$B$5001,$A$45)))</f>
        <v/>
      </c>
      <c r="O51" s="168" t="str">
        <f>IF(O$3="","",IF(COUNTIFS(BD!$A$3:$A$5001,O$3,BD!$B$3:$B$5001,$A$45,BD!$U$3:$U$5001,"&lt;&gt;")=0,"",SUMIFS(BD!$U$3:$U$5001,BD!$A$3:$A$5001,O$3,BD!$B$3:$B$5001,$A$45)))</f>
        <v/>
      </c>
      <c r="P51" s="168" t="str">
        <f>IF(P$3="","",IF(COUNTIFS(BD!$A$3:$A$5001,P$3,BD!$B$3:$B$5001,$A$45,BD!$U$3:$U$5001,"&lt;&gt;")=0,"",SUMIFS(BD!$U$3:$U$5001,BD!$A$3:$A$5001,P$3,BD!$B$3:$B$5001,$A$45)))</f>
        <v/>
      </c>
      <c r="Q51" s="168" t="str">
        <f>IF(Q$3="","",IF(COUNTIFS(BD!$A$3:$A$5001,Q$3,BD!$B$3:$B$5001,$A$45,BD!$U$3:$U$5001,"&lt;&gt;")=0,"",SUMIFS(BD!$U$3:$U$5001,BD!$A$3:$A$5001,Q$3,BD!$B$3:$B$5001,$A$45)))</f>
        <v/>
      </c>
      <c r="R51" s="168" t="str">
        <f>IF(R$3="","",IF(COUNTIFS(BD!$A$3:$A$5001,R$3,BD!$B$3:$B$5001,$A$45,BD!$U$3:$U$5001,"&lt;&gt;")=0,"",SUMIFS(BD!$U$3:$U$5001,BD!$A$3:$A$5001,R$3,BD!$B$3:$B$5001,$A$45)))</f>
        <v/>
      </c>
      <c r="S51" s="168" t="str">
        <f>IF(S$3="","",IF(COUNTIFS(BD!$A$3:$A$5001,S$3,BD!$B$3:$B$5001,$A$45,BD!$U$3:$U$5001,"&lt;&gt;")=0,"",SUMIFS(BD!$U$3:$U$5001,BD!$A$3:$A$5001,S$3,BD!$B$3:$B$5001,$A$45)))</f>
        <v/>
      </c>
      <c r="T51" s="168" t="str">
        <f>IF(T$3="","",IF(COUNTIFS(BD!$A$3:$A$5001,T$3,BD!$B$3:$B$5001,$A$45,BD!$U$3:$U$5001,"&lt;&gt;")=0,"",SUMIFS(BD!$U$3:$U$5001,BD!$A$3:$A$5001,T$3,BD!$B$3:$B$5001,$A$45)))</f>
        <v/>
      </c>
      <c r="U51" s="168" t="str">
        <f>IF(U$3="","",IF(COUNTIFS(BD!$A$3:$A$5001,U$3,BD!$B$3:$B$5001,$A$45,BD!$U$3:$U$5001,"&lt;&gt;")=0,"",SUMIFS(BD!$U$3:$U$5001,BD!$A$3:$A$5001,U$3,BD!$B$3:$B$5001,$A$45)))</f>
        <v/>
      </c>
      <c r="V51" s="168" t="str">
        <f>IF(V$3="","",IF(COUNTIFS(BD!$A$3:$A$5001,V$3,BD!$B$3:$B$5001,$A$45,BD!$U$3:$U$5001,"&lt;&gt;")=0,"",SUMIFS(BD!$U$3:$U$5001,BD!$A$3:$A$5001,V$3,BD!$B$3:$B$5001,$A$45)))</f>
        <v/>
      </c>
      <c r="W51" s="168" t="str">
        <f>IF(W$3="","",IF(COUNTIFS(BD!$A$3:$A$5001,W$3,BD!$B$3:$B$5001,$A$45,BD!$U$3:$U$5001,"&lt;&gt;")=0,"",SUMIFS(BD!$U$3:$U$5001,BD!$A$3:$A$5001,W$3,BD!$B$3:$B$5001,$A$45)))</f>
        <v/>
      </c>
      <c r="X51" s="168" t="str">
        <f>IF(X$3="","",IF(COUNTIFS(BD!$A$3:$A$5001,X$3,BD!$B$3:$B$5001,$A$45,BD!$U$3:$U$5001,"&lt;&gt;")=0,"",SUMIFS(BD!$U$3:$U$5001,BD!$A$3:$A$5001,X$3,BD!$B$3:$B$5001,$A$45)))</f>
        <v/>
      </c>
      <c r="Y51" s="168" t="str">
        <f>IF(Y$3="","",IF(COUNTIFS(BD!$A$3:$A$5001,Y$3,BD!$B$3:$B$5001,$A$45,BD!$U$3:$U$5001,"&lt;&gt;")=0,"",SUMIFS(BD!$U$3:$U$5001,BD!$A$3:$A$5001,Y$3,BD!$B$3:$B$5001,$A$45)))</f>
        <v/>
      </c>
      <c r="Z51" s="168" t="str">
        <f>IF(Z$3="","",IF(COUNTIFS(BD!$A$3:$A$5001,Z$3,BD!$B$3:$B$5001,$A$45,BD!$U$3:$U$5001,"&lt;&gt;")=0,"",SUMIFS(BD!$U$3:$U$5001,BD!$A$3:$A$5001,Z$3,BD!$B$3:$B$5001,$A$45)))</f>
        <v/>
      </c>
      <c r="AA51" s="168" t="str">
        <f>IF(AA$3="","",IF(COUNTIFS(BD!$A$3:$A$5001,AA$3,BD!$B$3:$B$5001,$A$45,BD!$U$3:$U$5001,"&lt;&gt;")=0,"",SUMIFS(BD!$U$3:$U$5001,BD!$A$3:$A$5001,AA$3,BD!$B$3:$B$5001,$A$45)))</f>
        <v/>
      </c>
      <c r="AB51" s="168" t="str">
        <f>IF(AB$3="","",IF(COUNTIFS(BD!$A$3:$A$5001,AB$3,BD!$B$3:$B$5001,$A$45,BD!$U$3:$U$5001,"&lt;&gt;")=0,"",SUMIFS(BD!$U$3:$U$5001,BD!$A$3:$A$5001,AB$3,BD!$B$3:$B$5001,$A$45)))</f>
        <v/>
      </c>
      <c r="AC51" s="168" t="str">
        <f>IF(AC$3="","",IF(COUNTIFS(BD!$A$3:$A$5001,AC$3,BD!$B$3:$B$5001,$A$45,BD!$U$3:$U$5001,"&lt;&gt;")=0,"",SUMIFS(BD!$U$3:$U$5001,BD!$A$3:$A$5001,AC$3,BD!$B$3:$B$5001,$A$45)))</f>
        <v/>
      </c>
      <c r="AD51" s="168" t="str">
        <f>IF(AD$3="","",IF(COUNTIFS(BD!$A$3:$A$5001,AD$3,BD!$B$3:$B$5001,$A$45,BD!$U$3:$U$5001,"&lt;&gt;")=0,"",SUMIFS(BD!$U$3:$U$5001,BD!$A$3:$A$5001,AD$3,BD!$B$3:$B$5001,$A$45)))</f>
        <v/>
      </c>
      <c r="AE51" s="168" t="str">
        <f>IF(AE$3="","",IF(COUNTIFS(BD!$A$3:$A$5001,AE$3,BD!$B$3:$B$5001,$A$45,BD!$U$3:$U$5001,"&lt;&gt;")=0,"",SUMIFS(BD!$U$3:$U$5001,BD!$A$3:$A$5001,AE$3,BD!$B$3:$B$5001,$A$45)))</f>
        <v/>
      </c>
      <c r="AF51" s="168" t="str">
        <f>IF(AF$3="","",IF(COUNTIFS(BD!$A$3:$A$5001,AF$3,BD!$B$3:$B$5001,$A$45,BD!$U$3:$U$5001,"&lt;&gt;")=0,"",SUMIFS(BD!$U$3:$U$5001,BD!$A$3:$A$5001,AF$3,BD!$B$3:$B$5001,$A$45)))</f>
        <v/>
      </c>
      <c r="AG51" s="168" t="str">
        <f>IF(AG$3="","",IF(COUNTIFS(BD!$A$3:$A$5001,AG$3,BD!$B$3:$B$5001,$A$45,BD!$U$3:$U$5001,"&lt;&gt;")=0,"",SUMIFS(BD!$U$3:$U$5001,BD!$A$3:$A$5001,AG$3,BD!$B$3:$B$5001,$A$45)))</f>
        <v/>
      </c>
      <c r="AH51" s="168" t="str">
        <f>IF(AH$3="","",IF(COUNTIFS(BD!$A$3:$A$5001,AH$3,BD!$B$3:$B$5001,$A$45,BD!$U$3:$U$5001,"&lt;&gt;")=0,"",SUMIFS(BD!$U$3:$U$5001,BD!$A$3:$A$5001,AH$3,BD!$B$3:$B$5001,$A$45)))</f>
        <v/>
      </c>
      <c r="AI51" s="168" t="str">
        <f>IF(AI$3="","",IF(COUNTIFS(BD!$A$3:$A$5001,AI$3,BD!$B$3:$B$5001,$A$45,BD!$U$3:$U$5001,"&lt;&gt;")=0,"",SUMIFS(BD!$U$3:$U$5001,BD!$A$3:$A$5001,AI$3,BD!$B$3:$B$5001,$A$45)))</f>
        <v/>
      </c>
      <c r="AJ51" s="169" t="str">
        <f>IF(AJ$3="","",IF(COUNTIFS(BD!$A$3:$A$5001,AJ$3,BD!$B$3:$B$5001,$A$45,BD!$U$3:$U$5001,"&lt;&gt;")=0,"",SUMIFS(BD!$U$3:$U$5001,BD!$A$3:$A$5001,AJ$3,BD!$B$3:$B$5001,$A$45)))</f>
        <v/>
      </c>
      <c r="AK51" s="170" t="str">
        <f>IF(COUNT(F51:AJ51)=0,"",SUM(F51:AJ51))</f>
        <v/>
      </c>
    </row>
    <row r="52" ht="15.75" customHeight="1">
      <c r="A52" s="227"/>
      <c r="B52" s="220"/>
      <c r="C52" s="171" t="inlineStr">
        <is>
          <t xml:space="preserve">No show</t>
        </is>
      </c>
      <c r="D52" s="172" t="str">
        <f>IFERROR(1/(1/INDEX(BD!$AK$42:$AT$42,MATCH($A$45,BD!$AK$22:$AT$22,0))),"")</f>
        <v/>
      </c>
      <c r="E52" s="173"/>
      <c r="F52" s="174" t="str">
        <f>IF(F$3="","",IF(COUNTIFS(BD!$A$3:$A$5001,F$3,BD!$B$3:$B$5001,$A$45,BD!$V$3:$V$5001,"&lt;&gt;")=0,"",SUMIFS(BD!$V$3:$V$5001,BD!$A$3:$A$5001,F$3,BD!$B$3:$B$5001,$A$45)))</f>
        <v/>
      </c>
      <c r="G52" s="175" t="str">
        <f>IF(G$3="","",IF(COUNTIFS(BD!$A$3:$A$5001,G$3,BD!$B$3:$B$5001,$A$45,BD!$V$3:$V$5001,"&lt;&gt;")=0,"",SUMIFS(BD!$V$3:$V$5001,BD!$A$3:$A$5001,G$3,BD!$B$3:$B$5001,$A$45)))</f>
        <v/>
      </c>
      <c r="H52" s="175" t="str">
        <f>IF(H$3="","",IF(COUNTIFS(BD!$A$3:$A$5001,H$3,BD!$B$3:$B$5001,$A$45,BD!$V$3:$V$5001,"&lt;&gt;")=0,"",SUMIFS(BD!$V$3:$V$5001,BD!$A$3:$A$5001,H$3,BD!$B$3:$B$5001,$A$45)))</f>
        <v/>
      </c>
      <c r="I52" s="175" t="str">
        <f>IF(I$3="","",IF(COUNTIFS(BD!$A$3:$A$5001,I$3,BD!$B$3:$B$5001,$A$45,BD!$V$3:$V$5001,"&lt;&gt;")=0,"",SUMIFS(BD!$V$3:$V$5001,BD!$A$3:$A$5001,I$3,BD!$B$3:$B$5001,$A$45)))</f>
        <v/>
      </c>
      <c r="J52" s="175" t="str">
        <f>IF(J$3="","",IF(COUNTIFS(BD!$A$3:$A$5001,J$3,BD!$B$3:$B$5001,$A$45,BD!$V$3:$V$5001,"&lt;&gt;")=0,"",SUMIFS(BD!$V$3:$V$5001,BD!$A$3:$A$5001,J$3,BD!$B$3:$B$5001,$A$45)))</f>
        <v/>
      </c>
      <c r="K52" s="175" t="str">
        <f>IF(K$3="","",IF(COUNTIFS(BD!$A$3:$A$5001,K$3,BD!$B$3:$B$5001,$A$45,BD!$V$3:$V$5001,"&lt;&gt;")=0,"",SUMIFS(BD!$V$3:$V$5001,BD!$A$3:$A$5001,K$3,BD!$B$3:$B$5001,$A$45)))</f>
        <v/>
      </c>
      <c r="L52" s="175" t="str">
        <f>IF(L$3="","",IF(COUNTIFS(BD!$A$3:$A$5001,L$3,BD!$B$3:$B$5001,$A$45,BD!$V$3:$V$5001,"&lt;&gt;")=0,"",SUMIFS(BD!$V$3:$V$5001,BD!$A$3:$A$5001,L$3,BD!$B$3:$B$5001,$A$45)))</f>
        <v/>
      </c>
      <c r="M52" s="175" t="str">
        <f>IF(M$3="","",IF(COUNTIFS(BD!$A$3:$A$5001,M$3,BD!$B$3:$B$5001,$A$45,BD!$V$3:$V$5001,"&lt;&gt;")=0,"",SUMIFS(BD!$V$3:$V$5001,BD!$A$3:$A$5001,M$3,BD!$B$3:$B$5001,$A$45)))</f>
        <v/>
      </c>
      <c r="N52" s="175" t="str">
        <f>IF(N$3="","",IF(COUNTIFS(BD!$A$3:$A$5001,N$3,BD!$B$3:$B$5001,$A$45,BD!$V$3:$V$5001,"&lt;&gt;")=0,"",SUMIFS(BD!$V$3:$V$5001,BD!$A$3:$A$5001,N$3,BD!$B$3:$B$5001,$A$45)))</f>
        <v/>
      </c>
      <c r="O52" s="175" t="str">
        <f>IF(O$3="","",IF(COUNTIFS(BD!$A$3:$A$5001,O$3,BD!$B$3:$B$5001,$A$45,BD!$V$3:$V$5001,"&lt;&gt;")=0,"",SUMIFS(BD!$V$3:$V$5001,BD!$A$3:$A$5001,O$3,BD!$B$3:$B$5001,$A$45)))</f>
        <v/>
      </c>
      <c r="P52" s="175" t="str">
        <f>IF(P$3="","",IF(COUNTIFS(BD!$A$3:$A$5001,P$3,BD!$B$3:$B$5001,$A$45,BD!$V$3:$V$5001,"&lt;&gt;")=0,"",SUMIFS(BD!$V$3:$V$5001,BD!$A$3:$A$5001,P$3,BD!$B$3:$B$5001,$A$45)))</f>
        <v/>
      </c>
      <c r="Q52" s="175" t="str">
        <f>IF(Q$3="","",IF(COUNTIFS(BD!$A$3:$A$5001,Q$3,BD!$B$3:$B$5001,$A$45,BD!$V$3:$V$5001,"&lt;&gt;")=0,"",SUMIFS(BD!$V$3:$V$5001,BD!$A$3:$A$5001,Q$3,BD!$B$3:$B$5001,$A$45)))</f>
        <v/>
      </c>
      <c r="R52" s="175" t="str">
        <f>IF(R$3="","",IF(COUNTIFS(BD!$A$3:$A$5001,R$3,BD!$B$3:$B$5001,$A$45,BD!$V$3:$V$5001,"&lt;&gt;")=0,"",SUMIFS(BD!$V$3:$V$5001,BD!$A$3:$A$5001,R$3,BD!$B$3:$B$5001,$A$45)))</f>
        <v/>
      </c>
      <c r="S52" s="175" t="str">
        <f>IF(S$3="","",IF(COUNTIFS(BD!$A$3:$A$5001,S$3,BD!$B$3:$B$5001,$A$45,BD!$V$3:$V$5001,"&lt;&gt;")=0,"",SUMIFS(BD!$V$3:$V$5001,BD!$A$3:$A$5001,S$3,BD!$B$3:$B$5001,$A$45)))</f>
        <v/>
      </c>
      <c r="T52" s="175" t="str">
        <f>IF(T$3="","",IF(COUNTIFS(BD!$A$3:$A$5001,T$3,BD!$B$3:$B$5001,$A$45,BD!$V$3:$V$5001,"&lt;&gt;")=0,"",SUMIFS(BD!$V$3:$V$5001,BD!$A$3:$A$5001,T$3,BD!$B$3:$B$5001,$A$45)))</f>
        <v/>
      </c>
      <c r="U52" s="175" t="str">
        <f>IF(U$3="","",IF(COUNTIFS(BD!$A$3:$A$5001,U$3,BD!$B$3:$B$5001,$A$45,BD!$V$3:$V$5001,"&lt;&gt;")=0,"",SUMIFS(BD!$V$3:$V$5001,BD!$A$3:$A$5001,U$3,BD!$B$3:$B$5001,$A$45)))</f>
        <v/>
      </c>
      <c r="V52" s="175" t="str">
        <f>IF(V$3="","",IF(COUNTIFS(BD!$A$3:$A$5001,V$3,BD!$B$3:$B$5001,$A$45,BD!$V$3:$V$5001,"&lt;&gt;")=0,"",SUMIFS(BD!$V$3:$V$5001,BD!$A$3:$A$5001,V$3,BD!$B$3:$B$5001,$A$45)))</f>
        <v/>
      </c>
      <c r="W52" s="175" t="str">
        <f>IF(W$3="","",IF(COUNTIFS(BD!$A$3:$A$5001,W$3,BD!$B$3:$B$5001,$A$45,BD!$V$3:$V$5001,"&lt;&gt;")=0,"",SUMIFS(BD!$V$3:$V$5001,BD!$A$3:$A$5001,W$3,BD!$B$3:$B$5001,$A$45)))</f>
        <v/>
      </c>
      <c r="X52" s="175" t="str">
        <f>IF(X$3="","",IF(COUNTIFS(BD!$A$3:$A$5001,X$3,BD!$B$3:$B$5001,$A$45,BD!$V$3:$V$5001,"&lt;&gt;")=0,"",SUMIFS(BD!$V$3:$V$5001,BD!$A$3:$A$5001,X$3,BD!$B$3:$B$5001,$A$45)))</f>
        <v/>
      </c>
      <c r="Y52" s="175" t="str">
        <f>IF(Y$3="","",IF(COUNTIFS(BD!$A$3:$A$5001,Y$3,BD!$B$3:$B$5001,$A$45,BD!$V$3:$V$5001,"&lt;&gt;")=0,"",SUMIFS(BD!$V$3:$V$5001,BD!$A$3:$A$5001,Y$3,BD!$B$3:$B$5001,$A$45)))</f>
        <v/>
      </c>
      <c r="Z52" s="175" t="str">
        <f>IF(Z$3="","",IF(COUNTIFS(BD!$A$3:$A$5001,Z$3,BD!$B$3:$B$5001,$A$45,BD!$V$3:$V$5001,"&lt;&gt;")=0,"",SUMIFS(BD!$V$3:$V$5001,BD!$A$3:$A$5001,Z$3,BD!$B$3:$B$5001,$A$45)))</f>
        <v/>
      </c>
      <c r="AA52" s="175" t="str">
        <f>IF(AA$3="","",IF(COUNTIFS(BD!$A$3:$A$5001,AA$3,BD!$B$3:$B$5001,$A$45,BD!$V$3:$V$5001,"&lt;&gt;")=0,"",SUMIFS(BD!$V$3:$V$5001,BD!$A$3:$A$5001,AA$3,BD!$B$3:$B$5001,$A$45)))</f>
        <v/>
      </c>
      <c r="AB52" s="175" t="str">
        <f>IF(AB$3="","",IF(COUNTIFS(BD!$A$3:$A$5001,AB$3,BD!$B$3:$B$5001,$A$45,BD!$V$3:$V$5001,"&lt;&gt;")=0,"",SUMIFS(BD!$V$3:$V$5001,BD!$A$3:$A$5001,AB$3,BD!$B$3:$B$5001,$A$45)))</f>
        <v/>
      </c>
      <c r="AC52" s="175" t="str">
        <f>IF(AC$3="","",IF(COUNTIFS(BD!$A$3:$A$5001,AC$3,BD!$B$3:$B$5001,$A$45,BD!$V$3:$V$5001,"&lt;&gt;")=0,"",SUMIFS(BD!$V$3:$V$5001,BD!$A$3:$A$5001,AC$3,BD!$B$3:$B$5001,$A$45)))</f>
        <v/>
      </c>
      <c r="AD52" s="175" t="str">
        <f>IF(AD$3="","",IF(COUNTIFS(BD!$A$3:$A$5001,AD$3,BD!$B$3:$B$5001,$A$45,BD!$V$3:$V$5001,"&lt;&gt;")=0,"",SUMIFS(BD!$V$3:$V$5001,BD!$A$3:$A$5001,AD$3,BD!$B$3:$B$5001,$A$45)))</f>
        <v/>
      </c>
      <c r="AE52" s="175" t="str">
        <f>IF(AE$3="","",IF(COUNTIFS(BD!$A$3:$A$5001,AE$3,BD!$B$3:$B$5001,$A$45,BD!$V$3:$V$5001,"&lt;&gt;")=0,"",SUMIFS(BD!$V$3:$V$5001,BD!$A$3:$A$5001,AE$3,BD!$B$3:$B$5001,$A$45)))</f>
        <v/>
      </c>
      <c r="AF52" s="175" t="str">
        <f>IF(AF$3="","",IF(COUNTIFS(BD!$A$3:$A$5001,AF$3,BD!$B$3:$B$5001,$A$45,BD!$V$3:$V$5001,"&lt;&gt;")=0,"",SUMIFS(BD!$V$3:$V$5001,BD!$A$3:$A$5001,AF$3,BD!$B$3:$B$5001,$A$45)))</f>
        <v/>
      </c>
      <c r="AG52" s="175" t="str">
        <f>IF(AG$3="","",IF(COUNTIFS(BD!$A$3:$A$5001,AG$3,BD!$B$3:$B$5001,$A$45,BD!$V$3:$V$5001,"&lt;&gt;")=0,"",SUMIFS(BD!$V$3:$V$5001,BD!$A$3:$A$5001,AG$3,BD!$B$3:$B$5001,$A$45)))</f>
        <v/>
      </c>
      <c r="AH52" s="175" t="str">
        <f>IF(AH$3="","",IF(COUNTIFS(BD!$A$3:$A$5001,AH$3,BD!$B$3:$B$5001,$A$45,BD!$V$3:$V$5001,"&lt;&gt;")=0,"",SUMIFS(BD!$V$3:$V$5001,BD!$A$3:$A$5001,AH$3,BD!$B$3:$B$5001,$A$45)))</f>
        <v/>
      </c>
      <c r="AI52" s="175" t="str">
        <f>IF(AI$3="","",IF(COUNTIFS(BD!$A$3:$A$5001,AI$3,BD!$B$3:$B$5001,$A$45,BD!$V$3:$V$5001,"&lt;&gt;")=0,"",SUMIFS(BD!$V$3:$V$5001,BD!$A$3:$A$5001,AI$3,BD!$B$3:$B$5001,$A$45)))</f>
        <v/>
      </c>
      <c r="AJ52" s="176" t="str">
        <f>IF(AJ$3="","",IF(COUNTIFS(BD!$A$3:$A$5001,AJ$3,BD!$B$3:$B$5001,$A$45,BD!$V$3:$V$5001,"&lt;&gt;")=0,"",SUMIFS(BD!$V$3:$V$5001,BD!$A$3:$A$5001,AJ$3,BD!$B$3:$B$5001,$A$45)))</f>
        <v/>
      </c>
      <c r="AK52" s="177" t="str">
        <f>IF(COUNT(F52:AJ52)=0,"",SUM(F52:AJ52))</f>
        <v/>
      </c>
    </row>
    <row r="53" ht="15.75" customHeight="1">
      <c r="A53" s="227"/>
      <c r="B53" s="221"/>
      <c r="C53" s="178" t="inlineStr">
        <is>
          <t xml:space="preserve">Backlog</t>
        </is>
      </c>
      <c r="D53" s="179" t="str">
        <f>IFERROR(1/(1/INDEX(BD!$AK$43:$AT$43,MATCH($A$45,BD!$AK$22:$AT$22,0))),"")</f>
        <v/>
      </c>
      <c r="E53" s="180"/>
      <c r="F53" s="181" t="str">
        <f>IF(F$3="","",IF(COUNTIFS(BD!$A$3:$A$5001,F$3,BD!$B$3:$B$5001,$A$45,BD!$W$3:$W$5001,"&lt;&gt;")=0,"",SUMIFS(BD!$W$3:$W$5001,BD!$A$3:$A$5001,F$3,BD!$B$3:$B$5001,$A$45)))</f>
        <v/>
      </c>
      <c r="G53" s="182" t="str">
        <f>IF(G$3="","",IF(COUNTIFS(BD!$A$3:$A$5001,G$3,BD!$B$3:$B$5001,$A$45,BD!$W$3:$W$5001,"&lt;&gt;")=0,"",SUMIFS(BD!$W$3:$W$5001,BD!$A$3:$A$5001,G$3,BD!$B$3:$B$5001,$A$45)))</f>
        <v/>
      </c>
      <c r="H53" s="182" t="str">
        <f>IF(H$3="","",IF(COUNTIFS(BD!$A$3:$A$5001,H$3,BD!$B$3:$B$5001,$A$45,BD!$W$3:$W$5001,"&lt;&gt;")=0,"",SUMIFS(BD!$W$3:$W$5001,BD!$A$3:$A$5001,H$3,BD!$B$3:$B$5001,$A$45)))</f>
        <v/>
      </c>
      <c r="I53" s="182" t="str">
        <f>IF(I$3="","",IF(COUNTIFS(BD!$A$3:$A$5001,I$3,BD!$B$3:$B$5001,$A$45,BD!$W$3:$W$5001,"&lt;&gt;")=0,"",SUMIFS(BD!$W$3:$W$5001,BD!$A$3:$A$5001,I$3,BD!$B$3:$B$5001,$A$45)))</f>
        <v/>
      </c>
      <c r="J53" s="182" t="str">
        <f>IF(J$3="","",IF(COUNTIFS(BD!$A$3:$A$5001,J$3,BD!$B$3:$B$5001,$A$45,BD!$W$3:$W$5001,"&lt;&gt;")=0,"",SUMIFS(BD!$W$3:$W$5001,BD!$A$3:$A$5001,J$3,BD!$B$3:$B$5001,$A$45)))</f>
        <v/>
      </c>
      <c r="K53" s="182" t="str">
        <f>IF(K$3="","",IF(COUNTIFS(BD!$A$3:$A$5001,K$3,BD!$B$3:$B$5001,$A$45,BD!$W$3:$W$5001,"&lt;&gt;")=0,"",SUMIFS(BD!$W$3:$W$5001,BD!$A$3:$A$5001,K$3,BD!$B$3:$B$5001,$A$45)))</f>
        <v/>
      </c>
      <c r="L53" s="182" t="str">
        <f>IF(L$3="","",IF(COUNTIFS(BD!$A$3:$A$5001,L$3,BD!$B$3:$B$5001,$A$45,BD!$W$3:$W$5001,"&lt;&gt;")=0,"",SUMIFS(BD!$W$3:$W$5001,BD!$A$3:$A$5001,L$3,BD!$B$3:$B$5001,$A$45)))</f>
        <v/>
      </c>
      <c r="M53" s="182" t="str">
        <f>IF(M$3="","",IF(COUNTIFS(BD!$A$3:$A$5001,M$3,BD!$B$3:$B$5001,$A$45,BD!$W$3:$W$5001,"&lt;&gt;")=0,"",SUMIFS(BD!$W$3:$W$5001,BD!$A$3:$A$5001,M$3,BD!$B$3:$B$5001,$A$45)))</f>
        <v/>
      </c>
      <c r="N53" s="182" t="str">
        <f>IF(N$3="","",IF(COUNTIFS(BD!$A$3:$A$5001,N$3,BD!$B$3:$B$5001,$A$45,BD!$W$3:$W$5001,"&lt;&gt;")=0,"",SUMIFS(BD!$W$3:$W$5001,BD!$A$3:$A$5001,N$3,BD!$B$3:$B$5001,$A$45)))</f>
        <v/>
      </c>
      <c r="O53" s="182" t="str">
        <f>IF(O$3="","",IF(COUNTIFS(BD!$A$3:$A$5001,O$3,BD!$B$3:$B$5001,$A$45,BD!$W$3:$W$5001,"&lt;&gt;")=0,"",SUMIFS(BD!$W$3:$W$5001,BD!$A$3:$A$5001,O$3,BD!$B$3:$B$5001,$A$45)))</f>
        <v/>
      </c>
      <c r="P53" s="182" t="str">
        <f>IF(P$3="","",IF(COUNTIFS(BD!$A$3:$A$5001,P$3,BD!$B$3:$B$5001,$A$45,BD!$W$3:$W$5001,"&lt;&gt;")=0,"",SUMIFS(BD!$W$3:$W$5001,BD!$A$3:$A$5001,P$3,BD!$B$3:$B$5001,$A$45)))</f>
        <v/>
      </c>
      <c r="Q53" s="182" t="str">
        <f>IF(Q$3="","",IF(COUNTIFS(BD!$A$3:$A$5001,Q$3,BD!$B$3:$B$5001,$A$45,BD!$W$3:$W$5001,"&lt;&gt;")=0,"",SUMIFS(BD!$W$3:$W$5001,BD!$A$3:$A$5001,Q$3,BD!$B$3:$B$5001,$A$45)))</f>
        <v/>
      </c>
      <c r="R53" s="182" t="str">
        <f>IF(R$3="","",IF(COUNTIFS(BD!$A$3:$A$5001,R$3,BD!$B$3:$B$5001,$A$45,BD!$W$3:$W$5001,"&lt;&gt;")=0,"",SUMIFS(BD!$W$3:$W$5001,BD!$A$3:$A$5001,R$3,BD!$B$3:$B$5001,$A$45)))</f>
        <v/>
      </c>
      <c r="S53" s="182" t="str">
        <f>IF(S$3="","",IF(COUNTIFS(BD!$A$3:$A$5001,S$3,BD!$B$3:$B$5001,$A$45,BD!$W$3:$W$5001,"&lt;&gt;")=0,"",SUMIFS(BD!$W$3:$W$5001,BD!$A$3:$A$5001,S$3,BD!$B$3:$B$5001,$A$45)))</f>
        <v/>
      </c>
      <c r="T53" s="182" t="str">
        <f>IF(T$3="","",IF(COUNTIFS(BD!$A$3:$A$5001,T$3,BD!$B$3:$B$5001,$A$45,BD!$W$3:$W$5001,"&lt;&gt;")=0,"",SUMIFS(BD!$W$3:$W$5001,BD!$A$3:$A$5001,T$3,BD!$B$3:$B$5001,$A$45)))</f>
        <v/>
      </c>
      <c r="U53" s="182" t="str">
        <f>IF(U$3="","",IF(COUNTIFS(BD!$A$3:$A$5001,U$3,BD!$B$3:$B$5001,$A$45,BD!$W$3:$W$5001,"&lt;&gt;")=0,"",SUMIFS(BD!$W$3:$W$5001,BD!$A$3:$A$5001,U$3,BD!$B$3:$B$5001,$A$45)))</f>
        <v/>
      </c>
      <c r="V53" s="182" t="str">
        <f>IF(V$3="","",IF(COUNTIFS(BD!$A$3:$A$5001,V$3,BD!$B$3:$B$5001,$A$45,BD!$W$3:$W$5001,"&lt;&gt;")=0,"",SUMIFS(BD!$W$3:$W$5001,BD!$A$3:$A$5001,V$3,BD!$B$3:$B$5001,$A$45)))</f>
        <v/>
      </c>
      <c r="W53" s="182" t="str">
        <f>IF(W$3="","",IF(COUNTIFS(BD!$A$3:$A$5001,W$3,BD!$B$3:$B$5001,$A$45,BD!$W$3:$W$5001,"&lt;&gt;")=0,"",SUMIFS(BD!$W$3:$W$5001,BD!$A$3:$A$5001,W$3,BD!$B$3:$B$5001,$A$45)))</f>
        <v/>
      </c>
      <c r="X53" s="182" t="str">
        <f>IF(X$3="","",IF(COUNTIFS(BD!$A$3:$A$5001,X$3,BD!$B$3:$B$5001,$A$45,BD!$W$3:$W$5001,"&lt;&gt;")=0,"",SUMIFS(BD!$W$3:$W$5001,BD!$A$3:$A$5001,X$3,BD!$B$3:$B$5001,$A$45)))</f>
        <v/>
      </c>
      <c r="Y53" s="182" t="str">
        <f>IF(Y$3="","",IF(COUNTIFS(BD!$A$3:$A$5001,Y$3,BD!$B$3:$B$5001,$A$45,BD!$W$3:$W$5001,"&lt;&gt;")=0,"",SUMIFS(BD!$W$3:$W$5001,BD!$A$3:$A$5001,Y$3,BD!$B$3:$B$5001,$A$45)))</f>
        <v/>
      </c>
      <c r="Z53" s="182" t="str">
        <f>IF(Z$3="","",IF(COUNTIFS(BD!$A$3:$A$5001,Z$3,BD!$B$3:$B$5001,$A$45,BD!$W$3:$W$5001,"&lt;&gt;")=0,"",SUMIFS(BD!$W$3:$W$5001,BD!$A$3:$A$5001,Z$3,BD!$B$3:$B$5001,$A$45)))</f>
        <v/>
      </c>
      <c r="AA53" s="182" t="str">
        <f>IF(AA$3="","",IF(COUNTIFS(BD!$A$3:$A$5001,AA$3,BD!$B$3:$B$5001,$A$45,BD!$W$3:$W$5001,"&lt;&gt;")=0,"",SUMIFS(BD!$W$3:$W$5001,BD!$A$3:$A$5001,AA$3,BD!$B$3:$B$5001,$A$45)))</f>
        <v/>
      </c>
      <c r="AB53" s="182" t="str">
        <f>IF(AB$3="","",IF(COUNTIFS(BD!$A$3:$A$5001,AB$3,BD!$B$3:$B$5001,$A$45,BD!$W$3:$W$5001,"&lt;&gt;")=0,"",SUMIFS(BD!$W$3:$W$5001,BD!$A$3:$A$5001,AB$3,BD!$B$3:$B$5001,$A$45)))</f>
        <v/>
      </c>
      <c r="AC53" s="182" t="str">
        <f>IF(AC$3="","",IF(COUNTIFS(BD!$A$3:$A$5001,AC$3,BD!$B$3:$B$5001,$A$45,BD!$W$3:$W$5001,"&lt;&gt;")=0,"",SUMIFS(BD!$W$3:$W$5001,BD!$A$3:$A$5001,AC$3,BD!$B$3:$B$5001,$A$45)))</f>
        <v/>
      </c>
      <c r="AD53" s="182" t="str">
        <f>IF(AD$3="","",IF(COUNTIFS(BD!$A$3:$A$5001,AD$3,BD!$B$3:$B$5001,$A$45,BD!$W$3:$W$5001,"&lt;&gt;")=0,"",SUMIFS(BD!$W$3:$W$5001,BD!$A$3:$A$5001,AD$3,BD!$B$3:$B$5001,$A$45)))</f>
        <v/>
      </c>
      <c r="AE53" s="182" t="str">
        <f>IF(AE$3="","",IF(COUNTIFS(BD!$A$3:$A$5001,AE$3,BD!$B$3:$B$5001,$A$45,BD!$W$3:$W$5001,"&lt;&gt;")=0,"",SUMIFS(BD!$W$3:$W$5001,BD!$A$3:$A$5001,AE$3,BD!$B$3:$B$5001,$A$45)))</f>
        <v/>
      </c>
      <c r="AF53" s="182" t="str">
        <f>IF(AF$3="","",IF(COUNTIFS(BD!$A$3:$A$5001,AF$3,BD!$B$3:$B$5001,$A$45,BD!$W$3:$W$5001,"&lt;&gt;")=0,"",SUMIFS(BD!$W$3:$W$5001,BD!$A$3:$A$5001,AF$3,BD!$B$3:$B$5001,$A$45)))</f>
        <v/>
      </c>
      <c r="AG53" s="182" t="str">
        <f>IF(AG$3="","",IF(COUNTIFS(BD!$A$3:$A$5001,AG$3,BD!$B$3:$B$5001,$A$45,BD!$W$3:$W$5001,"&lt;&gt;")=0,"",SUMIFS(BD!$W$3:$W$5001,BD!$A$3:$A$5001,AG$3,BD!$B$3:$B$5001,$A$45)))</f>
        <v/>
      </c>
      <c r="AH53" s="182" t="str">
        <f>IF(AH$3="","",IF(COUNTIFS(BD!$A$3:$A$5001,AH$3,BD!$B$3:$B$5001,$A$45,BD!$W$3:$W$5001,"&lt;&gt;")=0,"",SUMIFS(BD!$W$3:$W$5001,BD!$A$3:$A$5001,AH$3,BD!$B$3:$B$5001,$A$45)))</f>
        <v/>
      </c>
      <c r="AI53" s="182" t="str">
        <f>IF(AI$3="","",IF(COUNTIFS(BD!$A$3:$A$5001,AI$3,BD!$B$3:$B$5001,$A$45,BD!$W$3:$W$5001,"&lt;&gt;")=0,"",SUMIFS(BD!$W$3:$W$5001,BD!$A$3:$A$5001,AI$3,BD!$B$3:$B$5001,$A$45)))</f>
        <v/>
      </c>
      <c r="AJ53" s="183" t="str">
        <f>IF(AJ$3="","",IF(COUNTIFS(BD!$A$3:$A$5001,AJ$3,BD!$B$3:$B$5001,$A$45,BD!$W$3:$W$5001,"&lt;&gt;")=0,"",SUMIFS(BD!$W$3:$W$5001,BD!$A$3:$A$5001,AJ$3,BD!$B$3:$B$5001,$A$45)))</f>
        <v/>
      </c>
      <c r="AK53" s="179" t="str">
        <f>IFERROR(LOOKUP(9.99E+307,F53:AJ53),"")</f>
        <v/>
      </c>
    </row>
    <row r="54" ht="15.75" customHeight="1">
      <c r="A54" s="227"/>
      <c r="B54" s="215" t="inlineStr">
        <is>
          <t xml:space="preserve">OCUPAÇÃO (P.P)</t>
        </is>
      </c>
      <c r="C54" s="138" t="inlineStr">
        <is>
          <t xml:space="preserve">Posições Disponíveis</t>
        </is>
      </c>
      <c r="D54" s="139" t="str">
        <f>IFERROR(1/(1/INDEX(BD!$AK$44:$AT$44,MATCH($A$45,BD!$AK$22:$AT$22,0))),"")</f>
        <v/>
      </c>
      <c r="E54" s="140"/>
      <c r="F54" s="141" t="str">
        <f>IF(F$3="","",IF(COUNTIFS(BD!$A$3:$A$5001,F$3,BD!$B$3:$B$5001,$A$45,BD!$X$3:$X$5001,"&lt;&gt;")=0,"",SUMIFS(BD!$X$3:$X$5001,BD!$A$3:$A$5001,F$3,BD!$B$3:$B$5001,$A$45)))</f>
        <v/>
      </c>
      <c r="G54" s="142" t="str">
        <f>IF(G$3="","",IF(COUNTIFS(BD!$A$3:$A$5001,G$3,BD!$B$3:$B$5001,$A$45,BD!$X$3:$X$5001,"&lt;&gt;")=0,"",SUMIFS(BD!$X$3:$X$5001,BD!$A$3:$A$5001,G$3,BD!$B$3:$B$5001,$A$45)))</f>
        <v/>
      </c>
      <c r="H54" s="142" t="str">
        <f>IF(H$3="","",IF(COUNTIFS(BD!$A$3:$A$5001,H$3,BD!$B$3:$B$5001,$A$45,BD!$X$3:$X$5001,"&lt;&gt;")=0,"",SUMIFS(BD!$X$3:$X$5001,BD!$A$3:$A$5001,H$3,BD!$B$3:$B$5001,$A$45)))</f>
        <v/>
      </c>
      <c r="I54" s="142" t="str">
        <f>IF(I$3="","",IF(COUNTIFS(BD!$A$3:$A$5001,I$3,BD!$B$3:$B$5001,$A$45,BD!$X$3:$X$5001,"&lt;&gt;")=0,"",SUMIFS(BD!$X$3:$X$5001,BD!$A$3:$A$5001,I$3,BD!$B$3:$B$5001,$A$45)))</f>
        <v/>
      </c>
      <c r="J54" s="142" t="str">
        <f>IF(J$3="","",IF(COUNTIFS(BD!$A$3:$A$5001,J$3,BD!$B$3:$B$5001,$A$45,BD!$X$3:$X$5001,"&lt;&gt;")=0,"",SUMIFS(BD!$X$3:$X$5001,BD!$A$3:$A$5001,J$3,BD!$B$3:$B$5001,$A$45)))</f>
        <v/>
      </c>
      <c r="K54" s="142" t="str">
        <f>IF(K$3="","",IF(COUNTIFS(BD!$A$3:$A$5001,K$3,BD!$B$3:$B$5001,$A$45,BD!$X$3:$X$5001,"&lt;&gt;")=0,"",SUMIFS(BD!$X$3:$X$5001,BD!$A$3:$A$5001,K$3,BD!$B$3:$B$5001,$A$45)))</f>
        <v/>
      </c>
      <c r="L54" s="142" t="str">
        <f>IF(L$3="","",IF(COUNTIFS(BD!$A$3:$A$5001,L$3,BD!$B$3:$B$5001,$A$45,BD!$X$3:$X$5001,"&lt;&gt;")=0,"",SUMIFS(BD!$X$3:$X$5001,BD!$A$3:$A$5001,L$3,BD!$B$3:$B$5001,$A$45)))</f>
        <v/>
      </c>
      <c r="M54" s="142" t="str">
        <f>IF(M$3="","",IF(COUNTIFS(BD!$A$3:$A$5001,M$3,BD!$B$3:$B$5001,$A$45,BD!$X$3:$X$5001,"&lt;&gt;")=0,"",SUMIFS(BD!$X$3:$X$5001,BD!$A$3:$A$5001,M$3,BD!$B$3:$B$5001,$A$45)))</f>
        <v/>
      </c>
      <c r="N54" s="142" t="str">
        <f>IF(N$3="","",IF(COUNTIFS(BD!$A$3:$A$5001,N$3,BD!$B$3:$B$5001,$A$45,BD!$X$3:$X$5001,"&lt;&gt;")=0,"",SUMIFS(BD!$X$3:$X$5001,BD!$A$3:$A$5001,N$3,BD!$B$3:$B$5001,$A$45)))</f>
        <v/>
      </c>
      <c r="O54" s="142" t="str">
        <f>IF(O$3="","",IF(COUNTIFS(BD!$A$3:$A$5001,O$3,BD!$B$3:$B$5001,$A$45,BD!$X$3:$X$5001,"&lt;&gt;")=0,"",SUMIFS(BD!$X$3:$X$5001,BD!$A$3:$A$5001,O$3,BD!$B$3:$B$5001,$A$45)))</f>
        <v/>
      </c>
      <c r="P54" s="142" t="str">
        <f>IF(P$3="","",IF(COUNTIFS(BD!$A$3:$A$5001,P$3,BD!$B$3:$B$5001,$A$45,BD!$X$3:$X$5001,"&lt;&gt;")=0,"",SUMIFS(BD!$X$3:$X$5001,BD!$A$3:$A$5001,P$3,BD!$B$3:$B$5001,$A$45)))</f>
        <v/>
      </c>
      <c r="Q54" s="142" t="str">
        <f>IF(Q$3="","",IF(COUNTIFS(BD!$A$3:$A$5001,Q$3,BD!$B$3:$B$5001,$A$45,BD!$X$3:$X$5001,"&lt;&gt;")=0,"",SUMIFS(BD!$X$3:$X$5001,BD!$A$3:$A$5001,Q$3,BD!$B$3:$B$5001,$A$45)))</f>
        <v/>
      </c>
      <c r="R54" s="142" t="str">
        <f>IF(R$3="","",IF(COUNTIFS(BD!$A$3:$A$5001,R$3,BD!$B$3:$B$5001,$A$45,BD!$X$3:$X$5001,"&lt;&gt;")=0,"",SUMIFS(BD!$X$3:$X$5001,BD!$A$3:$A$5001,R$3,BD!$B$3:$B$5001,$A$45)))</f>
        <v/>
      </c>
      <c r="S54" s="142" t="str">
        <f>IF(S$3="","",IF(COUNTIFS(BD!$A$3:$A$5001,S$3,BD!$B$3:$B$5001,$A$45,BD!$X$3:$X$5001,"&lt;&gt;")=0,"",SUMIFS(BD!$X$3:$X$5001,BD!$A$3:$A$5001,S$3,BD!$B$3:$B$5001,$A$45)))</f>
        <v/>
      </c>
      <c r="T54" s="142" t="str">
        <f>IF(T$3="","",IF(COUNTIFS(BD!$A$3:$A$5001,T$3,BD!$B$3:$B$5001,$A$45,BD!$X$3:$X$5001,"&lt;&gt;")=0,"",SUMIFS(BD!$X$3:$X$5001,BD!$A$3:$A$5001,T$3,BD!$B$3:$B$5001,$A$45)))</f>
        <v/>
      </c>
      <c r="U54" s="142" t="str">
        <f>IF(U$3="","",IF(COUNTIFS(BD!$A$3:$A$5001,U$3,BD!$B$3:$B$5001,$A$45,BD!$X$3:$X$5001,"&lt;&gt;")=0,"",SUMIFS(BD!$X$3:$X$5001,BD!$A$3:$A$5001,U$3,BD!$B$3:$B$5001,$A$45)))</f>
        <v/>
      </c>
      <c r="V54" s="142" t="str">
        <f>IF(V$3="","",IF(COUNTIFS(BD!$A$3:$A$5001,V$3,BD!$B$3:$B$5001,$A$45,BD!$X$3:$X$5001,"&lt;&gt;")=0,"",SUMIFS(BD!$X$3:$X$5001,BD!$A$3:$A$5001,V$3,BD!$B$3:$B$5001,$A$45)))</f>
        <v/>
      </c>
      <c r="W54" s="142" t="str">
        <f>IF(W$3="","",IF(COUNTIFS(BD!$A$3:$A$5001,W$3,BD!$B$3:$B$5001,$A$45,BD!$X$3:$X$5001,"&lt;&gt;")=0,"",SUMIFS(BD!$X$3:$X$5001,BD!$A$3:$A$5001,W$3,BD!$B$3:$B$5001,$A$45)))</f>
        <v/>
      </c>
      <c r="X54" s="142" t="str">
        <f>IF(X$3="","",IF(COUNTIFS(BD!$A$3:$A$5001,X$3,BD!$B$3:$B$5001,$A$45,BD!$X$3:$X$5001,"&lt;&gt;")=0,"",SUMIFS(BD!$X$3:$X$5001,BD!$A$3:$A$5001,X$3,BD!$B$3:$B$5001,$A$45)))</f>
        <v/>
      </c>
      <c r="Y54" s="142" t="str">
        <f>IF(Y$3="","",IF(COUNTIFS(BD!$A$3:$A$5001,Y$3,BD!$B$3:$B$5001,$A$45,BD!$X$3:$X$5001,"&lt;&gt;")=0,"",SUMIFS(BD!$X$3:$X$5001,BD!$A$3:$A$5001,Y$3,BD!$B$3:$B$5001,$A$45)))</f>
        <v/>
      </c>
      <c r="Z54" s="142" t="str">
        <f>IF(Z$3="","",IF(COUNTIFS(BD!$A$3:$A$5001,Z$3,BD!$B$3:$B$5001,$A$45,BD!$X$3:$X$5001,"&lt;&gt;")=0,"",SUMIFS(BD!$X$3:$X$5001,BD!$A$3:$A$5001,Z$3,BD!$B$3:$B$5001,$A$45)))</f>
        <v/>
      </c>
      <c r="AA54" s="142" t="str">
        <f>IF(AA$3="","",IF(COUNTIFS(BD!$A$3:$A$5001,AA$3,BD!$B$3:$B$5001,$A$45,BD!$X$3:$X$5001,"&lt;&gt;")=0,"",SUMIFS(BD!$X$3:$X$5001,BD!$A$3:$A$5001,AA$3,BD!$B$3:$B$5001,$A$45)))</f>
        <v/>
      </c>
      <c r="AB54" s="142" t="str">
        <f>IF(AB$3="","",IF(COUNTIFS(BD!$A$3:$A$5001,AB$3,BD!$B$3:$B$5001,$A$45,BD!$X$3:$X$5001,"&lt;&gt;")=0,"",SUMIFS(BD!$X$3:$X$5001,BD!$A$3:$A$5001,AB$3,BD!$B$3:$B$5001,$A$45)))</f>
        <v/>
      </c>
      <c r="AC54" s="142" t="str">
        <f>IF(AC$3="","",IF(COUNTIFS(BD!$A$3:$A$5001,AC$3,BD!$B$3:$B$5001,$A$45,BD!$X$3:$X$5001,"&lt;&gt;")=0,"",SUMIFS(BD!$X$3:$X$5001,BD!$A$3:$A$5001,AC$3,BD!$B$3:$B$5001,$A$45)))</f>
        <v/>
      </c>
      <c r="AD54" s="142" t="str">
        <f>IF(AD$3="","",IF(COUNTIFS(BD!$A$3:$A$5001,AD$3,BD!$B$3:$B$5001,$A$45,BD!$X$3:$X$5001,"&lt;&gt;")=0,"",SUMIFS(BD!$X$3:$X$5001,BD!$A$3:$A$5001,AD$3,BD!$B$3:$B$5001,$A$45)))</f>
        <v/>
      </c>
      <c r="AE54" s="142" t="str">
        <f>IF(AE$3="","",IF(COUNTIFS(BD!$A$3:$A$5001,AE$3,BD!$B$3:$B$5001,$A$45,BD!$X$3:$X$5001,"&lt;&gt;")=0,"",SUMIFS(BD!$X$3:$X$5001,BD!$A$3:$A$5001,AE$3,BD!$B$3:$B$5001,$A$45)))</f>
        <v/>
      </c>
      <c r="AF54" s="142" t="str">
        <f>IF(AF$3="","",IF(COUNTIFS(BD!$A$3:$A$5001,AF$3,BD!$B$3:$B$5001,$A$45,BD!$X$3:$X$5001,"&lt;&gt;")=0,"",SUMIFS(BD!$X$3:$X$5001,BD!$A$3:$A$5001,AF$3,BD!$B$3:$B$5001,$A$45)))</f>
        <v/>
      </c>
      <c r="AG54" s="142" t="str">
        <f>IF(AG$3="","",IF(COUNTIFS(BD!$A$3:$A$5001,AG$3,BD!$B$3:$B$5001,$A$45,BD!$X$3:$X$5001,"&lt;&gt;")=0,"",SUMIFS(BD!$X$3:$X$5001,BD!$A$3:$A$5001,AG$3,BD!$B$3:$B$5001,$A$45)))</f>
        <v/>
      </c>
      <c r="AH54" s="142" t="str">
        <f>IF(AH$3="","",IF(COUNTIFS(BD!$A$3:$A$5001,AH$3,BD!$B$3:$B$5001,$A$45,BD!$X$3:$X$5001,"&lt;&gt;")=0,"",SUMIFS(BD!$X$3:$X$5001,BD!$A$3:$A$5001,AH$3,BD!$B$3:$B$5001,$A$45)))</f>
        <v/>
      </c>
      <c r="AI54" s="142" t="str">
        <f>IF(AI$3="","",IF(COUNTIFS(BD!$A$3:$A$5001,AI$3,BD!$B$3:$B$5001,$A$45,BD!$X$3:$X$5001,"&lt;&gt;")=0,"",SUMIFS(BD!$X$3:$X$5001,BD!$A$3:$A$5001,AI$3,BD!$B$3:$B$5001,$A$45)))</f>
        <v/>
      </c>
      <c r="AJ54" s="143" t="str">
        <f>IF(AJ$3="","",IF(COUNTIFS(BD!$A$3:$A$5001,AJ$3,BD!$B$3:$B$5001,$A$45,BD!$X$3:$X$5001,"&lt;&gt;")=0,"",SUMIFS(BD!$X$3:$X$5001,BD!$A$3:$A$5001,AJ$3,BD!$B$3:$B$5001,$A$45)))</f>
        <v/>
      </c>
      <c r="AK54" s="144" t="str">
        <f>IF(COUNT(F54:AJ54)&gt;0,LOOKUP(9.99E+307,F54:AJ54),IFERROR(IF(INDEX(BD!$AH$3:$AH$5001,MATCH($A$45,BD!$B$3:$B$5001,0))&amp;""="Contrato","",INDEX(BD!$AH$3:$AH$5001,MATCH($A$45,BD!$B$3:$B$5001,0))&amp;""),""))</f>
        <v/>
      </c>
    </row>
    <row r="55" ht="15.75" customHeight="1">
      <c r="A55" s="227"/>
      <c r="B55" s="222"/>
      <c r="C55" s="184" t="inlineStr">
        <is>
          <t xml:space="preserve">Posições Ocupadas</t>
        </is>
      </c>
      <c r="D55" s="185" t="str">
        <f>IFERROR(1/(1/INDEX(BD!$AK$45:$AT$45,MATCH($A$45,BD!$AK$22:$AT$22,0))),"")</f>
        <v/>
      </c>
      <c r="E55" s="186"/>
      <c r="F55" s="187" t="str">
        <f>IF(F$3="","",IF(COUNTIFS(BD!$A$3:$A$5001,F$3,BD!$B$3:$B$5001,$A$45,BD!$Y$3:$Y$5001,"&lt;&gt;")=0,"",SUMIFS(BD!$Y$3:$Y$5001,BD!$A$3:$A$5001,F$3,BD!$B$3:$B$5001,$A$45)))</f>
        <v/>
      </c>
      <c r="G55" s="188" t="str">
        <f>IF(G$3="","",IF(COUNTIFS(BD!$A$3:$A$5001,G$3,BD!$B$3:$B$5001,$A$45,BD!$Y$3:$Y$5001,"&lt;&gt;")=0,"",SUMIFS(BD!$Y$3:$Y$5001,BD!$A$3:$A$5001,G$3,BD!$B$3:$B$5001,$A$45)))</f>
        <v/>
      </c>
      <c r="H55" s="188" t="str">
        <f>IF(H$3="","",IF(COUNTIFS(BD!$A$3:$A$5001,H$3,BD!$B$3:$B$5001,$A$45,BD!$Y$3:$Y$5001,"&lt;&gt;")=0,"",SUMIFS(BD!$Y$3:$Y$5001,BD!$A$3:$A$5001,H$3,BD!$B$3:$B$5001,$A$45)))</f>
        <v/>
      </c>
      <c r="I55" s="188" t="str">
        <f>IF(I$3="","",IF(COUNTIFS(BD!$A$3:$A$5001,I$3,BD!$B$3:$B$5001,$A$45,BD!$Y$3:$Y$5001,"&lt;&gt;")=0,"",SUMIFS(BD!$Y$3:$Y$5001,BD!$A$3:$A$5001,I$3,BD!$B$3:$B$5001,$A$45)))</f>
        <v/>
      </c>
      <c r="J55" s="188" t="str">
        <f>IF(J$3="","",IF(COUNTIFS(BD!$A$3:$A$5001,J$3,BD!$B$3:$B$5001,$A$45,BD!$Y$3:$Y$5001,"&lt;&gt;")=0,"",SUMIFS(BD!$Y$3:$Y$5001,BD!$A$3:$A$5001,J$3,BD!$B$3:$B$5001,$A$45)))</f>
        <v/>
      </c>
      <c r="K55" s="188" t="str">
        <f>IF(K$3="","",IF(COUNTIFS(BD!$A$3:$A$5001,K$3,BD!$B$3:$B$5001,$A$45,BD!$Y$3:$Y$5001,"&lt;&gt;")=0,"",SUMIFS(BD!$Y$3:$Y$5001,BD!$A$3:$A$5001,K$3,BD!$B$3:$B$5001,$A$45)))</f>
        <v/>
      </c>
      <c r="L55" s="188" t="str">
        <f>IF(L$3="","",IF(COUNTIFS(BD!$A$3:$A$5001,L$3,BD!$B$3:$B$5001,$A$45,BD!$Y$3:$Y$5001,"&lt;&gt;")=0,"",SUMIFS(BD!$Y$3:$Y$5001,BD!$A$3:$A$5001,L$3,BD!$B$3:$B$5001,$A$45)))</f>
        <v/>
      </c>
      <c r="M55" s="188" t="str">
        <f>IF(M$3="","",IF(COUNTIFS(BD!$A$3:$A$5001,M$3,BD!$B$3:$B$5001,$A$45,BD!$Y$3:$Y$5001,"&lt;&gt;")=0,"",SUMIFS(BD!$Y$3:$Y$5001,BD!$A$3:$A$5001,M$3,BD!$B$3:$B$5001,$A$45)))</f>
        <v/>
      </c>
      <c r="N55" s="188" t="str">
        <f>IF(N$3="","",IF(COUNTIFS(BD!$A$3:$A$5001,N$3,BD!$B$3:$B$5001,$A$45,BD!$Y$3:$Y$5001,"&lt;&gt;")=0,"",SUMIFS(BD!$Y$3:$Y$5001,BD!$A$3:$A$5001,N$3,BD!$B$3:$B$5001,$A$45)))</f>
        <v/>
      </c>
      <c r="O55" s="188" t="str">
        <f>IF(O$3="","",IF(COUNTIFS(BD!$A$3:$A$5001,O$3,BD!$B$3:$B$5001,$A$45,BD!$Y$3:$Y$5001,"&lt;&gt;")=0,"",SUMIFS(BD!$Y$3:$Y$5001,BD!$A$3:$A$5001,O$3,BD!$B$3:$B$5001,$A$45)))</f>
        <v/>
      </c>
      <c r="P55" s="188" t="str">
        <f>IF(P$3="","",IF(COUNTIFS(BD!$A$3:$A$5001,P$3,BD!$B$3:$B$5001,$A$45,BD!$Y$3:$Y$5001,"&lt;&gt;")=0,"",SUMIFS(BD!$Y$3:$Y$5001,BD!$A$3:$A$5001,P$3,BD!$B$3:$B$5001,$A$45)))</f>
        <v/>
      </c>
      <c r="Q55" s="188" t="str">
        <f>IF(Q$3="","",IF(COUNTIFS(BD!$A$3:$A$5001,Q$3,BD!$B$3:$B$5001,$A$45,BD!$Y$3:$Y$5001,"&lt;&gt;")=0,"",SUMIFS(BD!$Y$3:$Y$5001,BD!$A$3:$A$5001,Q$3,BD!$B$3:$B$5001,$A$45)))</f>
        <v/>
      </c>
      <c r="R55" s="188" t="str">
        <f>IF(R$3="","",IF(COUNTIFS(BD!$A$3:$A$5001,R$3,BD!$B$3:$B$5001,$A$45,BD!$Y$3:$Y$5001,"&lt;&gt;")=0,"",SUMIFS(BD!$Y$3:$Y$5001,BD!$A$3:$A$5001,R$3,BD!$B$3:$B$5001,$A$45)))</f>
        <v/>
      </c>
      <c r="S55" s="188" t="str">
        <f>IF(S$3="","",IF(COUNTIFS(BD!$A$3:$A$5001,S$3,BD!$B$3:$B$5001,$A$45,BD!$Y$3:$Y$5001,"&lt;&gt;")=0,"",SUMIFS(BD!$Y$3:$Y$5001,BD!$A$3:$A$5001,S$3,BD!$B$3:$B$5001,$A$45)))</f>
        <v/>
      </c>
      <c r="T55" s="188" t="str">
        <f>IF(T$3="","",IF(COUNTIFS(BD!$A$3:$A$5001,T$3,BD!$B$3:$B$5001,$A$45,BD!$Y$3:$Y$5001,"&lt;&gt;")=0,"",SUMIFS(BD!$Y$3:$Y$5001,BD!$A$3:$A$5001,T$3,BD!$B$3:$B$5001,$A$45)))</f>
        <v/>
      </c>
      <c r="U55" s="188" t="str">
        <f>IF(U$3="","",IF(COUNTIFS(BD!$A$3:$A$5001,U$3,BD!$B$3:$B$5001,$A$45,BD!$Y$3:$Y$5001,"&lt;&gt;")=0,"",SUMIFS(BD!$Y$3:$Y$5001,BD!$A$3:$A$5001,U$3,BD!$B$3:$B$5001,$A$45)))</f>
        <v/>
      </c>
      <c r="V55" s="188" t="str">
        <f>IF(V$3="","",IF(COUNTIFS(BD!$A$3:$A$5001,V$3,BD!$B$3:$B$5001,$A$45,BD!$Y$3:$Y$5001,"&lt;&gt;")=0,"",SUMIFS(BD!$Y$3:$Y$5001,BD!$A$3:$A$5001,V$3,BD!$B$3:$B$5001,$A$45)))</f>
        <v/>
      </c>
      <c r="W55" s="188" t="str">
        <f>IF(W$3="","",IF(COUNTIFS(BD!$A$3:$A$5001,W$3,BD!$B$3:$B$5001,$A$45,BD!$Y$3:$Y$5001,"&lt;&gt;")=0,"",SUMIFS(BD!$Y$3:$Y$5001,BD!$A$3:$A$5001,W$3,BD!$B$3:$B$5001,$A$45)))</f>
        <v/>
      </c>
      <c r="X55" s="188" t="str">
        <f>IF(X$3="","",IF(COUNTIFS(BD!$A$3:$A$5001,X$3,BD!$B$3:$B$5001,$A$45,BD!$Y$3:$Y$5001,"&lt;&gt;")=0,"",SUMIFS(BD!$Y$3:$Y$5001,BD!$A$3:$A$5001,X$3,BD!$B$3:$B$5001,$A$45)))</f>
        <v/>
      </c>
      <c r="Y55" s="188" t="str">
        <f>IF(Y$3="","",IF(COUNTIFS(BD!$A$3:$A$5001,Y$3,BD!$B$3:$B$5001,$A$45,BD!$Y$3:$Y$5001,"&lt;&gt;")=0,"",SUMIFS(BD!$Y$3:$Y$5001,BD!$A$3:$A$5001,Y$3,BD!$B$3:$B$5001,$A$45)))</f>
        <v/>
      </c>
      <c r="Z55" s="188" t="str">
        <f>IF(Z$3="","",IF(COUNTIFS(BD!$A$3:$A$5001,Z$3,BD!$B$3:$B$5001,$A$45,BD!$Y$3:$Y$5001,"&lt;&gt;")=0,"",SUMIFS(BD!$Y$3:$Y$5001,BD!$A$3:$A$5001,Z$3,BD!$B$3:$B$5001,$A$45)))</f>
        <v/>
      </c>
      <c r="AA55" s="188" t="str">
        <f>IF(AA$3="","",IF(COUNTIFS(BD!$A$3:$A$5001,AA$3,BD!$B$3:$B$5001,$A$45,BD!$Y$3:$Y$5001,"&lt;&gt;")=0,"",SUMIFS(BD!$Y$3:$Y$5001,BD!$A$3:$A$5001,AA$3,BD!$B$3:$B$5001,$A$45)))</f>
        <v/>
      </c>
      <c r="AB55" s="188" t="str">
        <f>IF(AB$3="","",IF(COUNTIFS(BD!$A$3:$A$5001,AB$3,BD!$B$3:$B$5001,$A$45,BD!$Y$3:$Y$5001,"&lt;&gt;")=0,"",SUMIFS(BD!$Y$3:$Y$5001,BD!$A$3:$A$5001,AB$3,BD!$B$3:$B$5001,$A$45)))</f>
        <v/>
      </c>
      <c r="AC55" s="188" t="str">
        <f>IF(AC$3="","",IF(COUNTIFS(BD!$A$3:$A$5001,AC$3,BD!$B$3:$B$5001,$A$45,BD!$Y$3:$Y$5001,"&lt;&gt;")=0,"",SUMIFS(BD!$Y$3:$Y$5001,BD!$A$3:$A$5001,AC$3,BD!$B$3:$B$5001,$A$45)))</f>
        <v/>
      </c>
      <c r="AD55" s="188" t="str">
        <f>IF(AD$3="","",IF(COUNTIFS(BD!$A$3:$A$5001,AD$3,BD!$B$3:$B$5001,$A$45,BD!$Y$3:$Y$5001,"&lt;&gt;")=0,"",SUMIFS(BD!$Y$3:$Y$5001,BD!$A$3:$A$5001,AD$3,BD!$B$3:$B$5001,$A$45)))</f>
        <v/>
      </c>
      <c r="AE55" s="188" t="str">
        <f>IF(AE$3="","",IF(COUNTIFS(BD!$A$3:$A$5001,AE$3,BD!$B$3:$B$5001,$A$45,BD!$Y$3:$Y$5001,"&lt;&gt;")=0,"",SUMIFS(BD!$Y$3:$Y$5001,BD!$A$3:$A$5001,AE$3,BD!$B$3:$B$5001,$A$45)))</f>
        <v/>
      </c>
      <c r="AF55" s="188" t="str">
        <f>IF(AF$3="","",IF(COUNTIFS(BD!$A$3:$A$5001,AF$3,BD!$B$3:$B$5001,$A$45,BD!$Y$3:$Y$5001,"&lt;&gt;")=0,"",SUMIFS(BD!$Y$3:$Y$5001,BD!$A$3:$A$5001,AF$3,BD!$B$3:$B$5001,$A$45)))</f>
        <v/>
      </c>
      <c r="AG55" s="188" t="str">
        <f>IF(AG$3="","",IF(COUNTIFS(BD!$A$3:$A$5001,AG$3,BD!$B$3:$B$5001,$A$45,BD!$Y$3:$Y$5001,"&lt;&gt;")=0,"",SUMIFS(BD!$Y$3:$Y$5001,BD!$A$3:$A$5001,AG$3,BD!$B$3:$B$5001,$A$45)))</f>
        <v/>
      </c>
      <c r="AH55" s="188" t="str">
        <f>IF(AH$3="","",IF(COUNTIFS(BD!$A$3:$A$5001,AH$3,BD!$B$3:$B$5001,$A$45,BD!$Y$3:$Y$5001,"&lt;&gt;")=0,"",SUMIFS(BD!$Y$3:$Y$5001,BD!$A$3:$A$5001,AH$3,BD!$B$3:$B$5001,$A$45)))</f>
        <v/>
      </c>
      <c r="AI55" s="188" t="str">
        <f>IF(AI$3="","",IF(COUNTIFS(BD!$A$3:$A$5001,AI$3,BD!$B$3:$B$5001,$A$45,BD!$Y$3:$Y$5001,"&lt;&gt;")=0,"",SUMIFS(BD!$Y$3:$Y$5001,BD!$A$3:$A$5001,AI$3,BD!$B$3:$B$5001,$A$45)))</f>
        <v/>
      </c>
      <c r="AJ55" s="189" t="str">
        <f>IF(AJ$3="","",IF(COUNTIFS(BD!$A$3:$A$5001,AJ$3,BD!$B$3:$B$5001,$A$45,BD!$Y$3:$Y$5001,"&lt;&gt;")=0,"",SUMIFS(BD!$Y$3:$Y$5001,BD!$A$3:$A$5001,AJ$3,BD!$B$3:$B$5001,$A$45)))</f>
        <v/>
      </c>
      <c r="AK55" s="190" t="str">
        <f>IFERROR(LOOKUP(9.99E+307,F55:AJ55),"")</f>
        <v/>
      </c>
    </row>
    <row r="56" ht="15.75" customHeight="1">
      <c r="A56" s="227"/>
      <c r="B56" s="216"/>
      <c r="C56" s="145" t="inlineStr">
        <is>
          <t xml:space="preserve">Taxa de Ocupação</t>
        </is>
      </c>
      <c r="D56" s="191" t="str">
        <f>IFERROR(1/(1/INDEX(BD!$AK$46:$AT$46,MATCH($A$45,BD!$AK$22:$AT$22,0))),"")</f>
        <v/>
      </c>
      <c r="E56" s="147"/>
      <c r="F56" s="192" t="str">
        <f>IF(AND(ISNUMBER(F54),ISNUMBER(F55)),IF(F54&gt;0,F55/F54,""),"")</f>
        <v/>
      </c>
      <c r="G56" s="193" t="str">
        <f>IF(AND(ISNUMBER(G54),ISNUMBER(G55)),IF(G54&gt;0,G55/G54,""),"")</f>
        <v/>
      </c>
      <c r="H56" s="193" t="str">
        <f>IF(AND(ISNUMBER(H54),ISNUMBER(H55)),IF(H54&gt;0,H55/H54,""),"")</f>
        <v/>
      </c>
      <c r="I56" s="193" t="str">
        <f>IF(AND(ISNUMBER(I54),ISNUMBER(I55)),IF(I54&gt;0,I55/I54,""),"")</f>
        <v/>
      </c>
      <c r="J56" s="193" t="str">
        <f>IF(AND(ISNUMBER(J54),ISNUMBER(J55)),IF(J54&gt;0,J55/J54,""),"")</f>
        <v/>
      </c>
      <c r="K56" s="193" t="str">
        <f>IF(AND(ISNUMBER(K54),ISNUMBER(K55)),IF(K54&gt;0,K55/K54,""),"")</f>
        <v/>
      </c>
      <c r="L56" s="193" t="str">
        <f>IF(AND(ISNUMBER(L54),ISNUMBER(L55)),IF(L54&gt;0,L55/L54,""),"")</f>
        <v/>
      </c>
      <c r="M56" s="193" t="str">
        <f>IF(AND(ISNUMBER(M54),ISNUMBER(M55)),IF(M54&gt;0,M55/M54,""),"")</f>
        <v/>
      </c>
      <c r="N56" s="193" t="str">
        <f>IF(AND(ISNUMBER(N54),ISNUMBER(N55)),IF(N54&gt;0,N55/N54,""),"")</f>
        <v/>
      </c>
      <c r="O56" s="193" t="str">
        <f>IF(AND(ISNUMBER(O54),ISNUMBER(O55)),IF(O54&gt;0,O55/O54,""),"")</f>
        <v/>
      </c>
      <c r="P56" s="193" t="str">
        <f>IF(AND(ISNUMBER(P54),ISNUMBER(P55)),IF(P54&gt;0,P55/P54,""),"")</f>
        <v/>
      </c>
      <c r="Q56" s="193" t="str">
        <f>IF(AND(ISNUMBER(Q54),ISNUMBER(Q55)),IF(Q54&gt;0,Q55/Q54,""),"")</f>
        <v/>
      </c>
      <c r="R56" s="193" t="str">
        <f>IF(AND(ISNUMBER(R54),ISNUMBER(R55)),IF(R54&gt;0,R55/R54,""),"")</f>
        <v/>
      </c>
      <c r="S56" s="193" t="str">
        <f>IF(AND(ISNUMBER(S54),ISNUMBER(S55)),IF(S54&gt;0,S55/S54,""),"")</f>
        <v/>
      </c>
      <c r="T56" s="193" t="str">
        <f>IF(AND(ISNUMBER(T54),ISNUMBER(T55)),IF(T54&gt;0,T55/T54,""),"")</f>
        <v/>
      </c>
      <c r="U56" s="193" t="str">
        <f>IF(AND(ISNUMBER(U54),ISNUMBER(U55)),IF(U54&gt;0,U55/U54,""),"")</f>
        <v/>
      </c>
      <c r="V56" s="193" t="str">
        <f>IF(AND(ISNUMBER(V54),ISNUMBER(V55)),IF(V54&gt;0,V55/V54,""),"")</f>
        <v/>
      </c>
      <c r="W56" s="193" t="str">
        <f>IF(AND(ISNUMBER(W54),ISNUMBER(W55)),IF(W54&gt;0,W55/W54,""),"")</f>
        <v/>
      </c>
      <c r="X56" s="193" t="str">
        <f>IF(AND(ISNUMBER(X54),ISNUMBER(X55)),IF(X54&gt;0,X55/X54,""),"")</f>
        <v/>
      </c>
      <c r="Y56" s="193" t="str">
        <f>IF(AND(ISNUMBER(Y54),ISNUMBER(Y55)),IF(Y54&gt;0,Y55/Y54,""),"")</f>
        <v/>
      </c>
      <c r="Z56" s="193" t="str">
        <f>IF(AND(ISNUMBER(Z54),ISNUMBER(Z55)),IF(Z54&gt;0,Z55/Z54,""),"")</f>
        <v/>
      </c>
      <c r="AA56" s="193" t="str">
        <f>IF(AND(ISNUMBER(AA54),ISNUMBER(AA55)),IF(AA54&gt;0,AA55/AA54,""),"")</f>
        <v/>
      </c>
      <c r="AB56" s="193" t="str">
        <f>IF(AND(ISNUMBER(AB54),ISNUMBER(AB55)),IF(AB54&gt;0,AB55/AB54,""),"")</f>
        <v/>
      </c>
      <c r="AC56" s="193" t="str">
        <f>IF(AND(ISNUMBER(AC54),ISNUMBER(AC55)),IF(AC54&gt;0,AC55/AC54,""),"")</f>
        <v/>
      </c>
      <c r="AD56" s="193" t="str">
        <f>IF(AND(ISNUMBER(AD54),ISNUMBER(AD55)),IF(AD54&gt;0,AD55/AD54,""),"")</f>
        <v/>
      </c>
      <c r="AE56" s="193" t="str">
        <f>IF(AND(ISNUMBER(AE54),ISNUMBER(AE55)),IF(AE54&gt;0,AE55/AE54,""),"")</f>
        <v/>
      </c>
      <c r="AF56" s="193" t="str">
        <f>IF(AND(ISNUMBER(AF54),ISNUMBER(AF55)),IF(AF54&gt;0,AF55/AF54,""),"")</f>
        <v/>
      </c>
      <c r="AG56" s="193" t="str">
        <f>IF(AND(ISNUMBER(AG54),ISNUMBER(AG55)),IF(AG54&gt;0,AG55/AG54,""),"")</f>
        <v/>
      </c>
      <c r="AH56" s="193" t="str">
        <f>IF(AND(ISNUMBER(AH54),ISNUMBER(AH55)),IF(AH54&gt;0,AH55/AH54,""),"")</f>
        <v/>
      </c>
      <c r="AI56" s="193" t="str">
        <f>IF(AND(ISNUMBER(AI54),ISNUMBER(AI55)),IF(AI54&gt;0,AI55/AI54,""),"")</f>
        <v/>
      </c>
      <c r="AJ56" s="194" t="str">
        <f>IF(AND(ISNUMBER(AJ54),ISNUMBER(AJ55)),IF(AJ54&gt;0,AJ55/AJ54,""),"")</f>
        <v/>
      </c>
      <c r="AK56" s="191" t="str">
        <f>IF(AND(ISNUMBER(AK54),ISNUMBER(AK55)),IF(AK54&gt;0,AK55/AK54,""),"")</f>
        <v/>
      </c>
    </row>
    <row r="57" ht="15.75" customHeight="1">
      <c r="A57" s="227"/>
      <c r="B57" s="223" t="inlineStr">
        <is>
          <t xml:space="preserve">GENTE</t>
        </is>
      </c>
      <c r="C57" s="195" t="inlineStr">
        <is>
          <t xml:space="preserve">Efetivo Op.</t>
        </is>
      </c>
      <c r="D57" s="196" t="str">
        <f>IFERROR(1/(1/INDEX(BD!$AK$47:$AT$47,MATCH($A$45,BD!$AK$22:$AT$22,0))),"")</f>
        <v/>
      </c>
      <c r="E57" s="197"/>
      <c r="F57" s="198" t="str">
        <f>IF(F$3="","",IF(COUNTIFS(BD!$A$3:$A$5001,F$3,BD!$B$3:$B$5001,$A$45,BD!$Z$3:$Z$5001,"&lt;&gt;")=0,"",SUMIFS(BD!$Z$3:$Z$5001,BD!$A$3:$A$5001,F$3,BD!$B$3:$B$5001,$A$45)))</f>
        <v/>
      </c>
      <c r="G57" s="199" t="str">
        <f>IF(G$3="","",IF(COUNTIFS(BD!$A$3:$A$5001,G$3,BD!$B$3:$B$5001,$A$45,BD!$Z$3:$Z$5001,"&lt;&gt;")=0,"",SUMIFS(BD!$Z$3:$Z$5001,BD!$A$3:$A$5001,G$3,BD!$B$3:$B$5001,$A$45)))</f>
        <v/>
      </c>
      <c r="H57" s="199" t="str">
        <f>IF(H$3="","",IF(COUNTIFS(BD!$A$3:$A$5001,H$3,BD!$B$3:$B$5001,$A$45,BD!$Z$3:$Z$5001,"&lt;&gt;")=0,"",SUMIFS(BD!$Z$3:$Z$5001,BD!$A$3:$A$5001,H$3,BD!$B$3:$B$5001,$A$45)))</f>
        <v/>
      </c>
      <c r="I57" s="199" t="str">
        <f>IF(I$3="","",IF(COUNTIFS(BD!$A$3:$A$5001,I$3,BD!$B$3:$B$5001,$A$45,BD!$Z$3:$Z$5001,"&lt;&gt;")=0,"",SUMIFS(BD!$Z$3:$Z$5001,BD!$A$3:$A$5001,I$3,BD!$B$3:$B$5001,$A$45)))</f>
        <v/>
      </c>
      <c r="J57" s="199" t="str">
        <f>IF(J$3="","",IF(COUNTIFS(BD!$A$3:$A$5001,J$3,BD!$B$3:$B$5001,$A$45,BD!$Z$3:$Z$5001,"&lt;&gt;")=0,"",SUMIFS(BD!$Z$3:$Z$5001,BD!$A$3:$A$5001,J$3,BD!$B$3:$B$5001,$A$45)))</f>
        <v/>
      </c>
      <c r="K57" s="199" t="str">
        <f>IF(K$3="","",IF(COUNTIFS(BD!$A$3:$A$5001,K$3,BD!$B$3:$B$5001,$A$45,BD!$Z$3:$Z$5001,"&lt;&gt;")=0,"",SUMIFS(BD!$Z$3:$Z$5001,BD!$A$3:$A$5001,K$3,BD!$B$3:$B$5001,$A$45)))</f>
        <v/>
      </c>
      <c r="L57" s="199" t="str">
        <f>IF(L$3="","",IF(COUNTIFS(BD!$A$3:$A$5001,L$3,BD!$B$3:$B$5001,$A$45,BD!$Z$3:$Z$5001,"&lt;&gt;")=0,"",SUMIFS(BD!$Z$3:$Z$5001,BD!$A$3:$A$5001,L$3,BD!$B$3:$B$5001,$A$45)))</f>
        <v/>
      </c>
      <c r="M57" s="199" t="str">
        <f>IF(M$3="","",IF(COUNTIFS(BD!$A$3:$A$5001,M$3,BD!$B$3:$B$5001,$A$45,BD!$Z$3:$Z$5001,"&lt;&gt;")=0,"",SUMIFS(BD!$Z$3:$Z$5001,BD!$A$3:$A$5001,M$3,BD!$B$3:$B$5001,$A$45)))</f>
        <v/>
      </c>
      <c r="N57" s="199" t="str">
        <f>IF(N$3="","",IF(COUNTIFS(BD!$A$3:$A$5001,N$3,BD!$B$3:$B$5001,$A$45,BD!$Z$3:$Z$5001,"&lt;&gt;")=0,"",SUMIFS(BD!$Z$3:$Z$5001,BD!$A$3:$A$5001,N$3,BD!$B$3:$B$5001,$A$45)))</f>
        <v/>
      </c>
      <c r="O57" s="199" t="str">
        <f>IF(O$3="","",IF(COUNTIFS(BD!$A$3:$A$5001,O$3,BD!$B$3:$B$5001,$A$45,BD!$Z$3:$Z$5001,"&lt;&gt;")=0,"",SUMIFS(BD!$Z$3:$Z$5001,BD!$A$3:$A$5001,O$3,BD!$B$3:$B$5001,$A$45)))</f>
        <v/>
      </c>
      <c r="P57" s="199" t="str">
        <f>IF(P$3="","",IF(COUNTIFS(BD!$A$3:$A$5001,P$3,BD!$B$3:$B$5001,$A$45,BD!$Z$3:$Z$5001,"&lt;&gt;")=0,"",SUMIFS(BD!$Z$3:$Z$5001,BD!$A$3:$A$5001,P$3,BD!$B$3:$B$5001,$A$45)))</f>
        <v/>
      </c>
      <c r="Q57" s="199" t="str">
        <f>IF(Q$3="","",IF(COUNTIFS(BD!$A$3:$A$5001,Q$3,BD!$B$3:$B$5001,$A$45,BD!$Z$3:$Z$5001,"&lt;&gt;")=0,"",SUMIFS(BD!$Z$3:$Z$5001,BD!$A$3:$A$5001,Q$3,BD!$B$3:$B$5001,$A$45)))</f>
        <v/>
      </c>
      <c r="R57" s="199" t="str">
        <f>IF(R$3="","",IF(COUNTIFS(BD!$A$3:$A$5001,R$3,BD!$B$3:$B$5001,$A$45,BD!$Z$3:$Z$5001,"&lt;&gt;")=0,"",SUMIFS(BD!$Z$3:$Z$5001,BD!$A$3:$A$5001,R$3,BD!$B$3:$B$5001,$A$45)))</f>
        <v/>
      </c>
      <c r="S57" s="199" t="str">
        <f>IF(S$3="","",IF(COUNTIFS(BD!$A$3:$A$5001,S$3,BD!$B$3:$B$5001,$A$45,BD!$Z$3:$Z$5001,"&lt;&gt;")=0,"",SUMIFS(BD!$Z$3:$Z$5001,BD!$A$3:$A$5001,S$3,BD!$B$3:$B$5001,$A$45)))</f>
        <v/>
      </c>
      <c r="T57" s="199" t="str">
        <f>IF(T$3="","",IF(COUNTIFS(BD!$A$3:$A$5001,T$3,BD!$B$3:$B$5001,$A$45,BD!$Z$3:$Z$5001,"&lt;&gt;")=0,"",SUMIFS(BD!$Z$3:$Z$5001,BD!$A$3:$A$5001,T$3,BD!$B$3:$B$5001,$A$45)))</f>
        <v/>
      </c>
      <c r="U57" s="199" t="str">
        <f>IF(U$3="","",IF(COUNTIFS(BD!$A$3:$A$5001,U$3,BD!$B$3:$B$5001,$A$45,BD!$Z$3:$Z$5001,"&lt;&gt;")=0,"",SUMIFS(BD!$Z$3:$Z$5001,BD!$A$3:$A$5001,U$3,BD!$B$3:$B$5001,$A$45)))</f>
        <v/>
      </c>
      <c r="V57" s="199" t="str">
        <f>IF(V$3="","",IF(COUNTIFS(BD!$A$3:$A$5001,V$3,BD!$B$3:$B$5001,$A$45,BD!$Z$3:$Z$5001,"&lt;&gt;")=0,"",SUMIFS(BD!$Z$3:$Z$5001,BD!$A$3:$A$5001,V$3,BD!$B$3:$B$5001,$A$45)))</f>
        <v/>
      </c>
      <c r="W57" s="199" t="str">
        <f>IF(W$3="","",IF(COUNTIFS(BD!$A$3:$A$5001,W$3,BD!$B$3:$B$5001,$A$45,BD!$Z$3:$Z$5001,"&lt;&gt;")=0,"",SUMIFS(BD!$Z$3:$Z$5001,BD!$A$3:$A$5001,W$3,BD!$B$3:$B$5001,$A$45)))</f>
        <v/>
      </c>
      <c r="X57" s="199" t="str">
        <f>IF(X$3="","",IF(COUNTIFS(BD!$A$3:$A$5001,X$3,BD!$B$3:$B$5001,$A$45,BD!$Z$3:$Z$5001,"&lt;&gt;")=0,"",SUMIFS(BD!$Z$3:$Z$5001,BD!$A$3:$A$5001,X$3,BD!$B$3:$B$5001,$A$45)))</f>
        <v/>
      </c>
      <c r="Y57" s="199" t="str">
        <f>IF(Y$3="","",IF(COUNTIFS(BD!$A$3:$A$5001,Y$3,BD!$B$3:$B$5001,$A$45,BD!$Z$3:$Z$5001,"&lt;&gt;")=0,"",SUMIFS(BD!$Z$3:$Z$5001,BD!$A$3:$A$5001,Y$3,BD!$B$3:$B$5001,$A$45)))</f>
        <v/>
      </c>
      <c r="Z57" s="199" t="str">
        <f>IF(Z$3="","",IF(COUNTIFS(BD!$A$3:$A$5001,Z$3,BD!$B$3:$B$5001,$A$45,BD!$Z$3:$Z$5001,"&lt;&gt;")=0,"",SUMIFS(BD!$Z$3:$Z$5001,BD!$A$3:$A$5001,Z$3,BD!$B$3:$B$5001,$A$45)))</f>
        <v/>
      </c>
      <c r="AA57" s="199" t="str">
        <f>IF(AA$3="","",IF(COUNTIFS(BD!$A$3:$A$5001,AA$3,BD!$B$3:$B$5001,$A$45,BD!$Z$3:$Z$5001,"&lt;&gt;")=0,"",SUMIFS(BD!$Z$3:$Z$5001,BD!$A$3:$A$5001,AA$3,BD!$B$3:$B$5001,$A$45)))</f>
        <v/>
      </c>
      <c r="AB57" s="199" t="str">
        <f>IF(AB$3="","",IF(COUNTIFS(BD!$A$3:$A$5001,AB$3,BD!$B$3:$B$5001,$A$45,BD!$Z$3:$Z$5001,"&lt;&gt;")=0,"",SUMIFS(BD!$Z$3:$Z$5001,BD!$A$3:$A$5001,AB$3,BD!$B$3:$B$5001,$A$45)))</f>
        <v/>
      </c>
      <c r="AC57" s="199" t="str">
        <f>IF(AC$3="","",IF(COUNTIFS(BD!$A$3:$A$5001,AC$3,BD!$B$3:$B$5001,$A$45,BD!$Z$3:$Z$5001,"&lt;&gt;")=0,"",SUMIFS(BD!$Z$3:$Z$5001,BD!$A$3:$A$5001,AC$3,BD!$B$3:$B$5001,$A$45)))</f>
        <v/>
      </c>
      <c r="AD57" s="199" t="str">
        <f>IF(AD$3="","",IF(COUNTIFS(BD!$A$3:$A$5001,AD$3,BD!$B$3:$B$5001,$A$45,BD!$Z$3:$Z$5001,"&lt;&gt;")=0,"",SUMIFS(BD!$Z$3:$Z$5001,BD!$A$3:$A$5001,AD$3,BD!$B$3:$B$5001,$A$45)))</f>
        <v/>
      </c>
      <c r="AE57" s="199" t="str">
        <f>IF(AE$3="","",IF(COUNTIFS(BD!$A$3:$A$5001,AE$3,BD!$B$3:$B$5001,$A$45,BD!$Z$3:$Z$5001,"&lt;&gt;")=0,"",SUMIFS(BD!$Z$3:$Z$5001,BD!$A$3:$A$5001,AE$3,BD!$B$3:$B$5001,$A$45)))</f>
        <v/>
      </c>
      <c r="AF57" s="199" t="str">
        <f>IF(AF$3="","",IF(COUNTIFS(BD!$A$3:$A$5001,AF$3,BD!$B$3:$B$5001,$A$45,BD!$Z$3:$Z$5001,"&lt;&gt;")=0,"",SUMIFS(BD!$Z$3:$Z$5001,BD!$A$3:$A$5001,AF$3,BD!$B$3:$B$5001,$A$45)))</f>
        <v/>
      </c>
      <c r="AG57" s="199" t="str">
        <f>IF(AG$3="","",IF(COUNTIFS(BD!$A$3:$A$5001,AG$3,BD!$B$3:$B$5001,$A$45,BD!$Z$3:$Z$5001,"&lt;&gt;")=0,"",SUMIFS(BD!$Z$3:$Z$5001,BD!$A$3:$A$5001,AG$3,BD!$B$3:$B$5001,$A$45)))</f>
        <v/>
      </c>
      <c r="AH57" s="199" t="str">
        <f>IF(AH$3="","",IF(COUNTIFS(BD!$A$3:$A$5001,AH$3,BD!$B$3:$B$5001,$A$45,BD!$Z$3:$Z$5001,"&lt;&gt;")=0,"",SUMIFS(BD!$Z$3:$Z$5001,BD!$A$3:$A$5001,AH$3,BD!$B$3:$B$5001,$A$45)))</f>
        <v/>
      </c>
      <c r="AI57" s="199" t="str">
        <f>IF(AI$3="","",IF(COUNTIFS(BD!$A$3:$A$5001,AI$3,BD!$B$3:$B$5001,$A$45,BD!$Z$3:$Z$5001,"&lt;&gt;")=0,"",SUMIFS(BD!$Z$3:$Z$5001,BD!$A$3:$A$5001,AI$3,BD!$B$3:$B$5001,$A$45)))</f>
        <v/>
      </c>
      <c r="AJ57" s="200" t="str">
        <f>IF(AJ$3="","",IF(COUNTIFS(BD!$A$3:$A$5001,AJ$3,BD!$B$3:$B$5001,$A$45,BD!$Z$3:$Z$5001,"&lt;&gt;")=0,"",SUMIFS(BD!$Z$3:$Z$5001,BD!$A$3:$A$5001,AJ$3,BD!$B$3:$B$5001,$A$45)))</f>
        <v/>
      </c>
      <c r="AK57" s="201" t="str">
        <f>IFERROR(LOOKUP(9.99E+307,F57:AJ57),"")</f>
        <v/>
      </c>
    </row>
    <row r="58" ht="15.75" customHeight="1">
      <c r="A58" s="227"/>
      <c r="B58" s="224"/>
      <c r="C58" s="202" t="inlineStr">
        <is>
          <t xml:space="preserve">Falta</t>
        </is>
      </c>
      <c r="D58" s="203" t="str">
        <f>IFERROR(1/(1/INDEX(BD!$AK$48:$AT$48,MATCH($A$45,BD!$AK$22:$AT$22,0))),"")</f>
        <v/>
      </c>
      <c r="E58" s="204"/>
      <c r="F58" s="205" t="str">
        <f>IF(F$3="","",IF(COUNTIFS(BD!$A$3:$A$5001,F$3,BD!$B$3:$B$5001,$A$45,BD!$AA$3:$AA$5001,"&lt;&gt;")=0,"",SUMIFS(BD!$AA$3:$AA$5001,BD!$A$3:$A$5001,F$3,BD!$B$3:$B$5001,$A$45)))</f>
        <v/>
      </c>
      <c r="G58" s="206" t="str">
        <f>IF(G$3="","",IF(COUNTIFS(BD!$A$3:$A$5001,G$3,BD!$B$3:$B$5001,$A$45,BD!$AA$3:$AA$5001,"&lt;&gt;")=0,"",SUMIFS(BD!$AA$3:$AA$5001,BD!$A$3:$A$5001,G$3,BD!$B$3:$B$5001,$A$45)))</f>
        <v/>
      </c>
      <c r="H58" s="206" t="str">
        <f>IF(H$3="","",IF(COUNTIFS(BD!$A$3:$A$5001,H$3,BD!$B$3:$B$5001,$A$45,BD!$AA$3:$AA$5001,"&lt;&gt;")=0,"",SUMIFS(BD!$AA$3:$AA$5001,BD!$A$3:$A$5001,H$3,BD!$B$3:$B$5001,$A$45)))</f>
        <v/>
      </c>
      <c r="I58" s="206" t="str">
        <f>IF(I$3="","",IF(COUNTIFS(BD!$A$3:$A$5001,I$3,BD!$B$3:$B$5001,$A$45,BD!$AA$3:$AA$5001,"&lt;&gt;")=0,"",SUMIFS(BD!$AA$3:$AA$5001,BD!$A$3:$A$5001,I$3,BD!$B$3:$B$5001,$A$45)))</f>
        <v/>
      </c>
      <c r="J58" s="206" t="str">
        <f>IF(J$3="","",IF(COUNTIFS(BD!$A$3:$A$5001,J$3,BD!$B$3:$B$5001,$A$45,BD!$AA$3:$AA$5001,"&lt;&gt;")=0,"",SUMIFS(BD!$AA$3:$AA$5001,BD!$A$3:$A$5001,J$3,BD!$B$3:$B$5001,$A$45)))</f>
        <v/>
      </c>
      <c r="K58" s="206" t="str">
        <f>IF(K$3="","",IF(COUNTIFS(BD!$A$3:$A$5001,K$3,BD!$B$3:$B$5001,$A$45,BD!$AA$3:$AA$5001,"&lt;&gt;")=0,"",SUMIFS(BD!$AA$3:$AA$5001,BD!$A$3:$A$5001,K$3,BD!$B$3:$B$5001,$A$45)))</f>
        <v/>
      </c>
      <c r="L58" s="206" t="str">
        <f>IF(L$3="","",IF(COUNTIFS(BD!$A$3:$A$5001,L$3,BD!$B$3:$B$5001,$A$45,BD!$AA$3:$AA$5001,"&lt;&gt;")=0,"",SUMIFS(BD!$AA$3:$AA$5001,BD!$A$3:$A$5001,L$3,BD!$B$3:$B$5001,$A$45)))</f>
        <v/>
      </c>
      <c r="M58" s="206" t="str">
        <f>IF(M$3="","",IF(COUNTIFS(BD!$A$3:$A$5001,M$3,BD!$B$3:$B$5001,$A$45,BD!$AA$3:$AA$5001,"&lt;&gt;")=0,"",SUMIFS(BD!$AA$3:$AA$5001,BD!$A$3:$A$5001,M$3,BD!$B$3:$B$5001,$A$45)))</f>
        <v/>
      </c>
      <c r="N58" s="206" t="str">
        <f>IF(N$3="","",IF(COUNTIFS(BD!$A$3:$A$5001,N$3,BD!$B$3:$B$5001,$A$45,BD!$AA$3:$AA$5001,"&lt;&gt;")=0,"",SUMIFS(BD!$AA$3:$AA$5001,BD!$A$3:$A$5001,N$3,BD!$B$3:$B$5001,$A$45)))</f>
        <v/>
      </c>
      <c r="O58" s="206" t="str">
        <f>IF(O$3="","",IF(COUNTIFS(BD!$A$3:$A$5001,O$3,BD!$B$3:$B$5001,$A$45,BD!$AA$3:$AA$5001,"&lt;&gt;")=0,"",SUMIFS(BD!$AA$3:$AA$5001,BD!$A$3:$A$5001,O$3,BD!$B$3:$B$5001,$A$45)))</f>
        <v/>
      </c>
      <c r="P58" s="206" t="str">
        <f>IF(P$3="","",IF(COUNTIFS(BD!$A$3:$A$5001,P$3,BD!$B$3:$B$5001,$A$45,BD!$AA$3:$AA$5001,"&lt;&gt;")=0,"",SUMIFS(BD!$AA$3:$AA$5001,BD!$A$3:$A$5001,P$3,BD!$B$3:$B$5001,$A$45)))</f>
        <v/>
      </c>
      <c r="Q58" s="206" t="str">
        <f>IF(Q$3="","",IF(COUNTIFS(BD!$A$3:$A$5001,Q$3,BD!$B$3:$B$5001,$A$45,BD!$AA$3:$AA$5001,"&lt;&gt;")=0,"",SUMIFS(BD!$AA$3:$AA$5001,BD!$A$3:$A$5001,Q$3,BD!$B$3:$B$5001,$A$45)))</f>
        <v/>
      </c>
      <c r="R58" s="206" t="str">
        <f>IF(R$3="","",IF(COUNTIFS(BD!$A$3:$A$5001,R$3,BD!$B$3:$B$5001,$A$45,BD!$AA$3:$AA$5001,"&lt;&gt;")=0,"",SUMIFS(BD!$AA$3:$AA$5001,BD!$A$3:$A$5001,R$3,BD!$B$3:$B$5001,$A$45)))</f>
        <v/>
      </c>
      <c r="S58" s="206" t="str">
        <f>IF(S$3="","",IF(COUNTIFS(BD!$A$3:$A$5001,S$3,BD!$B$3:$B$5001,$A$45,BD!$AA$3:$AA$5001,"&lt;&gt;")=0,"",SUMIFS(BD!$AA$3:$AA$5001,BD!$A$3:$A$5001,S$3,BD!$B$3:$B$5001,$A$45)))</f>
        <v/>
      </c>
      <c r="T58" s="206" t="str">
        <f>IF(T$3="","",IF(COUNTIFS(BD!$A$3:$A$5001,T$3,BD!$B$3:$B$5001,$A$45,BD!$AA$3:$AA$5001,"&lt;&gt;")=0,"",SUMIFS(BD!$AA$3:$AA$5001,BD!$A$3:$A$5001,T$3,BD!$B$3:$B$5001,$A$45)))</f>
        <v/>
      </c>
      <c r="U58" s="206" t="str">
        <f>IF(U$3="","",IF(COUNTIFS(BD!$A$3:$A$5001,U$3,BD!$B$3:$B$5001,$A$45,BD!$AA$3:$AA$5001,"&lt;&gt;")=0,"",SUMIFS(BD!$AA$3:$AA$5001,BD!$A$3:$A$5001,U$3,BD!$B$3:$B$5001,$A$45)))</f>
        <v/>
      </c>
      <c r="V58" s="206" t="str">
        <f>IF(V$3="","",IF(COUNTIFS(BD!$A$3:$A$5001,V$3,BD!$B$3:$B$5001,$A$45,BD!$AA$3:$AA$5001,"&lt;&gt;")=0,"",SUMIFS(BD!$AA$3:$AA$5001,BD!$A$3:$A$5001,V$3,BD!$B$3:$B$5001,$A$45)))</f>
        <v/>
      </c>
      <c r="W58" s="206" t="str">
        <f>IF(W$3="","",IF(COUNTIFS(BD!$A$3:$A$5001,W$3,BD!$B$3:$B$5001,$A$45,BD!$AA$3:$AA$5001,"&lt;&gt;")=0,"",SUMIFS(BD!$AA$3:$AA$5001,BD!$A$3:$A$5001,W$3,BD!$B$3:$B$5001,$A$45)))</f>
        <v/>
      </c>
      <c r="X58" s="206" t="str">
        <f>IF(X$3="","",IF(COUNTIFS(BD!$A$3:$A$5001,X$3,BD!$B$3:$B$5001,$A$45,BD!$AA$3:$AA$5001,"&lt;&gt;")=0,"",SUMIFS(BD!$AA$3:$AA$5001,BD!$A$3:$A$5001,X$3,BD!$B$3:$B$5001,$A$45)))</f>
        <v/>
      </c>
      <c r="Y58" s="206" t="str">
        <f>IF(Y$3="","",IF(COUNTIFS(BD!$A$3:$A$5001,Y$3,BD!$B$3:$B$5001,$A$45,BD!$AA$3:$AA$5001,"&lt;&gt;")=0,"",SUMIFS(BD!$AA$3:$AA$5001,BD!$A$3:$A$5001,Y$3,BD!$B$3:$B$5001,$A$45)))</f>
        <v/>
      </c>
      <c r="Z58" s="206" t="str">
        <f>IF(Z$3="","",IF(COUNTIFS(BD!$A$3:$A$5001,Z$3,BD!$B$3:$B$5001,$A$45,BD!$AA$3:$AA$5001,"&lt;&gt;")=0,"",SUMIFS(BD!$AA$3:$AA$5001,BD!$A$3:$A$5001,Z$3,BD!$B$3:$B$5001,$A$45)))</f>
        <v/>
      </c>
      <c r="AA58" s="206" t="str">
        <f>IF(AA$3="","",IF(COUNTIFS(BD!$A$3:$A$5001,AA$3,BD!$B$3:$B$5001,$A$45,BD!$AA$3:$AA$5001,"&lt;&gt;")=0,"",SUMIFS(BD!$AA$3:$AA$5001,BD!$A$3:$A$5001,AA$3,BD!$B$3:$B$5001,$A$45)))</f>
        <v/>
      </c>
      <c r="AB58" s="206" t="str">
        <f>IF(AB$3="","",IF(COUNTIFS(BD!$A$3:$A$5001,AB$3,BD!$B$3:$B$5001,$A$45,BD!$AA$3:$AA$5001,"&lt;&gt;")=0,"",SUMIFS(BD!$AA$3:$AA$5001,BD!$A$3:$A$5001,AB$3,BD!$B$3:$B$5001,$A$45)))</f>
        <v/>
      </c>
      <c r="AC58" s="206" t="str">
        <f>IF(AC$3="","",IF(COUNTIFS(BD!$A$3:$A$5001,AC$3,BD!$B$3:$B$5001,$A$45,BD!$AA$3:$AA$5001,"&lt;&gt;")=0,"",SUMIFS(BD!$AA$3:$AA$5001,BD!$A$3:$A$5001,AC$3,BD!$B$3:$B$5001,$A$45)))</f>
        <v/>
      </c>
      <c r="AD58" s="206" t="str">
        <f>IF(AD$3="","",IF(COUNTIFS(BD!$A$3:$A$5001,AD$3,BD!$B$3:$B$5001,$A$45,BD!$AA$3:$AA$5001,"&lt;&gt;")=0,"",SUMIFS(BD!$AA$3:$AA$5001,BD!$A$3:$A$5001,AD$3,BD!$B$3:$B$5001,$A$45)))</f>
        <v/>
      </c>
      <c r="AE58" s="206" t="str">
        <f>IF(AE$3="","",IF(COUNTIFS(BD!$A$3:$A$5001,AE$3,BD!$B$3:$B$5001,$A$45,BD!$AA$3:$AA$5001,"&lt;&gt;")=0,"",SUMIFS(BD!$AA$3:$AA$5001,BD!$A$3:$A$5001,AE$3,BD!$B$3:$B$5001,$A$45)))</f>
        <v/>
      </c>
      <c r="AF58" s="206" t="str">
        <f>IF(AF$3="","",IF(COUNTIFS(BD!$A$3:$A$5001,AF$3,BD!$B$3:$B$5001,$A$45,BD!$AA$3:$AA$5001,"&lt;&gt;")=0,"",SUMIFS(BD!$AA$3:$AA$5001,BD!$A$3:$A$5001,AF$3,BD!$B$3:$B$5001,$A$45)))</f>
        <v/>
      </c>
      <c r="AG58" s="206" t="str">
        <f>IF(AG$3="","",IF(COUNTIFS(BD!$A$3:$A$5001,AG$3,BD!$B$3:$B$5001,$A$45,BD!$AA$3:$AA$5001,"&lt;&gt;")=0,"",SUMIFS(BD!$AA$3:$AA$5001,BD!$A$3:$A$5001,AG$3,BD!$B$3:$B$5001,$A$45)))</f>
        <v/>
      </c>
      <c r="AH58" s="206" t="str">
        <f>IF(AH$3="","",IF(COUNTIFS(BD!$A$3:$A$5001,AH$3,BD!$B$3:$B$5001,$A$45,BD!$AA$3:$AA$5001,"&lt;&gt;")=0,"",SUMIFS(BD!$AA$3:$AA$5001,BD!$A$3:$A$5001,AH$3,BD!$B$3:$B$5001,$A$45)))</f>
        <v/>
      </c>
      <c r="AI58" s="206" t="str">
        <f>IF(AI$3="","",IF(COUNTIFS(BD!$A$3:$A$5001,AI$3,BD!$B$3:$B$5001,$A$45,BD!$AA$3:$AA$5001,"&lt;&gt;")=0,"",SUMIFS(BD!$AA$3:$AA$5001,BD!$A$3:$A$5001,AI$3,BD!$B$3:$B$5001,$A$45)))</f>
        <v/>
      </c>
      <c r="AJ58" s="207" t="str">
        <f>IF(AJ$3="","",IF(COUNTIFS(BD!$A$3:$A$5001,AJ$3,BD!$B$3:$B$5001,$A$45,BD!$AA$3:$AA$5001,"&lt;&gt;")=0,"",SUMIFS(BD!$AA$3:$AA$5001,BD!$A$3:$A$5001,AJ$3,BD!$B$3:$B$5001,$A$45)))</f>
        <v/>
      </c>
      <c r="AK58" s="208" t="str">
        <f>IF(COUNT(F58:AJ58)=0,"",SUM(F58:AJ58))</f>
        <v/>
      </c>
    </row>
    <row r="59" ht="15.75" customHeight="1">
      <c r="A59" s="227"/>
      <c r="B59" s="224"/>
      <c r="C59" s="202" t="inlineStr">
        <is>
          <t xml:space="preserve">Folga</t>
        </is>
      </c>
      <c r="D59" s="203" t="str">
        <f>IFERROR(1/(1/INDEX(BD!$AK$49:$AT$49,MATCH($A$45,BD!$AK$22:$AT$22,0))),"")</f>
        <v/>
      </c>
      <c r="E59" s="204"/>
      <c r="F59" s="205" t="str">
        <f>IF(F$3="","",IF(COUNTIFS(BD!$A$3:$A$5001,F$3,BD!$B$3:$B$5001,$A$45,BD!$AB$3:$AB$5001,"&lt;&gt;")=0,"",SUMIFS(BD!$AB$3:$AB$5001,BD!$A$3:$A$5001,F$3,BD!$B$3:$B$5001,$A$45)))</f>
        <v/>
      </c>
      <c r="G59" s="206" t="str">
        <f>IF(G$3="","",IF(COUNTIFS(BD!$A$3:$A$5001,G$3,BD!$B$3:$B$5001,$A$45,BD!$AB$3:$AB$5001,"&lt;&gt;")=0,"",SUMIFS(BD!$AB$3:$AB$5001,BD!$A$3:$A$5001,G$3,BD!$B$3:$B$5001,$A$45)))</f>
        <v/>
      </c>
      <c r="H59" s="206" t="str">
        <f>IF(H$3="","",IF(COUNTIFS(BD!$A$3:$A$5001,H$3,BD!$B$3:$B$5001,$A$45,BD!$AB$3:$AB$5001,"&lt;&gt;")=0,"",SUMIFS(BD!$AB$3:$AB$5001,BD!$A$3:$A$5001,H$3,BD!$B$3:$B$5001,$A$45)))</f>
        <v/>
      </c>
      <c r="I59" s="206" t="str">
        <f>IF(I$3="","",IF(COUNTIFS(BD!$A$3:$A$5001,I$3,BD!$B$3:$B$5001,$A$45,BD!$AB$3:$AB$5001,"&lt;&gt;")=0,"",SUMIFS(BD!$AB$3:$AB$5001,BD!$A$3:$A$5001,I$3,BD!$B$3:$B$5001,$A$45)))</f>
        <v/>
      </c>
      <c r="J59" s="206" t="str">
        <f>IF(J$3="","",IF(COUNTIFS(BD!$A$3:$A$5001,J$3,BD!$B$3:$B$5001,$A$45,BD!$AB$3:$AB$5001,"&lt;&gt;")=0,"",SUMIFS(BD!$AB$3:$AB$5001,BD!$A$3:$A$5001,J$3,BD!$B$3:$B$5001,$A$45)))</f>
        <v/>
      </c>
      <c r="K59" s="206" t="str">
        <f>IF(K$3="","",IF(COUNTIFS(BD!$A$3:$A$5001,K$3,BD!$B$3:$B$5001,$A$45,BD!$AB$3:$AB$5001,"&lt;&gt;")=0,"",SUMIFS(BD!$AB$3:$AB$5001,BD!$A$3:$A$5001,K$3,BD!$B$3:$B$5001,$A$45)))</f>
        <v/>
      </c>
      <c r="L59" s="206" t="str">
        <f>IF(L$3="","",IF(COUNTIFS(BD!$A$3:$A$5001,L$3,BD!$B$3:$B$5001,$A$45,BD!$AB$3:$AB$5001,"&lt;&gt;")=0,"",SUMIFS(BD!$AB$3:$AB$5001,BD!$A$3:$A$5001,L$3,BD!$B$3:$B$5001,$A$45)))</f>
        <v/>
      </c>
      <c r="M59" s="206" t="str">
        <f>IF(M$3="","",IF(COUNTIFS(BD!$A$3:$A$5001,M$3,BD!$B$3:$B$5001,$A$45,BD!$AB$3:$AB$5001,"&lt;&gt;")=0,"",SUMIFS(BD!$AB$3:$AB$5001,BD!$A$3:$A$5001,M$3,BD!$B$3:$B$5001,$A$45)))</f>
        <v/>
      </c>
      <c r="N59" s="206" t="str">
        <f>IF(N$3="","",IF(COUNTIFS(BD!$A$3:$A$5001,N$3,BD!$B$3:$B$5001,$A$45,BD!$AB$3:$AB$5001,"&lt;&gt;")=0,"",SUMIFS(BD!$AB$3:$AB$5001,BD!$A$3:$A$5001,N$3,BD!$B$3:$B$5001,$A$45)))</f>
        <v/>
      </c>
      <c r="O59" s="206" t="str">
        <f>IF(O$3="","",IF(COUNTIFS(BD!$A$3:$A$5001,O$3,BD!$B$3:$B$5001,$A$45,BD!$AB$3:$AB$5001,"&lt;&gt;")=0,"",SUMIFS(BD!$AB$3:$AB$5001,BD!$A$3:$A$5001,O$3,BD!$B$3:$B$5001,$A$45)))</f>
        <v/>
      </c>
      <c r="P59" s="206" t="str">
        <f>IF(P$3="","",IF(COUNTIFS(BD!$A$3:$A$5001,P$3,BD!$B$3:$B$5001,$A$45,BD!$AB$3:$AB$5001,"&lt;&gt;")=0,"",SUMIFS(BD!$AB$3:$AB$5001,BD!$A$3:$A$5001,P$3,BD!$B$3:$B$5001,$A$45)))</f>
        <v/>
      </c>
      <c r="Q59" s="206" t="str">
        <f>IF(Q$3="","",IF(COUNTIFS(BD!$A$3:$A$5001,Q$3,BD!$B$3:$B$5001,$A$45,BD!$AB$3:$AB$5001,"&lt;&gt;")=0,"",SUMIFS(BD!$AB$3:$AB$5001,BD!$A$3:$A$5001,Q$3,BD!$B$3:$B$5001,$A$45)))</f>
        <v/>
      </c>
      <c r="R59" s="206" t="str">
        <f>IF(R$3="","",IF(COUNTIFS(BD!$A$3:$A$5001,R$3,BD!$B$3:$B$5001,$A$45,BD!$AB$3:$AB$5001,"&lt;&gt;")=0,"",SUMIFS(BD!$AB$3:$AB$5001,BD!$A$3:$A$5001,R$3,BD!$B$3:$B$5001,$A$45)))</f>
        <v/>
      </c>
      <c r="S59" s="206" t="str">
        <f>IF(S$3="","",IF(COUNTIFS(BD!$A$3:$A$5001,S$3,BD!$B$3:$B$5001,$A$45,BD!$AB$3:$AB$5001,"&lt;&gt;")=0,"",SUMIFS(BD!$AB$3:$AB$5001,BD!$A$3:$A$5001,S$3,BD!$B$3:$B$5001,$A$45)))</f>
        <v/>
      </c>
      <c r="T59" s="206" t="str">
        <f>IF(T$3="","",IF(COUNTIFS(BD!$A$3:$A$5001,T$3,BD!$B$3:$B$5001,$A$45,BD!$AB$3:$AB$5001,"&lt;&gt;")=0,"",SUMIFS(BD!$AB$3:$AB$5001,BD!$A$3:$A$5001,T$3,BD!$B$3:$B$5001,$A$45)))</f>
        <v/>
      </c>
      <c r="U59" s="206" t="str">
        <f>IF(U$3="","",IF(COUNTIFS(BD!$A$3:$A$5001,U$3,BD!$B$3:$B$5001,$A$45,BD!$AB$3:$AB$5001,"&lt;&gt;")=0,"",SUMIFS(BD!$AB$3:$AB$5001,BD!$A$3:$A$5001,U$3,BD!$B$3:$B$5001,$A$45)))</f>
        <v/>
      </c>
      <c r="V59" s="206" t="str">
        <f>IF(V$3="","",IF(COUNTIFS(BD!$A$3:$A$5001,V$3,BD!$B$3:$B$5001,$A$45,BD!$AB$3:$AB$5001,"&lt;&gt;")=0,"",SUMIFS(BD!$AB$3:$AB$5001,BD!$A$3:$A$5001,V$3,BD!$B$3:$B$5001,$A$45)))</f>
        <v/>
      </c>
      <c r="W59" s="206" t="str">
        <f>IF(W$3="","",IF(COUNTIFS(BD!$A$3:$A$5001,W$3,BD!$B$3:$B$5001,$A$45,BD!$AB$3:$AB$5001,"&lt;&gt;")=0,"",SUMIFS(BD!$AB$3:$AB$5001,BD!$A$3:$A$5001,W$3,BD!$B$3:$B$5001,$A$45)))</f>
        <v/>
      </c>
      <c r="X59" s="206" t="str">
        <f>IF(X$3="","",IF(COUNTIFS(BD!$A$3:$A$5001,X$3,BD!$B$3:$B$5001,$A$45,BD!$AB$3:$AB$5001,"&lt;&gt;")=0,"",SUMIFS(BD!$AB$3:$AB$5001,BD!$A$3:$A$5001,X$3,BD!$B$3:$B$5001,$A$45)))</f>
        <v/>
      </c>
      <c r="Y59" s="206" t="str">
        <f>IF(Y$3="","",IF(COUNTIFS(BD!$A$3:$A$5001,Y$3,BD!$B$3:$B$5001,$A$45,BD!$AB$3:$AB$5001,"&lt;&gt;")=0,"",SUMIFS(BD!$AB$3:$AB$5001,BD!$A$3:$A$5001,Y$3,BD!$B$3:$B$5001,$A$45)))</f>
        <v/>
      </c>
      <c r="Z59" s="206" t="str">
        <f>IF(Z$3="","",IF(COUNTIFS(BD!$A$3:$A$5001,Z$3,BD!$B$3:$B$5001,$A$45,BD!$AB$3:$AB$5001,"&lt;&gt;")=0,"",SUMIFS(BD!$AB$3:$AB$5001,BD!$A$3:$A$5001,Z$3,BD!$B$3:$B$5001,$A$45)))</f>
        <v/>
      </c>
      <c r="AA59" s="206" t="str">
        <f>IF(AA$3="","",IF(COUNTIFS(BD!$A$3:$A$5001,AA$3,BD!$B$3:$B$5001,$A$45,BD!$AB$3:$AB$5001,"&lt;&gt;")=0,"",SUMIFS(BD!$AB$3:$AB$5001,BD!$A$3:$A$5001,AA$3,BD!$B$3:$B$5001,$A$45)))</f>
        <v/>
      </c>
      <c r="AB59" s="206" t="str">
        <f>IF(AB$3="","",IF(COUNTIFS(BD!$A$3:$A$5001,AB$3,BD!$B$3:$B$5001,$A$45,BD!$AB$3:$AB$5001,"&lt;&gt;")=0,"",SUMIFS(BD!$AB$3:$AB$5001,BD!$A$3:$A$5001,AB$3,BD!$B$3:$B$5001,$A$45)))</f>
        <v/>
      </c>
      <c r="AC59" s="206" t="str">
        <f>IF(AC$3="","",IF(COUNTIFS(BD!$A$3:$A$5001,AC$3,BD!$B$3:$B$5001,$A$45,BD!$AB$3:$AB$5001,"&lt;&gt;")=0,"",SUMIFS(BD!$AB$3:$AB$5001,BD!$A$3:$A$5001,AC$3,BD!$B$3:$B$5001,$A$45)))</f>
        <v/>
      </c>
      <c r="AD59" s="206" t="str">
        <f>IF(AD$3="","",IF(COUNTIFS(BD!$A$3:$A$5001,AD$3,BD!$B$3:$B$5001,$A$45,BD!$AB$3:$AB$5001,"&lt;&gt;")=0,"",SUMIFS(BD!$AB$3:$AB$5001,BD!$A$3:$A$5001,AD$3,BD!$B$3:$B$5001,$A$45)))</f>
        <v/>
      </c>
      <c r="AE59" s="206" t="str">
        <f>IF(AE$3="","",IF(COUNTIFS(BD!$A$3:$A$5001,AE$3,BD!$B$3:$B$5001,$A$45,BD!$AB$3:$AB$5001,"&lt;&gt;")=0,"",SUMIFS(BD!$AB$3:$AB$5001,BD!$A$3:$A$5001,AE$3,BD!$B$3:$B$5001,$A$45)))</f>
        <v/>
      </c>
      <c r="AF59" s="206" t="str">
        <f>IF(AF$3="","",IF(COUNTIFS(BD!$A$3:$A$5001,AF$3,BD!$B$3:$B$5001,$A$45,BD!$AB$3:$AB$5001,"&lt;&gt;")=0,"",SUMIFS(BD!$AB$3:$AB$5001,BD!$A$3:$A$5001,AF$3,BD!$B$3:$B$5001,$A$45)))</f>
        <v/>
      </c>
      <c r="AG59" s="206" t="str">
        <f>IF(AG$3="","",IF(COUNTIFS(BD!$A$3:$A$5001,AG$3,BD!$B$3:$B$5001,$A$45,BD!$AB$3:$AB$5001,"&lt;&gt;")=0,"",SUMIFS(BD!$AB$3:$AB$5001,BD!$A$3:$A$5001,AG$3,BD!$B$3:$B$5001,$A$45)))</f>
        <v/>
      </c>
      <c r="AH59" s="206" t="str">
        <f>IF(AH$3="","",IF(COUNTIFS(BD!$A$3:$A$5001,AH$3,BD!$B$3:$B$5001,$A$45,BD!$AB$3:$AB$5001,"&lt;&gt;")=0,"",SUMIFS(BD!$AB$3:$AB$5001,BD!$A$3:$A$5001,AH$3,BD!$B$3:$B$5001,$A$45)))</f>
        <v/>
      </c>
      <c r="AI59" s="206" t="str">
        <f>IF(AI$3="","",IF(COUNTIFS(BD!$A$3:$A$5001,AI$3,BD!$B$3:$B$5001,$A$45,BD!$AB$3:$AB$5001,"&lt;&gt;")=0,"",SUMIFS(BD!$AB$3:$AB$5001,BD!$A$3:$A$5001,AI$3,BD!$B$3:$B$5001,$A$45)))</f>
        <v/>
      </c>
      <c r="AJ59" s="207" t="str">
        <f>IF(AJ$3="","",IF(COUNTIFS(BD!$A$3:$A$5001,AJ$3,BD!$B$3:$B$5001,$A$45,BD!$AB$3:$AB$5001,"&lt;&gt;")=0,"",SUMIFS(BD!$AB$3:$AB$5001,BD!$A$3:$A$5001,AJ$3,BD!$B$3:$B$5001,$A$45)))</f>
        <v/>
      </c>
      <c r="AK59" s="208" t="str">
        <f>IF(COUNT(F59:AJ59)=0,"",SUM(F59:AJ59))</f>
        <v/>
      </c>
    </row>
    <row r="60" ht="15.75" customHeight="1">
      <c r="A60" s="227"/>
      <c r="B60" s="224"/>
      <c r="C60" s="202" t="inlineStr">
        <is>
          <t xml:space="preserve">Férias</t>
        </is>
      </c>
      <c r="D60" s="203" t="str">
        <f>IFERROR(1/(1/INDEX(BD!$AK$50:$AT$50,MATCH($A$45,BD!$AK$22:$AT$22,0))),"")</f>
        <v/>
      </c>
      <c r="E60" s="204"/>
      <c r="F60" s="205" t="str">
        <f>IF(F$3="","",IF(COUNTIFS(BD!$A$3:$A$5001,F$3,BD!$B$3:$B$5001,$A$45,BD!$AC$3:$AC$5001,"&lt;&gt;")=0,"",SUMIFS(BD!$AC$3:$AC$5001,BD!$A$3:$A$5001,F$3,BD!$B$3:$B$5001,$A$45)))</f>
        <v/>
      </c>
      <c r="G60" s="206" t="str">
        <f>IF(G$3="","",IF(COUNTIFS(BD!$A$3:$A$5001,G$3,BD!$B$3:$B$5001,$A$45,BD!$AC$3:$AC$5001,"&lt;&gt;")=0,"",SUMIFS(BD!$AC$3:$AC$5001,BD!$A$3:$A$5001,G$3,BD!$B$3:$B$5001,$A$45)))</f>
        <v/>
      </c>
      <c r="H60" s="206" t="str">
        <f>IF(H$3="","",IF(COUNTIFS(BD!$A$3:$A$5001,H$3,BD!$B$3:$B$5001,$A$45,BD!$AC$3:$AC$5001,"&lt;&gt;")=0,"",SUMIFS(BD!$AC$3:$AC$5001,BD!$A$3:$A$5001,H$3,BD!$B$3:$B$5001,$A$45)))</f>
        <v/>
      </c>
      <c r="I60" s="206" t="str">
        <f>IF(I$3="","",IF(COUNTIFS(BD!$A$3:$A$5001,I$3,BD!$B$3:$B$5001,$A$45,BD!$AC$3:$AC$5001,"&lt;&gt;")=0,"",SUMIFS(BD!$AC$3:$AC$5001,BD!$A$3:$A$5001,I$3,BD!$B$3:$B$5001,$A$45)))</f>
        <v/>
      </c>
      <c r="J60" s="206" t="str">
        <f>IF(J$3="","",IF(COUNTIFS(BD!$A$3:$A$5001,J$3,BD!$B$3:$B$5001,$A$45,BD!$AC$3:$AC$5001,"&lt;&gt;")=0,"",SUMIFS(BD!$AC$3:$AC$5001,BD!$A$3:$A$5001,J$3,BD!$B$3:$B$5001,$A$45)))</f>
        <v/>
      </c>
      <c r="K60" s="206" t="str">
        <f>IF(K$3="","",IF(COUNTIFS(BD!$A$3:$A$5001,K$3,BD!$B$3:$B$5001,$A$45,BD!$AC$3:$AC$5001,"&lt;&gt;")=0,"",SUMIFS(BD!$AC$3:$AC$5001,BD!$A$3:$A$5001,K$3,BD!$B$3:$B$5001,$A$45)))</f>
        <v/>
      </c>
      <c r="L60" s="206" t="str">
        <f>IF(L$3="","",IF(COUNTIFS(BD!$A$3:$A$5001,L$3,BD!$B$3:$B$5001,$A$45,BD!$AC$3:$AC$5001,"&lt;&gt;")=0,"",SUMIFS(BD!$AC$3:$AC$5001,BD!$A$3:$A$5001,L$3,BD!$B$3:$B$5001,$A$45)))</f>
        <v/>
      </c>
      <c r="M60" s="206" t="str">
        <f>IF(M$3="","",IF(COUNTIFS(BD!$A$3:$A$5001,M$3,BD!$B$3:$B$5001,$A$45,BD!$AC$3:$AC$5001,"&lt;&gt;")=0,"",SUMIFS(BD!$AC$3:$AC$5001,BD!$A$3:$A$5001,M$3,BD!$B$3:$B$5001,$A$45)))</f>
        <v/>
      </c>
      <c r="N60" s="206" t="str">
        <f>IF(N$3="","",IF(COUNTIFS(BD!$A$3:$A$5001,N$3,BD!$B$3:$B$5001,$A$45,BD!$AC$3:$AC$5001,"&lt;&gt;")=0,"",SUMIFS(BD!$AC$3:$AC$5001,BD!$A$3:$A$5001,N$3,BD!$B$3:$B$5001,$A$45)))</f>
        <v/>
      </c>
      <c r="O60" s="206" t="str">
        <f>IF(O$3="","",IF(COUNTIFS(BD!$A$3:$A$5001,O$3,BD!$B$3:$B$5001,$A$45,BD!$AC$3:$AC$5001,"&lt;&gt;")=0,"",SUMIFS(BD!$AC$3:$AC$5001,BD!$A$3:$A$5001,O$3,BD!$B$3:$B$5001,$A$45)))</f>
        <v/>
      </c>
      <c r="P60" s="206" t="str">
        <f>IF(P$3="","",IF(COUNTIFS(BD!$A$3:$A$5001,P$3,BD!$B$3:$B$5001,$A$45,BD!$AC$3:$AC$5001,"&lt;&gt;")=0,"",SUMIFS(BD!$AC$3:$AC$5001,BD!$A$3:$A$5001,P$3,BD!$B$3:$B$5001,$A$45)))</f>
        <v/>
      </c>
      <c r="Q60" s="206" t="str">
        <f>IF(Q$3="","",IF(COUNTIFS(BD!$A$3:$A$5001,Q$3,BD!$B$3:$B$5001,$A$45,BD!$AC$3:$AC$5001,"&lt;&gt;")=0,"",SUMIFS(BD!$AC$3:$AC$5001,BD!$A$3:$A$5001,Q$3,BD!$B$3:$B$5001,$A$45)))</f>
        <v/>
      </c>
      <c r="R60" s="206" t="str">
        <f>IF(R$3="","",IF(COUNTIFS(BD!$A$3:$A$5001,R$3,BD!$B$3:$B$5001,$A$45,BD!$AC$3:$AC$5001,"&lt;&gt;")=0,"",SUMIFS(BD!$AC$3:$AC$5001,BD!$A$3:$A$5001,R$3,BD!$B$3:$B$5001,$A$45)))</f>
        <v/>
      </c>
      <c r="S60" s="206" t="str">
        <f>IF(S$3="","",IF(COUNTIFS(BD!$A$3:$A$5001,S$3,BD!$B$3:$B$5001,$A$45,BD!$AC$3:$AC$5001,"&lt;&gt;")=0,"",SUMIFS(BD!$AC$3:$AC$5001,BD!$A$3:$A$5001,S$3,BD!$B$3:$B$5001,$A$45)))</f>
        <v/>
      </c>
      <c r="T60" s="206" t="str">
        <f>IF(T$3="","",IF(COUNTIFS(BD!$A$3:$A$5001,T$3,BD!$B$3:$B$5001,$A$45,BD!$AC$3:$AC$5001,"&lt;&gt;")=0,"",SUMIFS(BD!$AC$3:$AC$5001,BD!$A$3:$A$5001,T$3,BD!$B$3:$B$5001,$A$45)))</f>
        <v/>
      </c>
      <c r="U60" s="206" t="str">
        <f>IF(U$3="","",IF(COUNTIFS(BD!$A$3:$A$5001,U$3,BD!$B$3:$B$5001,$A$45,BD!$AC$3:$AC$5001,"&lt;&gt;")=0,"",SUMIFS(BD!$AC$3:$AC$5001,BD!$A$3:$A$5001,U$3,BD!$B$3:$B$5001,$A$45)))</f>
        <v/>
      </c>
      <c r="V60" s="206" t="str">
        <f>IF(V$3="","",IF(COUNTIFS(BD!$A$3:$A$5001,V$3,BD!$B$3:$B$5001,$A$45,BD!$AC$3:$AC$5001,"&lt;&gt;")=0,"",SUMIFS(BD!$AC$3:$AC$5001,BD!$A$3:$A$5001,V$3,BD!$B$3:$B$5001,$A$45)))</f>
        <v/>
      </c>
      <c r="W60" s="206" t="str">
        <f>IF(W$3="","",IF(COUNTIFS(BD!$A$3:$A$5001,W$3,BD!$B$3:$B$5001,$A$45,BD!$AC$3:$AC$5001,"&lt;&gt;")=0,"",SUMIFS(BD!$AC$3:$AC$5001,BD!$A$3:$A$5001,W$3,BD!$B$3:$B$5001,$A$45)))</f>
        <v/>
      </c>
      <c r="X60" s="206" t="str">
        <f>IF(X$3="","",IF(COUNTIFS(BD!$A$3:$A$5001,X$3,BD!$B$3:$B$5001,$A$45,BD!$AC$3:$AC$5001,"&lt;&gt;")=0,"",SUMIFS(BD!$AC$3:$AC$5001,BD!$A$3:$A$5001,X$3,BD!$B$3:$B$5001,$A$45)))</f>
        <v/>
      </c>
      <c r="Y60" s="206" t="str">
        <f>IF(Y$3="","",IF(COUNTIFS(BD!$A$3:$A$5001,Y$3,BD!$B$3:$B$5001,$A$45,BD!$AC$3:$AC$5001,"&lt;&gt;")=0,"",SUMIFS(BD!$AC$3:$AC$5001,BD!$A$3:$A$5001,Y$3,BD!$B$3:$B$5001,$A$45)))</f>
        <v/>
      </c>
      <c r="Z60" s="206" t="str">
        <f>IF(Z$3="","",IF(COUNTIFS(BD!$A$3:$A$5001,Z$3,BD!$B$3:$B$5001,$A$45,BD!$AC$3:$AC$5001,"&lt;&gt;")=0,"",SUMIFS(BD!$AC$3:$AC$5001,BD!$A$3:$A$5001,Z$3,BD!$B$3:$B$5001,$A$45)))</f>
        <v/>
      </c>
      <c r="AA60" s="206" t="str">
        <f>IF(AA$3="","",IF(COUNTIFS(BD!$A$3:$A$5001,AA$3,BD!$B$3:$B$5001,$A$45,BD!$AC$3:$AC$5001,"&lt;&gt;")=0,"",SUMIFS(BD!$AC$3:$AC$5001,BD!$A$3:$A$5001,AA$3,BD!$B$3:$B$5001,$A$45)))</f>
        <v/>
      </c>
      <c r="AB60" s="206" t="str">
        <f>IF(AB$3="","",IF(COUNTIFS(BD!$A$3:$A$5001,AB$3,BD!$B$3:$B$5001,$A$45,BD!$AC$3:$AC$5001,"&lt;&gt;")=0,"",SUMIFS(BD!$AC$3:$AC$5001,BD!$A$3:$A$5001,AB$3,BD!$B$3:$B$5001,$A$45)))</f>
        <v/>
      </c>
      <c r="AC60" s="206" t="str">
        <f>IF(AC$3="","",IF(COUNTIFS(BD!$A$3:$A$5001,AC$3,BD!$B$3:$B$5001,$A$45,BD!$AC$3:$AC$5001,"&lt;&gt;")=0,"",SUMIFS(BD!$AC$3:$AC$5001,BD!$A$3:$A$5001,AC$3,BD!$B$3:$B$5001,$A$45)))</f>
        <v/>
      </c>
      <c r="AD60" s="206" t="str">
        <f>IF(AD$3="","",IF(COUNTIFS(BD!$A$3:$A$5001,AD$3,BD!$B$3:$B$5001,$A$45,BD!$AC$3:$AC$5001,"&lt;&gt;")=0,"",SUMIFS(BD!$AC$3:$AC$5001,BD!$A$3:$A$5001,AD$3,BD!$B$3:$B$5001,$A$45)))</f>
        <v/>
      </c>
      <c r="AE60" s="206" t="str">
        <f>IF(AE$3="","",IF(COUNTIFS(BD!$A$3:$A$5001,AE$3,BD!$B$3:$B$5001,$A$45,BD!$AC$3:$AC$5001,"&lt;&gt;")=0,"",SUMIFS(BD!$AC$3:$AC$5001,BD!$A$3:$A$5001,AE$3,BD!$B$3:$B$5001,$A$45)))</f>
        <v/>
      </c>
      <c r="AF60" s="206" t="str">
        <f>IF(AF$3="","",IF(COUNTIFS(BD!$A$3:$A$5001,AF$3,BD!$B$3:$B$5001,$A$45,BD!$AC$3:$AC$5001,"&lt;&gt;")=0,"",SUMIFS(BD!$AC$3:$AC$5001,BD!$A$3:$A$5001,AF$3,BD!$B$3:$B$5001,$A$45)))</f>
        <v/>
      </c>
      <c r="AG60" s="206" t="str">
        <f>IF(AG$3="","",IF(COUNTIFS(BD!$A$3:$A$5001,AG$3,BD!$B$3:$B$5001,$A$45,BD!$AC$3:$AC$5001,"&lt;&gt;")=0,"",SUMIFS(BD!$AC$3:$AC$5001,BD!$A$3:$A$5001,AG$3,BD!$B$3:$B$5001,$A$45)))</f>
        <v/>
      </c>
      <c r="AH60" s="206" t="str">
        <f>IF(AH$3="","",IF(COUNTIFS(BD!$A$3:$A$5001,AH$3,BD!$B$3:$B$5001,$A$45,BD!$AC$3:$AC$5001,"&lt;&gt;")=0,"",SUMIFS(BD!$AC$3:$AC$5001,BD!$A$3:$A$5001,AH$3,BD!$B$3:$B$5001,$A$45)))</f>
        <v/>
      </c>
      <c r="AI60" s="206" t="str">
        <f>IF(AI$3="","",IF(COUNTIFS(BD!$A$3:$A$5001,AI$3,BD!$B$3:$B$5001,$A$45,BD!$AC$3:$AC$5001,"&lt;&gt;")=0,"",SUMIFS(BD!$AC$3:$AC$5001,BD!$A$3:$A$5001,AI$3,BD!$B$3:$B$5001,$A$45)))</f>
        <v/>
      </c>
      <c r="AJ60" s="207" t="str">
        <f>IF(AJ$3="","",IF(COUNTIFS(BD!$A$3:$A$5001,AJ$3,BD!$B$3:$B$5001,$A$45,BD!$AC$3:$AC$5001,"&lt;&gt;")=0,"",SUMIFS(BD!$AC$3:$AC$5001,BD!$A$3:$A$5001,AJ$3,BD!$B$3:$B$5001,$A$45)))</f>
        <v/>
      </c>
      <c r="AK60" s="208" t="str">
        <f>IF(COUNT(F60:AJ60)=0,"",SUM(F60:AJ60))</f>
        <v/>
      </c>
    </row>
    <row r="61" ht="15.75" customHeight="1">
      <c r="A61" s="227"/>
      <c r="B61" s="224"/>
      <c r="C61" s="202" t="inlineStr">
        <is>
          <t xml:space="preserve">Desligamento</t>
        </is>
      </c>
      <c r="D61" s="203" t="str">
        <f>IFERROR(1/(1/INDEX(BD!$AK$51:$AT$51,MATCH($A$45,BD!$AK$22:$AT$22,0))),"")</f>
        <v/>
      </c>
      <c r="E61" s="204"/>
      <c r="F61" s="205" t="str">
        <f>IF(F$3="","",IF(COUNTIFS(BD!$A$3:$A$5001,F$3,BD!$B$3:$B$5001,$A$45,BD!$AD$3:$AD$5001,"&lt;&gt;")=0,"",SUMIFS(BD!$AD$3:$AD$5001,BD!$A$3:$A$5001,F$3,BD!$B$3:$B$5001,$A$45)))</f>
        <v/>
      </c>
      <c r="G61" s="206" t="str">
        <f>IF(G$3="","",IF(COUNTIFS(BD!$A$3:$A$5001,G$3,BD!$B$3:$B$5001,$A$45,BD!$AD$3:$AD$5001,"&lt;&gt;")=0,"",SUMIFS(BD!$AD$3:$AD$5001,BD!$A$3:$A$5001,G$3,BD!$B$3:$B$5001,$A$45)))</f>
        <v/>
      </c>
      <c r="H61" s="206" t="str">
        <f>IF(H$3="","",IF(COUNTIFS(BD!$A$3:$A$5001,H$3,BD!$B$3:$B$5001,$A$45,BD!$AD$3:$AD$5001,"&lt;&gt;")=0,"",SUMIFS(BD!$AD$3:$AD$5001,BD!$A$3:$A$5001,H$3,BD!$B$3:$B$5001,$A$45)))</f>
        <v/>
      </c>
      <c r="I61" s="206" t="str">
        <f>IF(I$3="","",IF(COUNTIFS(BD!$A$3:$A$5001,I$3,BD!$B$3:$B$5001,$A$45,BD!$AD$3:$AD$5001,"&lt;&gt;")=0,"",SUMIFS(BD!$AD$3:$AD$5001,BD!$A$3:$A$5001,I$3,BD!$B$3:$B$5001,$A$45)))</f>
        <v/>
      </c>
      <c r="J61" s="206" t="str">
        <f>IF(J$3="","",IF(COUNTIFS(BD!$A$3:$A$5001,J$3,BD!$B$3:$B$5001,$A$45,BD!$AD$3:$AD$5001,"&lt;&gt;")=0,"",SUMIFS(BD!$AD$3:$AD$5001,BD!$A$3:$A$5001,J$3,BD!$B$3:$B$5001,$A$45)))</f>
        <v/>
      </c>
      <c r="K61" s="206" t="str">
        <f>IF(K$3="","",IF(COUNTIFS(BD!$A$3:$A$5001,K$3,BD!$B$3:$B$5001,$A$45,BD!$AD$3:$AD$5001,"&lt;&gt;")=0,"",SUMIFS(BD!$AD$3:$AD$5001,BD!$A$3:$A$5001,K$3,BD!$B$3:$B$5001,$A$45)))</f>
        <v/>
      </c>
      <c r="L61" s="206" t="str">
        <f>IF(L$3="","",IF(COUNTIFS(BD!$A$3:$A$5001,L$3,BD!$B$3:$B$5001,$A$45,BD!$AD$3:$AD$5001,"&lt;&gt;")=0,"",SUMIFS(BD!$AD$3:$AD$5001,BD!$A$3:$A$5001,L$3,BD!$B$3:$B$5001,$A$45)))</f>
        <v/>
      </c>
      <c r="M61" s="206" t="str">
        <f>IF(M$3="","",IF(COUNTIFS(BD!$A$3:$A$5001,M$3,BD!$B$3:$B$5001,$A$45,BD!$AD$3:$AD$5001,"&lt;&gt;")=0,"",SUMIFS(BD!$AD$3:$AD$5001,BD!$A$3:$A$5001,M$3,BD!$B$3:$B$5001,$A$45)))</f>
        <v/>
      </c>
      <c r="N61" s="206" t="str">
        <f>IF(N$3="","",IF(COUNTIFS(BD!$A$3:$A$5001,N$3,BD!$B$3:$B$5001,$A$45,BD!$AD$3:$AD$5001,"&lt;&gt;")=0,"",SUMIFS(BD!$AD$3:$AD$5001,BD!$A$3:$A$5001,N$3,BD!$B$3:$B$5001,$A$45)))</f>
        <v/>
      </c>
      <c r="O61" s="206" t="str">
        <f>IF(O$3="","",IF(COUNTIFS(BD!$A$3:$A$5001,O$3,BD!$B$3:$B$5001,$A$45,BD!$AD$3:$AD$5001,"&lt;&gt;")=0,"",SUMIFS(BD!$AD$3:$AD$5001,BD!$A$3:$A$5001,O$3,BD!$B$3:$B$5001,$A$45)))</f>
        <v/>
      </c>
      <c r="P61" s="206" t="str">
        <f>IF(P$3="","",IF(COUNTIFS(BD!$A$3:$A$5001,P$3,BD!$B$3:$B$5001,$A$45,BD!$AD$3:$AD$5001,"&lt;&gt;")=0,"",SUMIFS(BD!$AD$3:$AD$5001,BD!$A$3:$A$5001,P$3,BD!$B$3:$B$5001,$A$45)))</f>
        <v/>
      </c>
      <c r="Q61" s="206" t="str">
        <f>IF(Q$3="","",IF(COUNTIFS(BD!$A$3:$A$5001,Q$3,BD!$B$3:$B$5001,$A$45,BD!$AD$3:$AD$5001,"&lt;&gt;")=0,"",SUMIFS(BD!$AD$3:$AD$5001,BD!$A$3:$A$5001,Q$3,BD!$B$3:$B$5001,$A$45)))</f>
        <v/>
      </c>
      <c r="R61" s="206" t="str">
        <f>IF(R$3="","",IF(COUNTIFS(BD!$A$3:$A$5001,R$3,BD!$B$3:$B$5001,$A$45,BD!$AD$3:$AD$5001,"&lt;&gt;")=0,"",SUMIFS(BD!$AD$3:$AD$5001,BD!$A$3:$A$5001,R$3,BD!$B$3:$B$5001,$A$45)))</f>
        <v/>
      </c>
      <c r="S61" s="206" t="str">
        <f>IF(S$3="","",IF(COUNTIFS(BD!$A$3:$A$5001,S$3,BD!$B$3:$B$5001,$A$45,BD!$AD$3:$AD$5001,"&lt;&gt;")=0,"",SUMIFS(BD!$AD$3:$AD$5001,BD!$A$3:$A$5001,S$3,BD!$B$3:$B$5001,$A$45)))</f>
        <v/>
      </c>
      <c r="T61" s="206" t="str">
        <f>IF(T$3="","",IF(COUNTIFS(BD!$A$3:$A$5001,T$3,BD!$B$3:$B$5001,$A$45,BD!$AD$3:$AD$5001,"&lt;&gt;")=0,"",SUMIFS(BD!$AD$3:$AD$5001,BD!$A$3:$A$5001,T$3,BD!$B$3:$B$5001,$A$45)))</f>
        <v/>
      </c>
      <c r="U61" s="206" t="str">
        <f>IF(U$3="","",IF(COUNTIFS(BD!$A$3:$A$5001,U$3,BD!$B$3:$B$5001,$A$45,BD!$AD$3:$AD$5001,"&lt;&gt;")=0,"",SUMIFS(BD!$AD$3:$AD$5001,BD!$A$3:$A$5001,U$3,BD!$B$3:$B$5001,$A$45)))</f>
        <v/>
      </c>
      <c r="V61" s="206" t="str">
        <f>IF(V$3="","",IF(COUNTIFS(BD!$A$3:$A$5001,V$3,BD!$B$3:$B$5001,$A$45,BD!$AD$3:$AD$5001,"&lt;&gt;")=0,"",SUMIFS(BD!$AD$3:$AD$5001,BD!$A$3:$A$5001,V$3,BD!$B$3:$B$5001,$A$45)))</f>
        <v/>
      </c>
      <c r="W61" s="206" t="str">
        <f>IF(W$3="","",IF(COUNTIFS(BD!$A$3:$A$5001,W$3,BD!$B$3:$B$5001,$A$45,BD!$AD$3:$AD$5001,"&lt;&gt;")=0,"",SUMIFS(BD!$AD$3:$AD$5001,BD!$A$3:$A$5001,W$3,BD!$B$3:$B$5001,$A$45)))</f>
        <v/>
      </c>
      <c r="X61" s="206" t="str">
        <f>IF(X$3="","",IF(COUNTIFS(BD!$A$3:$A$5001,X$3,BD!$B$3:$B$5001,$A$45,BD!$AD$3:$AD$5001,"&lt;&gt;")=0,"",SUMIFS(BD!$AD$3:$AD$5001,BD!$A$3:$A$5001,X$3,BD!$B$3:$B$5001,$A$45)))</f>
        <v/>
      </c>
      <c r="Y61" s="206" t="str">
        <f>IF(Y$3="","",IF(COUNTIFS(BD!$A$3:$A$5001,Y$3,BD!$B$3:$B$5001,$A$45,BD!$AD$3:$AD$5001,"&lt;&gt;")=0,"",SUMIFS(BD!$AD$3:$AD$5001,BD!$A$3:$A$5001,Y$3,BD!$B$3:$B$5001,$A$45)))</f>
        <v/>
      </c>
      <c r="Z61" s="206" t="str">
        <f>IF(Z$3="","",IF(COUNTIFS(BD!$A$3:$A$5001,Z$3,BD!$B$3:$B$5001,$A$45,BD!$AD$3:$AD$5001,"&lt;&gt;")=0,"",SUMIFS(BD!$AD$3:$AD$5001,BD!$A$3:$A$5001,Z$3,BD!$B$3:$B$5001,$A$45)))</f>
        <v/>
      </c>
      <c r="AA61" s="206" t="str">
        <f>IF(AA$3="","",IF(COUNTIFS(BD!$A$3:$A$5001,AA$3,BD!$B$3:$B$5001,$A$45,BD!$AD$3:$AD$5001,"&lt;&gt;")=0,"",SUMIFS(BD!$AD$3:$AD$5001,BD!$A$3:$A$5001,AA$3,BD!$B$3:$B$5001,$A$45)))</f>
        <v/>
      </c>
      <c r="AB61" s="206" t="str">
        <f>IF(AB$3="","",IF(COUNTIFS(BD!$A$3:$A$5001,AB$3,BD!$B$3:$B$5001,$A$45,BD!$AD$3:$AD$5001,"&lt;&gt;")=0,"",SUMIFS(BD!$AD$3:$AD$5001,BD!$A$3:$A$5001,AB$3,BD!$B$3:$B$5001,$A$45)))</f>
        <v/>
      </c>
      <c r="AC61" s="206" t="str">
        <f>IF(AC$3="","",IF(COUNTIFS(BD!$A$3:$A$5001,AC$3,BD!$B$3:$B$5001,$A$45,BD!$AD$3:$AD$5001,"&lt;&gt;")=0,"",SUMIFS(BD!$AD$3:$AD$5001,BD!$A$3:$A$5001,AC$3,BD!$B$3:$B$5001,$A$45)))</f>
        <v/>
      </c>
      <c r="AD61" s="206" t="str">
        <f>IF(AD$3="","",IF(COUNTIFS(BD!$A$3:$A$5001,AD$3,BD!$B$3:$B$5001,$A$45,BD!$AD$3:$AD$5001,"&lt;&gt;")=0,"",SUMIFS(BD!$AD$3:$AD$5001,BD!$A$3:$A$5001,AD$3,BD!$B$3:$B$5001,$A$45)))</f>
        <v/>
      </c>
      <c r="AE61" s="206" t="str">
        <f>IF(AE$3="","",IF(COUNTIFS(BD!$A$3:$A$5001,AE$3,BD!$B$3:$B$5001,$A$45,BD!$AD$3:$AD$5001,"&lt;&gt;")=0,"",SUMIFS(BD!$AD$3:$AD$5001,BD!$A$3:$A$5001,AE$3,BD!$B$3:$B$5001,$A$45)))</f>
        <v/>
      </c>
      <c r="AF61" s="206" t="str">
        <f>IF(AF$3="","",IF(COUNTIFS(BD!$A$3:$A$5001,AF$3,BD!$B$3:$B$5001,$A$45,BD!$AD$3:$AD$5001,"&lt;&gt;")=0,"",SUMIFS(BD!$AD$3:$AD$5001,BD!$A$3:$A$5001,AF$3,BD!$B$3:$B$5001,$A$45)))</f>
        <v/>
      </c>
      <c r="AG61" s="206" t="str">
        <f>IF(AG$3="","",IF(COUNTIFS(BD!$A$3:$A$5001,AG$3,BD!$B$3:$B$5001,$A$45,BD!$AD$3:$AD$5001,"&lt;&gt;")=0,"",SUMIFS(BD!$AD$3:$AD$5001,BD!$A$3:$A$5001,AG$3,BD!$B$3:$B$5001,$A$45)))</f>
        <v/>
      </c>
      <c r="AH61" s="206" t="str">
        <f>IF(AH$3="","",IF(COUNTIFS(BD!$A$3:$A$5001,AH$3,BD!$B$3:$B$5001,$A$45,BD!$AD$3:$AD$5001,"&lt;&gt;")=0,"",SUMIFS(BD!$AD$3:$AD$5001,BD!$A$3:$A$5001,AH$3,BD!$B$3:$B$5001,$A$45)))</f>
        <v/>
      </c>
      <c r="AI61" s="206" t="str">
        <f>IF(AI$3="","",IF(COUNTIFS(BD!$A$3:$A$5001,AI$3,BD!$B$3:$B$5001,$A$45,BD!$AD$3:$AD$5001,"&lt;&gt;")=0,"",SUMIFS(BD!$AD$3:$AD$5001,BD!$A$3:$A$5001,AI$3,BD!$B$3:$B$5001,$A$45)))</f>
        <v/>
      </c>
      <c r="AJ61" s="207" t="str">
        <f>IF(AJ$3="","",IF(COUNTIFS(BD!$A$3:$A$5001,AJ$3,BD!$B$3:$B$5001,$A$45,BD!$AD$3:$AD$5001,"&lt;&gt;")=0,"",SUMIFS(BD!$AD$3:$AD$5001,BD!$A$3:$A$5001,AJ$3,BD!$B$3:$B$5001,$A$45)))</f>
        <v/>
      </c>
      <c r="AK61" s="208" t="str">
        <f>IF(COUNT(F61:AJ61)=0,"",SUM(F61:AJ61))</f>
        <v/>
      </c>
    </row>
    <row r="62" ht="15.75" customHeight="1">
      <c r="A62" s="227"/>
      <c r="B62" s="224"/>
      <c r="C62" s="202" t="inlineStr">
        <is>
          <t xml:space="preserve">Desvios Comportamentais</t>
        </is>
      </c>
      <c r="D62" s="203" t="str">
        <f>IFERROR(1/(1/INDEX(BD!$AK$52:$AT$52,MATCH($A$45,BD!$AK$22:$AT$22,0))),"")</f>
        <v/>
      </c>
      <c r="E62" s="204"/>
      <c r="F62" s="205" t="str">
        <f>IF(F$3="","",IF(COUNTIFS(BD!$A$3:$A$5001,F$3,BD!$B$3:$B$5001,$A$45,BD!$AE$3:$AE$5001,"&lt;&gt;")=0,"",SUMIFS(BD!$AE$3:$AE$5001,BD!$A$3:$A$5001,F$3,BD!$B$3:$B$5001,$A$45)))</f>
        <v/>
      </c>
      <c r="G62" s="206" t="str">
        <f>IF(G$3="","",IF(COUNTIFS(BD!$A$3:$A$5001,G$3,BD!$B$3:$B$5001,$A$45,BD!$AE$3:$AE$5001,"&lt;&gt;")=0,"",SUMIFS(BD!$AE$3:$AE$5001,BD!$A$3:$A$5001,G$3,BD!$B$3:$B$5001,$A$45)))</f>
        <v/>
      </c>
      <c r="H62" s="206" t="str">
        <f>IF(H$3="","",IF(COUNTIFS(BD!$A$3:$A$5001,H$3,BD!$B$3:$B$5001,$A$45,BD!$AE$3:$AE$5001,"&lt;&gt;")=0,"",SUMIFS(BD!$AE$3:$AE$5001,BD!$A$3:$A$5001,H$3,BD!$B$3:$B$5001,$A$45)))</f>
        <v/>
      </c>
      <c r="I62" s="206" t="str">
        <f>IF(I$3="","",IF(COUNTIFS(BD!$A$3:$A$5001,I$3,BD!$B$3:$B$5001,$A$45,BD!$AE$3:$AE$5001,"&lt;&gt;")=0,"",SUMIFS(BD!$AE$3:$AE$5001,BD!$A$3:$A$5001,I$3,BD!$B$3:$B$5001,$A$45)))</f>
        <v/>
      </c>
      <c r="J62" s="206" t="str">
        <f>IF(J$3="","",IF(COUNTIFS(BD!$A$3:$A$5001,J$3,BD!$B$3:$B$5001,$A$45,BD!$AE$3:$AE$5001,"&lt;&gt;")=0,"",SUMIFS(BD!$AE$3:$AE$5001,BD!$A$3:$A$5001,J$3,BD!$B$3:$B$5001,$A$45)))</f>
        <v/>
      </c>
      <c r="K62" s="206" t="str">
        <f>IF(K$3="","",IF(COUNTIFS(BD!$A$3:$A$5001,K$3,BD!$B$3:$B$5001,$A$45,BD!$AE$3:$AE$5001,"&lt;&gt;")=0,"",SUMIFS(BD!$AE$3:$AE$5001,BD!$A$3:$A$5001,K$3,BD!$B$3:$B$5001,$A$45)))</f>
        <v/>
      </c>
      <c r="L62" s="206" t="str">
        <f>IF(L$3="","",IF(COUNTIFS(BD!$A$3:$A$5001,L$3,BD!$B$3:$B$5001,$A$45,BD!$AE$3:$AE$5001,"&lt;&gt;")=0,"",SUMIFS(BD!$AE$3:$AE$5001,BD!$A$3:$A$5001,L$3,BD!$B$3:$B$5001,$A$45)))</f>
        <v/>
      </c>
      <c r="M62" s="206" t="str">
        <f>IF(M$3="","",IF(COUNTIFS(BD!$A$3:$A$5001,M$3,BD!$B$3:$B$5001,$A$45,BD!$AE$3:$AE$5001,"&lt;&gt;")=0,"",SUMIFS(BD!$AE$3:$AE$5001,BD!$A$3:$A$5001,M$3,BD!$B$3:$B$5001,$A$45)))</f>
        <v/>
      </c>
      <c r="N62" s="206" t="str">
        <f>IF(N$3="","",IF(COUNTIFS(BD!$A$3:$A$5001,N$3,BD!$B$3:$B$5001,$A$45,BD!$AE$3:$AE$5001,"&lt;&gt;")=0,"",SUMIFS(BD!$AE$3:$AE$5001,BD!$A$3:$A$5001,N$3,BD!$B$3:$B$5001,$A$45)))</f>
        <v/>
      </c>
      <c r="O62" s="206" t="str">
        <f>IF(O$3="","",IF(COUNTIFS(BD!$A$3:$A$5001,O$3,BD!$B$3:$B$5001,$A$45,BD!$AE$3:$AE$5001,"&lt;&gt;")=0,"",SUMIFS(BD!$AE$3:$AE$5001,BD!$A$3:$A$5001,O$3,BD!$B$3:$B$5001,$A$45)))</f>
        <v/>
      </c>
      <c r="P62" s="206" t="str">
        <f>IF(P$3="","",IF(COUNTIFS(BD!$A$3:$A$5001,P$3,BD!$B$3:$B$5001,$A$45,BD!$AE$3:$AE$5001,"&lt;&gt;")=0,"",SUMIFS(BD!$AE$3:$AE$5001,BD!$A$3:$A$5001,P$3,BD!$B$3:$B$5001,$A$45)))</f>
        <v/>
      </c>
      <c r="Q62" s="206" t="str">
        <f>IF(Q$3="","",IF(COUNTIFS(BD!$A$3:$A$5001,Q$3,BD!$B$3:$B$5001,$A$45,BD!$AE$3:$AE$5001,"&lt;&gt;")=0,"",SUMIFS(BD!$AE$3:$AE$5001,BD!$A$3:$A$5001,Q$3,BD!$B$3:$B$5001,$A$45)))</f>
        <v/>
      </c>
      <c r="R62" s="206" t="str">
        <f>IF(R$3="","",IF(COUNTIFS(BD!$A$3:$A$5001,R$3,BD!$B$3:$B$5001,$A$45,BD!$AE$3:$AE$5001,"&lt;&gt;")=0,"",SUMIFS(BD!$AE$3:$AE$5001,BD!$A$3:$A$5001,R$3,BD!$B$3:$B$5001,$A$45)))</f>
        <v/>
      </c>
      <c r="S62" s="206" t="str">
        <f>IF(S$3="","",IF(COUNTIFS(BD!$A$3:$A$5001,S$3,BD!$B$3:$B$5001,$A$45,BD!$AE$3:$AE$5001,"&lt;&gt;")=0,"",SUMIFS(BD!$AE$3:$AE$5001,BD!$A$3:$A$5001,S$3,BD!$B$3:$B$5001,$A$45)))</f>
        <v/>
      </c>
      <c r="T62" s="206" t="str">
        <f>IF(T$3="","",IF(COUNTIFS(BD!$A$3:$A$5001,T$3,BD!$B$3:$B$5001,$A$45,BD!$AE$3:$AE$5001,"&lt;&gt;")=0,"",SUMIFS(BD!$AE$3:$AE$5001,BD!$A$3:$A$5001,T$3,BD!$B$3:$B$5001,$A$45)))</f>
        <v/>
      </c>
      <c r="U62" s="206" t="str">
        <f>IF(U$3="","",IF(COUNTIFS(BD!$A$3:$A$5001,U$3,BD!$B$3:$B$5001,$A$45,BD!$AE$3:$AE$5001,"&lt;&gt;")=0,"",SUMIFS(BD!$AE$3:$AE$5001,BD!$A$3:$A$5001,U$3,BD!$B$3:$B$5001,$A$45)))</f>
        <v/>
      </c>
      <c r="V62" s="206" t="str">
        <f>IF(V$3="","",IF(COUNTIFS(BD!$A$3:$A$5001,V$3,BD!$B$3:$B$5001,$A$45,BD!$AE$3:$AE$5001,"&lt;&gt;")=0,"",SUMIFS(BD!$AE$3:$AE$5001,BD!$A$3:$A$5001,V$3,BD!$B$3:$B$5001,$A$45)))</f>
        <v/>
      </c>
      <c r="W62" s="206" t="str">
        <f>IF(W$3="","",IF(COUNTIFS(BD!$A$3:$A$5001,W$3,BD!$B$3:$B$5001,$A$45,BD!$AE$3:$AE$5001,"&lt;&gt;")=0,"",SUMIFS(BD!$AE$3:$AE$5001,BD!$A$3:$A$5001,W$3,BD!$B$3:$B$5001,$A$45)))</f>
        <v/>
      </c>
      <c r="X62" s="206" t="str">
        <f>IF(X$3="","",IF(COUNTIFS(BD!$A$3:$A$5001,X$3,BD!$B$3:$B$5001,$A$45,BD!$AE$3:$AE$5001,"&lt;&gt;")=0,"",SUMIFS(BD!$AE$3:$AE$5001,BD!$A$3:$A$5001,X$3,BD!$B$3:$B$5001,$A$45)))</f>
        <v/>
      </c>
      <c r="Y62" s="206" t="str">
        <f>IF(Y$3="","",IF(COUNTIFS(BD!$A$3:$A$5001,Y$3,BD!$B$3:$B$5001,$A$45,BD!$AE$3:$AE$5001,"&lt;&gt;")=0,"",SUMIFS(BD!$AE$3:$AE$5001,BD!$A$3:$A$5001,Y$3,BD!$B$3:$B$5001,$A$45)))</f>
        <v/>
      </c>
      <c r="Z62" s="206" t="str">
        <f>IF(Z$3="","",IF(COUNTIFS(BD!$A$3:$A$5001,Z$3,BD!$B$3:$B$5001,$A$45,BD!$AE$3:$AE$5001,"&lt;&gt;")=0,"",SUMIFS(BD!$AE$3:$AE$5001,BD!$A$3:$A$5001,Z$3,BD!$B$3:$B$5001,$A$45)))</f>
        <v/>
      </c>
      <c r="AA62" s="206" t="str">
        <f>IF(AA$3="","",IF(COUNTIFS(BD!$A$3:$A$5001,AA$3,BD!$B$3:$B$5001,$A$45,BD!$AE$3:$AE$5001,"&lt;&gt;")=0,"",SUMIFS(BD!$AE$3:$AE$5001,BD!$A$3:$A$5001,AA$3,BD!$B$3:$B$5001,$A$45)))</f>
        <v/>
      </c>
      <c r="AB62" s="206" t="str">
        <f>IF(AB$3="","",IF(COUNTIFS(BD!$A$3:$A$5001,AB$3,BD!$B$3:$B$5001,$A$45,BD!$AE$3:$AE$5001,"&lt;&gt;")=0,"",SUMIFS(BD!$AE$3:$AE$5001,BD!$A$3:$A$5001,AB$3,BD!$B$3:$B$5001,$A$45)))</f>
        <v/>
      </c>
      <c r="AC62" s="206" t="str">
        <f>IF(AC$3="","",IF(COUNTIFS(BD!$A$3:$A$5001,AC$3,BD!$B$3:$B$5001,$A$45,BD!$AE$3:$AE$5001,"&lt;&gt;")=0,"",SUMIFS(BD!$AE$3:$AE$5001,BD!$A$3:$A$5001,AC$3,BD!$B$3:$B$5001,$A$45)))</f>
        <v/>
      </c>
      <c r="AD62" s="206" t="str">
        <f>IF(AD$3="","",IF(COUNTIFS(BD!$A$3:$A$5001,AD$3,BD!$B$3:$B$5001,$A$45,BD!$AE$3:$AE$5001,"&lt;&gt;")=0,"",SUMIFS(BD!$AE$3:$AE$5001,BD!$A$3:$A$5001,AD$3,BD!$B$3:$B$5001,$A$45)))</f>
        <v/>
      </c>
      <c r="AE62" s="206" t="str">
        <f>IF(AE$3="","",IF(COUNTIFS(BD!$A$3:$A$5001,AE$3,BD!$B$3:$B$5001,$A$45,BD!$AE$3:$AE$5001,"&lt;&gt;")=0,"",SUMIFS(BD!$AE$3:$AE$5001,BD!$A$3:$A$5001,AE$3,BD!$B$3:$B$5001,$A$45)))</f>
        <v/>
      </c>
      <c r="AF62" s="206" t="str">
        <f>IF(AF$3="","",IF(COUNTIFS(BD!$A$3:$A$5001,AF$3,BD!$B$3:$B$5001,$A$45,BD!$AE$3:$AE$5001,"&lt;&gt;")=0,"",SUMIFS(BD!$AE$3:$AE$5001,BD!$A$3:$A$5001,AF$3,BD!$B$3:$B$5001,$A$45)))</f>
        <v/>
      </c>
      <c r="AG62" s="206" t="str">
        <f>IF(AG$3="","",IF(COUNTIFS(BD!$A$3:$A$5001,AG$3,BD!$B$3:$B$5001,$A$45,BD!$AE$3:$AE$5001,"&lt;&gt;")=0,"",SUMIFS(BD!$AE$3:$AE$5001,BD!$A$3:$A$5001,AG$3,BD!$B$3:$B$5001,$A$45)))</f>
        <v/>
      </c>
      <c r="AH62" s="206" t="str">
        <f>IF(AH$3="","",IF(COUNTIFS(BD!$A$3:$A$5001,AH$3,BD!$B$3:$B$5001,$A$45,BD!$AE$3:$AE$5001,"&lt;&gt;")=0,"",SUMIFS(BD!$AE$3:$AE$5001,BD!$A$3:$A$5001,AH$3,BD!$B$3:$B$5001,$A$45)))</f>
        <v/>
      </c>
      <c r="AI62" s="206" t="str">
        <f>IF(AI$3="","",IF(COUNTIFS(BD!$A$3:$A$5001,AI$3,BD!$B$3:$B$5001,$A$45,BD!$AE$3:$AE$5001,"&lt;&gt;")=0,"",SUMIFS(BD!$AE$3:$AE$5001,BD!$A$3:$A$5001,AI$3,BD!$B$3:$B$5001,$A$45)))</f>
        <v/>
      </c>
      <c r="AJ62" s="207" t="str">
        <f>IF(AJ$3="","",IF(COUNTIFS(BD!$A$3:$A$5001,AJ$3,BD!$B$3:$B$5001,$A$45,BD!$AE$3:$AE$5001,"&lt;&gt;")=0,"",SUMIFS(BD!$AE$3:$AE$5001,BD!$A$3:$A$5001,AJ$3,BD!$B$3:$B$5001,$A$45)))</f>
        <v/>
      </c>
      <c r="AK62" s="208" t="str">
        <f>IF(COUNT(F62:AJ62)=0,"",SUM(F62:AJ62))</f>
        <v/>
      </c>
    </row>
    <row r="63" ht="15.75" customHeight="1">
      <c r="A63" s="227"/>
      <c r="B63" s="224"/>
      <c r="C63" s="202" t="inlineStr">
        <is>
          <t xml:space="preserve">Acidentes CAF</t>
        </is>
      </c>
      <c r="D63" s="203" t="str">
        <f>IFERROR(1/(1/INDEX(BD!$AK$53:$AT$53,MATCH($A$45,BD!$AK$22:$AT$22,0))),"")</f>
        <v/>
      </c>
      <c r="E63" s="204"/>
      <c r="F63" s="205" t="str">
        <f>IF(F$3="","",IF(COUNTIFS(BD!$A$3:$A$5001,F$3,BD!$B$3:$B$5001,$A$45,BD!$AF$3:$AF$5001,"&lt;&gt;")=0,"",SUMIFS(BD!$AF$3:$AF$5001,BD!$A$3:$A$5001,F$3,BD!$B$3:$B$5001,$A$45)))</f>
        <v/>
      </c>
      <c r="G63" s="206" t="str">
        <f>IF(G$3="","",IF(COUNTIFS(BD!$A$3:$A$5001,G$3,BD!$B$3:$B$5001,$A$45,BD!$AF$3:$AF$5001,"&lt;&gt;")=0,"",SUMIFS(BD!$AF$3:$AF$5001,BD!$A$3:$A$5001,G$3,BD!$B$3:$B$5001,$A$45)))</f>
        <v/>
      </c>
      <c r="H63" s="206" t="str">
        <f>IF(H$3="","",IF(COUNTIFS(BD!$A$3:$A$5001,H$3,BD!$B$3:$B$5001,$A$45,BD!$AF$3:$AF$5001,"&lt;&gt;")=0,"",SUMIFS(BD!$AF$3:$AF$5001,BD!$A$3:$A$5001,H$3,BD!$B$3:$B$5001,$A$45)))</f>
        <v/>
      </c>
      <c r="I63" s="206" t="str">
        <f>IF(I$3="","",IF(COUNTIFS(BD!$A$3:$A$5001,I$3,BD!$B$3:$B$5001,$A$45,BD!$AF$3:$AF$5001,"&lt;&gt;")=0,"",SUMIFS(BD!$AF$3:$AF$5001,BD!$A$3:$A$5001,I$3,BD!$B$3:$B$5001,$A$45)))</f>
        <v/>
      </c>
      <c r="J63" s="206" t="str">
        <f>IF(J$3="","",IF(COUNTIFS(BD!$A$3:$A$5001,J$3,BD!$B$3:$B$5001,$A$45,BD!$AF$3:$AF$5001,"&lt;&gt;")=0,"",SUMIFS(BD!$AF$3:$AF$5001,BD!$A$3:$A$5001,J$3,BD!$B$3:$B$5001,$A$45)))</f>
        <v/>
      </c>
      <c r="K63" s="206" t="str">
        <f>IF(K$3="","",IF(COUNTIFS(BD!$A$3:$A$5001,K$3,BD!$B$3:$B$5001,$A$45,BD!$AF$3:$AF$5001,"&lt;&gt;")=0,"",SUMIFS(BD!$AF$3:$AF$5001,BD!$A$3:$A$5001,K$3,BD!$B$3:$B$5001,$A$45)))</f>
        <v/>
      </c>
      <c r="L63" s="206" t="str">
        <f>IF(L$3="","",IF(COUNTIFS(BD!$A$3:$A$5001,L$3,BD!$B$3:$B$5001,$A$45,BD!$AF$3:$AF$5001,"&lt;&gt;")=0,"",SUMIFS(BD!$AF$3:$AF$5001,BD!$A$3:$A$5001,L$3,BD!$B$3:$B$5001,$A$45)))</f>
        <v/>
      </c>
      <c r="M63" s="206" t="str">
        <f>IF(M$3="","",IF(COUNTIFS(BD!$A$3:$A$5001,M$3,BD!$B$3:$B$5001,$A$45,BD!$AF$3:$AF$5001,"&lt;&gt;")=0,"",SUMIFS(BD!$AF$3:$AF$5001,BD!$A$3:$A$5001,M$3,BD!$B$3:$B$5001,$A$45)))</f>
        <v/>
      </c>
      <c r="N63" s="206" t="str">
        <f>IF(N$3="","",IF(COUNTIFS(BD!$A$3:$A$5001,N$3,BD!$B$3:$B$5001,$A$45,BD!$AF$3:$AF$5001,"&lt;&gt;")=0,"",SUMIFS(BD!$AF$3:$AF$5001,BD!$A$3:$A$5001,N$3,BD!$B$3:$B$5001,$A$45)))</f>
        <v/>
      </c>
      <c r="O63" s="206" t="str">
        <f>IF(O$3="","",IF(COUNTIFS(BD!$A$3:$A$5001,O$3,BD!$B$3:$B$5001,$A$45,BD!$AF$3:$AF$5001,"&lt;&gt;")=0,"",SUMIFS(BD!$AF$3:$AF$5001,BD!$A$3:$A$5001,O$3,BD!$B$3:$B$5001,$A$45)))</f>
        <v/>
      </c>
      <c r="P63" s="206" t="str">
        <f>IF(P$3="","",IF(COUNTIFS(BD!$A$3:$A$5001,P$3,BD!$B$3:$B$5001,$A$45,BD!$AF$3:$AF$5001,"&lt;&gt;")=0,"",SUMIFS(BD!$AF$3:$AF$5001,BD!$A$3:$A$5001,P$3,BD!$B$3:$B$5001,$A$45)))</f>
        <v/>
      </c>
      <c r="Q63" s="206" t="str">
        <f>IF(Q$3="","",IF(COUNTIFS(BD!$A$3:$A$5001,Q$3,BD!$B$3:$B$5001,$A$45,BD!$AF$3:$AF$5001,"&lt;&gt;")=0,"",SUMIFS(BD!$AF$3:$AF$5001,BD!$A$3:$A$5001,Q$3,BD!$B$3:$B$5001,$A$45)))</f>
        <v/>
      </c>
      <c r="R63" s="206" t="str">
        <f>IF(R$3="","",IF(COUNTIFS(BD!$A$3:$A$5001,R$3,BD!$B$3:$B$5001,$A$45,BD!$AF$3:$AF$5001,"&lt;&gt;")=0,"",SUMIFS(BD!$AF$3:$AF$5001,BD!$A$3:$A$5001,R$3,BD!$B$3:$B$5001,$A$45)))</f>
        <v/>
      </c>
      <c r="S63" s="206" t="str">
        <f>IF(S$3="","",IF(COUNTIFS(BD!$A$3:$A$5001,S$3,BD!$B$3:$B$5001,$A$45,BD!$AF$3:$AF$5001,"&lt;&gt;")=0,"",SUMIFS(BD!$AF$3:$AF$5001,BD!$A$3:$A$5001,S$3,BD!$B$3:$B$5001,$A$45)))</f>
        <v/>
      </c>
      <c r="T63" s="206" t="str">
        <f>IF(T$3="","",IF(COUNTIFS(BD!$A$3:$A$5001,T$3,BD!$B$3:$B$5001,$A$45,BD!$AF$3:$AF$5001,"&lt;&gt;")=0,"",SUMIFS(BD!$AF$3:$AF$5001,BD!$A$3:$A$5001,T$3,BD!$B$3:$B$5001,$A$45)))</f>
        <v/>
      </c>
      <c r="U63" s="206" t="str">
        <f>IF(U$3="","",IF(COUNTIFS(BD!$A$3:$A$5001,U$3,BD!$B$3:$B$5001,$A$45,BD!$AF$3:$AF$5001,"&lt;&gt;")=0,"",SUMIFS(BD!$AF$3:$AF$5001,BD!$A$3:$A$5001,U$3,BD!$B$3:$B$5001,$A$45)))</f>
        <v/>
      </c>
      <c r="V63" s="206" t="str">
        <f>IF(V$3="","",IF(COUNTIFS(BD!$A$3:$A$5001,V$3,BD!$B$3:$B$5001,$A$45,BD!$AF$3:$AF$5001,"&lt;&gt;")=0,"",SUMIFS(BD!$AF$3:$AF$5001,BD!$A$3:$A$5001,V$3,BD!$B$3:$B$5001,$A$45)))</f>
        <v/>
      </c>
      <c r="W63" s="206" t="str">
        <f>IF(W$3="","",IF(COUNTIFS(BD!$A$3:$A$5001,W$3,BD!$B$3:$B$5001,$A$45,BD!$AF$3:$AF$5001,"&lt;&gt;")=0,"",SUMIFS(BD!$AF$3:$AF$5001,BD!$A$3:$A$5001,W$3,BD!$B$3:$B$5001,$A$45)))</f>
        <v/>
      </c>
      <c r="X63" s="206" t="str">
        <f>IF(X$3="","",IF(COUNTIFS(BD!$A$3:$A$5001,X$3,BD!$B$3:$B$5001,$A$45,BD!$AF$3:$AF$5001,"&lt;&gt;")=0,"",SUMIFS(BD!$AF$3:$AF$5001,BD!$A$3:$A$5001,X$3,BD!$B$3:$B$5001,$A$45)))</f>
        <v/>
      </c>
      <c r="Y63" s="206" t="str">
        <f>IF(Y$3="","",IF(COUNTIFS(BD!$A$3:$A$5001,Y$3,BD!$B$3:$B$5001,$A$45,BD!$AF$3:$AF$5001,"&lt;&gt;")=0,"",SUMIFS(BD!$AF$3:$AF$5001,BD!$A$3:$A$5001,Y$3,BD!$B$3:$B$5001,$A$45)))</f>
        <v/>
      </c>
      <c r="Z63" s="206" t="str">
        <f>IF(Z$3="","",IF(COUNTIFS(BD!$A$3:$A$5001,Z$3,BD!$B$3:$B$5001,$A$45,BD!$AF$3:$AF$5001,"&lt;&gt;")=0,"",SUMIFS(BD!$AF$3:$AF$5001,BD!$A$3:$A$5001,Z$3,BD!$B$3:$B$5001,$A$45)))</f>
        <v/>
      </c>
      <c r="AA63" s="206" t="str">
        <f>IF(AA$3="","",IF(COUNTIFS(BD!$A$3:$A$5001,AA$3,BD!$B$3:$B$5001,$A$45,BD!$AF$3:$AF$5001,"&lt;&gt;")=0,"",SUMIFS(BD!$AF$3:$AF$5001,BD!$A$3:$A$5001,AA$3,BD!$B$3:$B$5001,$A$45)))</f>
        <v/>
      </c>
      <c r="AB63" s="206" t="str">
        <f>IF(AB$3="","",IF(COUNTIFS(BD!$A$3:$A$5001,AB$3,BD!$B$3:$B$5001,$A$45,BD!$AF$3:$AF$5001,"&lt;&gt;")=0,"",SUMIFS(BD!$AF$3:$AF$5001,BD!$A$3:$A$5001,AB$3,BD!$B$3:$B$5001,$A$45)))</f>
        <v/>
      </c>
      <c r="AC63" s="206" t="str">
        <f>IF(AC$3="","",IF(COUNTIFS(BD!$A$3:$A$5001,AC$3,BD!$B$3:$B$5001,$A$45,BD!$AF$3:$AF$5001,"&lt;&gt;")=0,"",SUMIFS(BD!$AF$3:$AF$5001,BD!$A$3:$A$5001,AC$3,BD!$B$3:$B$5001,$A$45)))</f>
        <v/>
      </c>
      <c r="AD63" s="206" t="str">
        <f>IF(AD$3="","",IF(COUNTIFS(BD!$A$3:$A$5001,AD$3,BD!$B$3:$B$5001,$A$45,BD!$AF$3:$AF$5001,"&lt;&gt;")=0,"",SUMIFS(BD!$AF$3:$AF$5001,BD!$A$3:$A$5001,AD$3,BD!$B$3:$B$5001,$A$45)))</f>
        <v/>
      </c>
      <c r="AE63" s="206" t="str">
        <f>IF(AE$3="","",IF(COUNTIFS(BD!$A$3:$A$5001,AE$3,BD!$B$3:$B$5001,$A$45,BD!$AF$3:$AF$5001,"&lt;&gt;")=0,"",SUMIFS(BD!$AF$3:$AF$5001,BD!$A$3:$A$5001,AE$3,BD!$B$3:$B$5001,$A$45)))</f>
        <v/>
      </c>
      <c r="AF63" s="206" t="str">
        <f>IF(AF$3="","",IF(COUNTIFS(BD!$A$3:$A$5001,AF$3,BD!$B$3:$B$5001,$A$45,BD!$AF$3:$AF$5001,"&lt;&gt;")=0,"",SUMIFS(BD!$AF$3:$AF$5001,BD!$A$3:$A$5001,AF$3,BD!$B$3:$B$5001,$A$45)))</f>
        <v/>
      </c>
      <c r="AG63" s="206" t="str">
        <f>IF(AG$3="","",IF(COUNTIFS(BD!$A$3:$A$5001,AG$3,BD!$B$3:$B$5001,$A$45,BD!$AF$3:$AF$5001,"&lt;&gt;")=0,"",SUMIFS(BD!$AF$3:$AF$5001,BD!$A$3:$A$5001,AG$3,BD!$B$3:$B$5001,$A$45)))</f>
        <v/>
      </c>
      <c r="AH63" s="206" t="str">
        <f>IF(AH$3="","",IF(COUNTIFS(BD!$A$3:$A$5001,AH$3,BD!$B$3:$B$5001,$A$45,BD!$AF$3:$AF$5001,"&lt;&gt;")=0,"",SUMIFS(BD!$AF$3:$AF$5001,BD!$A$3:$A$5001,AH$3,BD!$B$3:$B$5001,$A$45)))</f>
        <v/>
      </c>
      <c r="AI63" s="206" t="str">
        <f>IF(AI$3="","",IF(COUNTIFS(BD!$A$3:$A$5001,AI$3,BD!$B$3:$B$5001,$A$45,BD!$AF$3:$AF$5001,"&lt;&gt;")=0,"",SUMIFS(BD!$AF$3:$AF$5001,BD!$A$3:$A$5001,AI$3,BD!$B$3:$B$5001,$A$45)))</f>
        <v/>
      </c>
      <c r="AJ63" s="207" t="str">
        <f>IF(AJ$3="","",IF(COUNTIFS(BD!$A$3:$A$5001,AJ$3,BD!$B$3:$B$5001,$A$45,BD!$AF$3:$AF$5001,"&lt;&gt;")=0,"",SUMIFS(BD!$AF$3:$AF$5001,BD!$A$3:$A$5001,AJ$3,BD!$B$3:$B$5001,$A$45)))</f>
        <v/>
      </c>
      <c r="AK63" s="208" t="str">
        <f>IF(COUNT(F63:AJ63)=0,"",SUM(F63:AJ63))</f>
        <v/>
      </c>
    </row>
    <row r="64" ht="15.75" customHeight="1">
      <c r="A64" s="228"/>
      <c r="B64" s="225"/>
      <c r="C64" s="209" t="inlineStr">
        <is>
          <t xml:space="preserve">Acidentes SAF</t>
        </is>
      </c>
      <c r="D64" s="210" t="str">
        <f>IFERROR(1/(1/INDEX(BD!$AK$54:$AT$54,MATCH($A$45,BD!$AK$22:$AT$22,0))),"")</f>
        <v/>
      </c>
      <c r="E64" s="211"/>
      <c r="F64" s="212" t="str">
        <f>IF(F$3="","",IF(COUNTIFS(BD!$A$3:$A$5001,F$3,BD!$B$3:$B$5001,$A$45,BD!$AG$3:$AG$5001,"&lt;&gt;")=0,"",SUMIFS(BD!$AG$3:$AG$5001,BD!$A$3:$A$5001,F$3,BD!$B$3:$B$5001,$A$45)))</f>
        <v/>
      </c>
      <c r="G64" s="213" t="str">
        <f>IF(G$3="","",IF(COUNTIFS(BD!$A$3:$A$5001,G$3,BD!$B$3:$B$5001,$A$45,BD!$AG$3:$AG$5001,"&lt;&gt;")=0,"",SUMIFS(BD!$AG$3:$AG$5001,BD!$A$3:$A$5001,G$3,BD!$B$3:$B$5001,$A$45)))</f>
        <v/>
      </c>
      <c r="H64" s="213" t="str">
        <f>IF(H$3="","",IF(COUNTIFS(BD!$A$3:$A$5001,H$3,BD!$B$3:$B$5001,$A$45,BD!$AG$3:$AG$5001,"&lt;&gt;")=0,"",SUMIFS(BD!$AG$3:$AG$5001,BD!$A$3:$A$5001,H$3,BD!$B$3:$B$5001,$A$45)))</f>
        <v/>
      </c>
      <c r="I64" s="213" t="str">
        <f>IF(I$3="","",IF(COUNTIFS(BD!$A$3:$A$5001,I$3,BD!$B$3:$B$5001,$A$45,BD!$AG$3:$AG$5001,"&lt;&gt;")=0,"",SUMIFS(BD!$AG$3:$AG$5001,BD!$A$3:$A$5001,I$3,BD!$B$3:$B$5001,$A$45)))</f>
        <v/>
      </c>
      <c r="J64" s="213" t="str">
        <f>IF(J$3="","",IF(COUNTIFS(BD!$A$3:$A$5001,J$3,BD!$B$3:$B$5001,$A$45,BD!$AG$3:$AG$5001,"&lt;&gt;")=0,"",SUMIFS(BD!$AG$3:$AG$5001,BD!$A$3:$A$5001,J$3,BD!$B$3:$B$5001,$A$45)))</f>
        <v/>
      </c>
      <c r="K64" s="213" t="str">
        <f>IF(K$3="","",IF(COUNTIFS(BD!$A$3:$A$5001,K$3,BD!$B$3:$B$5001,$A$45,BD!$AG$3:$AG$5001,"&lt;&gt;")=0,"",SUMIFS(BD!$AG$3:$AG$5001,BD!$A$3:$A$5001,K$3,BD!$B$3:$B$5001,$A$45)))</f>
        <v/>
      </c>
      <c r="L64" s="213" t="str">
        <f>IF(L$3="","",IF(COUNTIFS(BD!$A$3:$A$5001,L$3,BD!$B$3:$B$5001,$A$45,BD!$AG$3:$AG$5001,"&lt;&gt;")=0,"",SUMIFS(BD!$AG$3:$AG$5001,BD!$A$3:$A$5001,L$3,BD!$B$3:$B$5001,$A$45)))</f>
        <v/>
      </c>
      <c r="M64" s="213" t="str">
        <f>IF(M$3="","",IF(COUNTIFS(BD!$A$3:$A$5001,M$3,BD!$B$3:$B$5001,$A$45,BD!$AG$3:$AG$5001,"&lt;&gt;")=0,"",SUMIFS(BD!$AG$3:$AG$5001,BD!$A$3:$A$5001,M$3,BD!$B$3:$B$5001,$A$45)))</f>
        <v/>
      </c>
      <c r="N64" s="213" t="str">
        <f>IF(N$3="","",IF(COUNTIFS(BD!$A$3:$A$5001,N$3,BD!$B$3:$B$5001,$A$45,BD!$AG$3:$AG$5001,"&lt;&gt;")=0,"",SUMIFS(BD!$AG$3:$AG$5001,BD!$A$3:$A$5001,N$3,BD!$B$3:$B$5001,$A$45)))</f>
        <v/>
      </c>
      <c r="O64" s="213" t="str">
        <f>IF(O$3="","",IF(COUNTIFS(BD!$A$3:$A$5001,O$3,BD!$B$3:$B$5001,$A$45,BD!$AG$3:$AG$5001,"&lt;&gt;")=0,"",SUMIFS(BD!$AG$3:$AG$5001,BD!$A$3:$A$5001,O$3,BD!$B$3:$B$5001,$A$45)))</f>
        <v/>
      </c>
      <c r="P64" s="213" t="str">
        <f>IF(P$3="","",IF(COUNTIFS(BD!$A$3:$A$5001,P$3,BD!$B$3:$B$5001,$A$45,BD!$AG$3:$AG$5001,"&lt;&gt;")=0,"",SUMIFS(BD!$AG$3:$AG$5001,BD!$A$3:$A$5001,P$3,BD!$B$3:$B$5001,$A$45)))</f>
        <v/>
      </c>
      <c r="Q64" s="213" t="str">
        <f>IF(Q$3="","",IF(COUNTIFS(BD!$A$3:$A$5001,Q$3,BD!$B$3:$B$5001,$A$45,BD!$AG$3:$AG$5001,"&lt;&gt;")=0,"",SUMIFS(BD!$AG$3:$AG$5001,BD!$A$3:$A$5001,Q$3,BD!$B$3:$B$5001,$A$45)))</f>
        <v/>
      </c>
      <c r="R64" s="213" t="str">
        <f>IF(R$3="","",IF(COUNTIFS(BD!$A$3:$A$5001,R$3,BD!$B$3:$B$5001,$A$45,BD!$AG$3:$AG$5001,"&lt;&gt;")=0,"",SUMIFS(BD!$AG$3:$AG$5001,BD!$A$3:$A$5001,R$3,BD!$B$3:$B$5001,$A$45)))</f>
        <v/>
      </c>
      <c r="S64" s="213" t="str">
        <f>IF(S$3="","",IF(COUNTIFS(BD!$A$3:$A$5001,S$3,BD!$B$3:$B$5001,$A$45,BD!$AG$3:$AG$5001,"&lt;&gt;")=0,"",SUMIFS(BD!$AG$3:$AG$5001,BD!$A$3:$A$5001,S$3,BD!$B$3:$B$5001,$A$45)))</f>
        <v/>
      </c>
      <c r="T64" s="213" t="str">
        <f>IF(T$3="","",IF(COUNTIFS(BD!$A$3:$A$5001,T$3,BD!$B$3:$B$5001,$A$45,BD!$AG$3:$AG$5001,"&lt;&gt;")=0,"",SUMIFS(BD!$AG$3:$AG$5001,BD!$A$3:$A$5001,T$3,BD!$B$3:$B$5001,$A$45)))</f>
        <v/>
      </c>
      <c r="U64" s="213" t="str">
        <f>IF(U$3="","",IF(COUNTIFS(BD!$A$3:$A$5001,U$3,BD!$B$3:$B$5001,$A$45,BD!$AG$3:$AG$5001,"&lt;&gt;")=0,"",SUMIFS(BD!$AG$3:$AG$5001,BD!$A$3:$A$5001,U$3,BD!$B$3:$B$5001,$A$45)))</f>
        <v/>
      </c>
      <c r="V64" s="213" t="str">
        <f>IF(V$3="","",IF(COUNTIFS(BD!$A$3:$A$5001,V$3,BD!$B$3:$B$5001,$A$45,BD!$AG$3:$AG$5001,"&lt;&gt;")=0,"",SUMIFS(BD!$AG$3:$AG$5001,BD!$A$3:$A$5001,V$3,BD!$B$3:$B$5001,$A$45)))</f>
        <v/>
      </c>
      <c r="W64" s="213" t="str">
        <f>IF(W$3="","",IF(COUNTIFS(BD!$A$3:$A$5001,W$3,BD!$B$3:$B$5001,$A$45,BD!$AG$3:$AG$5001,"&lt;&gt;")=0,"",SUMIFS(BD!$AG$3:$AG$5001,BD!$A$3:$A$5001,W$3,BD!$B$3:$B$5001,$A$45)))</f>
        <v/>
      </c>
      <c r="X64" s="213" t="str">
        <f>IF(X$3="","",IF(COUNTIFS(BD!$A$3:$A$5001,X$3,BD!$B$3:$B$5001,$A$45,BD!$AG$3:$AG$5001,"&lt;&gt;")=0,"",SUMIFS(BD!$AG$3:$AG$5001,BD!$A$3:$A$5001,X$3,BD!$B$3:$B$5001,$A$45)))</f>
        <v/>
      </c>
      <c r="Y64" s="213" t="str">
        <f>IF(Y$3="","",IF(COUNTIFS(BD!$A$3:$A$5001,Y$3,BD!$B$3:$B$5001,$A$45,BD!$AG$3:$AG$5001,"&lt;&gt;")=0,"",SUMIFS(BD!$AG$3:$AG$5001,BD!$A$3:$A$5001,Y$3,BD!$B$3:$B$5001,$A$45)))</f>
        <v/>
      </c>
      <c r="Z64" s="213" t="str">
        <f>IF(Z$3="","",IF(COUNTIFS(BD!$A$3:$A$5001,Z$3,BD!$B$3:$B$5001,$A$45,BD!$AG$3:$AG$5001,"&lt;&gt;")=0,"",SUMIFS(BD!$AG$3:$AG$5001,BD!$A$3:$A$5001,Z$3,BD!$B$3:$B$5001,$A$45)))</f>
        <v/>
      </c>
      <c r="AA64" s="213" t="str">
        <f>IF(AA$3="","",IF(COUNTIFS(BD!$A$3:$A$5001,AA$3,BD!$B$3:$B$5001,$A$45,BD!$AG$3:$AG$5001,"&lt;&gt;")=0,"",SUMIFS(BD!$AG$3:$AG$5001,BD!$A$3:$A$5001,AA$3,BD!$B$3:$B$5001,$A$45)))</f>
        <v/>
      </c>
      <c r="AB64" s="213" t="str">
        <f>IF(AB$3="","",IF(COUNTIFS(BD!$A$3:$A$5001,AB$3,BD!$B$3:$B$5001,$A$45,BD!$AG$3:$AG$5001,"&lt;&gt;")=0,"",SUMIFS(BD!$AG$3:$AG$5001,BD!$A$3:$A$5001,AB$3,BD!$B$3:$B$5001,$A$45)))</f>
        <v/>
      </c>
      <c r="AC64" s="213" t="str">
        <f>IF(AC$3="","",IF(COUNTIFS(BD!$A$3:$A$5001,AC$3,BD!$B$3:$B$5001,$A$45,BD!$AG$3:$AG$5001,"&lt;&gt;")=0,"",SUMIFS(BD!$AG$3:$AG$5001,BD!$A$3:$A$5001,AC$3,BD!$B$3:$B$5001,$A$45)))</f>
        <v/>
      </c>
      <c r="AD64" s="213" t="str">
        <f>IF(AD$3="","",IF(COUNTIFS(BD!$A$3:$A$5001,AD$3,BD!$B$3:$B$5001,$A$45,BD!$AG$3:$AG$5001,"&lt;&gt;")=0,"",SUMIFS(BD!$AG$3:$AG$5001,BD!$A$3:$A$5001,AD$3,BD!$B$3:$B$5001,$A$45)))</f>
        <v/>
      </c>
      <c r="AE64" s="213" t="str">
        <f>IF(AE$3="","",IF(COUNTIFS(BD!$A$3:$A$5001,AE$3,BD!$B$3:$B$5001,$A$45,BD!$AG$3:$AG$5001,"&lt;&gt;")=0,"",SUMIFS(BD!$AG$3:$AG$5001,BD!$A$3:$A$5001,AE$3,BD!$B$3:$B$5001,$A$45)))</f>
        <v/>
      </c>
      <c r="AF64" s="213" t="str">
        <f>IF(AF$3="","",IF(COUNTIFS(BD!$A$3:$A$5001,AF$3,BD!$B$3:$B$5001,$A$45,BD!$AG$3:$AG$5001,"&lt;&gt;")=0,"",SUMIFS(BD!$AG$3:$AG$5001,BD!$A$3:$A$5001,AF$3,BD!$B$3:$B$5001,$A$45)))</f>
        <v/>
      </c>
      <c r="AG64" s="213" t="str">
        <f>IF(AG$3="","",IF(COUNTIFS(BD!$A$3:$A$5001,AG$3,BD!$B$3:$B$5001,$A$45,BD!$AG$3:$AG$5001,"&lt;&gt;")=0,"",SUMIFS(BD!$AG$3:$AG$5001,BD!$A$3:$A$5001,AG$3,BD!$B$3:$B$5001,$A$45)))</f>
        <v/>
      </c>
      <c r="AH64" s="213" t="str">
        <f>IF(AH$3="","",IF(COUNTIFS(BD!$A$3:$A$5001,AH$3,BD!$B$3:$B$5001,$A$45,BD!$AG$3:$AG$5001,"&lt;&gt;")=0,"",SUMIFS(BD!$AG$3:$AG$5001,BD!$A$3:$A$5001,AH$3,BD!$B$3:$B$5001,$A$45)))</f>
        <v/>
      </c>
      <c r="AI64" s="213" t="str">
        <f>IF(AI$3="","",IF(COUNTIFS(BD!$A$3:$A$5001,AI$3,BD!$B$3:$B$5001,$A$45,BD!$AG$3:$AG$5001,"&lt;&gt;")=0,"",SUMIFS(BD!$AG$3:$AG$5001,BD!$A$3:$A$5001,AI$3,BD!$B$3:$B$5001,$A$45)))</f>
        <v/>
      </c>
      <c r="AJ64" s="214" t="str">
        <f>IF(AJ$3="","",IF(COUNTIFS(BD!$A$3:$A$5001,AJ$3,BD!$B$3:$B$5001,$A$45,BD!$AG$3:$AG$5001,"&lt;&gt;")=0,"",SUMIFS(BD!$AG$3:$AG$5001,BD!$A$3:$A$5001,AJ$3,BD!$B$3:$B$5001,$A$45)))</f>
        <v/>
      </c>
      <c r="AK64" s="210" t="str">
        <f>IF(COUNT(F64:AJ64)=0,"",SUM(F64:AJ64))</f>
        <v/>
      </c>
    </row>
    <row r="66" ht="15.75" customHeight="1">
      <c r="A66" s="226" t="inlineStr">
        <is>
          <t xml:space="preserve">Boticário</t>
        </is>
      </c>
      <c r="B66" s="215" t="inlineStr">
        <is>
          <t xml:space="preserve">IN</t>
        </is>
      </c>
      <c r="C66" s="138" t="inlineStr">
        <is>
          <t xml:space="preserve">Veículos Recebidos</t>
        </is>
      </c>
      <c r="D66" s="139" t="str">
        <f>IFERROR(1/(1/INDEX(BD!$AK$23:$AT$23,MATCH($A$66,BD!$AK$22:$AT$22,0))),"")</f>
        <v/>
      </c>
      <c r="E66" s="140"/>
      <c r="F66" s="141" t="str">
        <f>IF(F$3="","",IF(COUNTIFS(BD!$A$3:$A$5001,F$3,BD!$B$3:$B$5001,$A$66,BD!$C$3:$C$5001,"&lt;&gt;")=0,"",SUMIFS(BD!$C$3:$C$5001,BD!$A$3:$A$5001,F$3,BD!$B$3:$B$5001,$A$66)))</f>
        <v/>
      </c>
      <c r="G66" s="142" t="str">
        <f>IF(G$3="","",IF(COUNTIFS(BD!$A$3:$A$5001,G$3,BD!$B$3:$B$5001,$A$66,BD!$C$3:$C$5001,"&lt;&gt;")=0,"",SUMIFS(BD!$C$3:$C$5001,BD!$A$3:$A$5001,G$3,BD!$B$3:$B$5001,$A$66)))</f>
        <v/>
      </c>
      <c r="H66" s="142" t="str">
        <f>IF(H$3="","",IF(COUNTIFS(BD!$A$3:$A$5001,H$3,BD!$B$3:$B$5001,$A$66,BD!$C$3:$C$5001,"&lt;&gt;")=0,"",SUMIFS(BD!$C$3:$C$5001,BD!$A$3:$A$5001,H$3,BD!$B$3:$B$5001,$A$66)))</f>
        <v/>
      </c>
      <c r="I66" s="142" t="str">
        <f>IF(I$3="","",IF(COUNTIFS(BD!$A$3:$A$5001,I$3,BD!$B$3:$B$5001,$A$66,BD!$C$3:$C$5001,"&lt;&gt;")=0,"",SUMIFS(BD!$C$3:$C$5001,BD!$A$3:$A$5001,I$3,BD!$B$3:$B$5001,$A$66)))</f>
        <v/>
      </c>
      <c r="J66" s="142" t="str">
        <f>IF(J$3="","",IF(COUNTIFS(BD!$A$3:$A$5001,J$3,BD!$B$3:$B$5001,$A$66,BD!$C$3:$C$5001,"&lt;&gt;")=0,"",SUMIFS(BD!$C$3:$C$5001,BD!$A$3:$A$5001,J$3,BD!$B$3:$B$5001,$A$66)))</f>
        <v/>
      </c>
      <c r="K66" s="142" t="str">
        <f>IF(K$3="","",IF(COUNTIFS(BD!$A$3:$A$5001,K$3,BD!$B$3:$B$5001,$A$66,BD!$C$3:$C$5001,"&lt;&gt;")=0,"",SUMIFS(BD!$C$3:$C$5001,BD!$A$3:$A$5001,K$3,BD!$B$3:$B$5001,$A$66)))</f>
        <v/>
      </c>
      <c r="L66" s="142" t="str">
        <f>IF(L$3="","",IF(COUNTIFS(BD!$A$3:$A$5001,L$3,BD!$B$3:$B$5001,$A$66,BD!$C$3:$C$5001,"&lt;&gt;")=0,"",SUMIFS(BD!$C$3:$C$5001,BD!$A$3:$A$5001,L$3,BD!$B$3:$B$5001,$A$66)))</f>
        <v/>
      </c>
      <c r="M66" s="142" t="str">
        <f>IF(M$3="","",IF(COUNTIFS(BD!$A$3:$A$5001,M$3,BD!$B$3:$B$5001,$A$66,BD!$C$3:$C$5001,"&lt;&gt;")=0,"",SUMIFS(BD!$C$3:$C$5001,BD!$A$3:$A$5001,M$3,BD!$B$3:$B$5001,$A$66)))</f>
        <v/>
      </c>
      <c r="N66" s="142" t="str">
        <f>IF(N$3="","",IF(COUNTIFS(BD!$A$3:$A$5001,N$3,BD!$B$3:$B$5001,$A$66,BD!$C$3:$C$5001,"&lt;&gt;")=0,"",SUMIFS(BD!$C$3:$C$5001,BD!$A$3:$A$5001,N$3,BD!$B$3:$B$5001,$A$66)))</f>
        <v/>
      </c>
      <c r="O66" s="142" t="str">
        <f>IF(O$3="","",IF(COUNTIFS(BD!$A$3:$A$5001,O$3,BD!$B$3:$B$5001,$A$66,BD!$C$3:$C$5001,"&lt;&gt;")=0,"",SUMIFS(BD!$C$3:$C$5001,BD!$A$3:$A$5001,O$3,BD!$B$3:$B$5001,$A$66)))</f>
        <v/>
      </c>
      <c r="P66" s="142" t="str">
        <f>IF(P$3="","",IF(COUNTIFS(BD!$A$3:$A$5001,P$3,BD!$B$3:$B$5001,$A$66,BD!$C$3:$C$5001,"&lt;&gt;")=0,"",SUMIFS(BD!$C$3:$C$5001,BD!$A$3:$A$5001,P$3,BD!$B$3:$B$5001,$A$66)))</f>
        <v/>
      </c>
      <c r="Q66" s="142" t="str">
        <f>IF(Q$3="","",IF(COUNTIFS(BD!$A$3:$A$5001,Q$3,BD!$B$3:$B$5001,$A$66,BD!$C$3:$C$5001,"&lt;&gt;")=0,"",SUMIFS(BD!$C$3:$C$5001,BD!$A$3:$A$5001,Q$3,BD!$B$3:$B$5001,$A$66)))</f>
        <v/>
      </c>
      <c r="R66" s="142" t="str">
        <f>IF(R$3="","",IF(COUNTIFS(BD!$A$3:$A$5001,R$3,BD!$B$3:$B$5001,$A$66,BD!$C$3:$C$5001,"&lt;&gt;")=0,"",SUMIFS(BD!$C$3:$C$5001,BD!$A$3:$A$5001,R$3,BD!$B$3:$B$5001,$A$66)))</f>
        <v/>
      </c>
      <c r="S66" s="142" t="str">
        <f>IF(S$3="","",IF(COUNTIFS(BD!$A$3:$A$5001,S$3,BD!$B$3:$B$5001,$A$66,BD!$C$3:$C$5001,"&lt;&gt;")=0,"",SUMIFS(BD!$C$3:$C$5001,BD!$A$3:$A$5001,S$3,BD!$B$3:$B$5001,$A$66)))</f>
        <v/>
      </c>
      <c r="T66" s="142" t="str">
        <f>IF(T$3="","",IF(COUNTIFS(BD!$A$3:$A$5001,T$3,BD!$B$3:$B$5001,$A$66,BD!$C$3:$C$5001,"&lt;&gt;")=0,"",SUMIFS(BD!$C$3:$C$5001,BD!$A$3:$A$5001,T$3,BD!$B$3:$B$5001,$A$66)))</f>
        <v/>
      </c>
      <c r="U66" s="142" t="str">
        <f>IF(U$3="","",IF(COUNTIFS(BD!$A$3:$A$5001,U$3,BD!$B$3:$B$5001,$A$66,BD!$C$3:$C$5001,"&lt;&gt;")=0,"",SUMIFS(BD!$C$3:$C$5001,BD!$A$3:$A$5001,U$3,BD!$B$3:$B$5001,$A$66)))</f>
        <v/>
      </c>
      <c r="V66" s="142" t="str">
        <f>IF(V$3="","",IF(COUNTIFS(BD!$A$3:$A$5001,V$3,BD!$B$3:$B$5001,$A$66,BD!$C$3:$C$5001,"&lt;&gt;")=0,"",SUMIFS(BD!$C$3:$C$5001,BD!$A$3:$A$5001,V$3,BD!$B$3:$B$5001,$A$66)))</f>
        <v/>
      </c>
      <c r="W66" s="142" t="str">
        <f>IF(W$3="","",IF(COUNTIFS(BD!$A$3:$A$5001,W$3,BD!$B$3:$B$5001,$A$66,BD!$C$3:$C$5001,"&lt;&gt;")=0,"",SUMIFS(BD!$C$3:$C$5001,BD!$A$3:$A$5001,W$3,BD!$B$3:$B$5001,$A$66)))</f>
        <v/>
      </c>
      <c r="X66" s="142" t="str">
        <f>IF(X$3="","",IF(COUNTIFS(BD!$A$3:$A$5001,X$3,BD!$B$3:$B$5001,$A$66,BD!$C$3:$C$5001,"&lt;&gt;")=0,"",SUMIFS(BD!$C$3:$C$5001,BD!$A$3:$A$5001,X$3,BD!$B$3:$B$5001,$A$66)))</f>
        <v/>
      </c>
      <c r="Y66" s="142" t="str">
        <f>IF(Y$3="","",IF(COUNTIFS(BD!$A$3:$A$5001,Y$3,BD!$B$3:$B$5001,$A$66,BD!$C$3:$C$5001,"&lt;&gt;")=0,"",SUMIFS(BD!$C$3:$C$5001,BD!$A$3:$A$5001,Y$3,BD!$B$3:$B$5001,$A$66)))</f>
        <v/>
      </c>
      <c r="Z66" s="142" t="str">
        <f>IF(Z$3="","",IF(COUNTIFS(BD!$A$3:$A$5001,Z$3,BD!$B$3:$B$5001,$A$66,BD!$C$3:$C$5001,"&lt;&gt;")=0,"",SUMIFS(BD!$C$3:$C$5001,BD!$A$3:$A$5001,Z$3,BD!$B$3:$B$5001,$A$66)))</f>
        <v/>
      </c>
      <c r="AA66" s="142" t="str">
        <f>IF(AA$3="","",IF(COUNTIFS(BD!$A$3:$A$5001,AA$3,BD!$B$3:$B$5001,$A$66,BD!$C$3:$C$5001,"&lt;&gt;")=0,"",SUMIFS(BD!$C$3:$C$5001,BD!$A$3:$A$5001,AA$3,BD!$B$3:$B$5001,$A$66)))</f>
        <v/>
      </c>
      <c r="AB66" s="142" t="str">
        <f>IF(AB$3="","",IF(COUNTIFS(BD!$A$3:$A$5001,AB$3,BD!$B$3:$B$5001,$A$66,BD!$C$3:$C$5001,"&lt;&gt;")=0,"",SUMIFS(BD!$C$3:$C$5001,BD!$A$3:$A$5001,AB$3,BD!$B$3:$B$5001,$A$66)))</f>
        <v/>
      </c>
      <c r="AC66" s="142" t="str">
        <f>IF(AC$3="","",IF(COUNTIFS(BD!$A$3:$A$5001,AC$3,BD!$B$3:$B$5001,$A$66,BD!$C$3:$C$5001,"&lt;&gt;")=0,"",SUMIFS(BD!$C$3:$C$5001,BD!$A$3:$A$5001,AC$3,BD!$B$3:$B$5001,$A$66)))</f>
        <v/>
      </c>
      <c r="AD66" s="142" t="str">
        <f>IF(AD$3="","",IF(COUNTIFS(BD!$A$3:$A$5001,AD$3,BD!$B$3:$B$5001,$A$66,BD!$C$3:$C$5001,"&lt;&gt;")=0,"",SUMIFS(BD!$C$3:$C$5001,BD!$A$3:$A$5001,AD$3,BD!$B$3:$B$5001,$A$66)))</f>
        <v/>
      </c>
      <c r="AE66" s="142" t="str">
        <f>IF(AE$3="","",IF(COUNTIFS(BD!$A$3:$A$5001,AE$3,BD!$B$3:$B$5001,$A$66,BD!$C$3:$C$5001,"&lt;&gt;")=0,"",SUMIFS(BD!$C$3:$C$5001,BD!$A$3:$A$5001,AE$3,BD!$B$3:$B$5001,$A$66)))</f>
        <v/>
      </c>
      <c r="AF66" s="142" t="str">
        <f>IF(AF$3="","",IF(COUNTIFS(BD!$A$3:$A$5001,AF$3,BD!$B$3:$B$5001,$A$66,BD!$C$3:$C$5001,"&lt;&gt;")=0,"",SUMIFS(BD!$C$3:$C$5001,BD!$A$3:$A$5001,AF$3,BD!$B$3:$B$5001,$A$66)))</f>
        <v/>
      </c>
      <c r="AG66" s="142" t="str">
        <f>IF(AG$3="","",IF(COUNTIFS(BD!$A$3:$A$5001,AG$3,BD!$B$3:$B$5001,$A$66,BD!$C$3:$C$5001,"&lt;&gt;")=0,"",SUMIFS(BD!$C$3:$C$5001,BD!$A$3:$A$5001,AG$3,BD!$B$3:$B$5001,$A$66)))</f>
        <v/>
      </c>
      <c r="AH66" s="142" t="str">
        <f>IF(AH$3="","",IF(COUNTIFS(BD!$A$3:$A$5001,AH$3,BD!$B$3:$B$5001,$A$66,BD!$C$3:$C$5001,"&lt;&gt;")=0,"",SUMIFS(BD!$C$3:$C$5001,BD!$A$3:$A$5001,AH$3,BD!$B$3:$B$5001,$A$66)))</f>
        <v/>
      </c>
      <c r="AI66" s="142" t="str">
        <f>IF(AI$3="","",IF(COUNTIFS(BD!$A$3:$A$5001,AI$3,BD!$B$3:$B$5001,$A$66,BD!$C$3:$C$5001,"&lt;&gt;")=0,"",SUMIFS(BD!$C$3:$C$5001,BD!$A$3:$A$5001,AI$3,BD!$B$3:$B$5001,$A$66)))</f>
        <v/>
      </c>
      <c r="AJ66" s="143" t="str">
        <f>IF(AJ$3="","",IF(COUNTIFS(BD!$A$3:$A$5001,AJ$3,BD!$B$3:$B$5001,$A$66,BD!$C$3:$C$5001,"&lt;&gt;")=0,"",SUMIFS(BD!$C$3:$C$5001,BD!$A$3:$A$5001,AJ$3,BD!$B$3:$B$5001,$A$66)))</f>
        <v/>
      </c>
      <c r="AK66" s="144" t="str">
        <f>IF(COUNT(F66:AJ66)=0,"",SUM(F66:AJ66))</f>
        <v/>
      </c>
    </row>
    <row r="67" ht="15.75" customHeight="1">
      <c r="A67" s="227"/>
      <c r="B67" s="222"/>
      <c r="C67" s="184" t="inlineStr">
        <is>
          <t xml:space="preserve">Itens Recebidos CX Mista</t>
        </is>
      </c>
      <c r="D67" s="185" t="str">
        <f>IFERROR(1/(1/INDEX(BD!$AK$29:$AT$29,MATCH($A$66,BD!$AK$22:$AT$22,0))),"")</f>
        <v/>
      </c>
      <c r="E67" s="186"/>
      <c r="F67" s="187" t="str">
        <f>IF(F$3="","",IF(COUNTIFS(BD!$A$3:$A$5001,F$3,BD!$B$3:$B$5001,$A$66,BD!$I$3:$I$5001,"&lt;&gt;")=0,"",SUMIFS(BD!$I$3:$I$5001,BD!$A$3:$A$5001,F$3,BD!$B$3:$B$5001,$A$66)))</f>
        <v/>
      </c>
      <c r="G67" s="188" t="str">
        <f>IF(G$3="","",IF(COUNTIFS(BD!$A$3:$A$5001,G$3,BD!$B$3:$B$5001,$A$66,BD!$I$3:$I$5001,"&lt;&gt;")=0,"",SUMIFS(BD!$I$3:$I$5001,BD!$A$3:$A$5001,G$3,BD!$B$3:$B$5001,$A$66)))</f>
        <v/>
      </c>
      <c r="H67" s="188" t="str">
        <f>IF(H$3="","",IF(COUNTIFS(BD!$A$3:$A$5001,H$3,BD!$B$3:$B$5001,$A$66,BD!$I$3:$I$5001,"&lt;&gt;")=0,"",SUMIFS(BD!$I$3:$I$5001,BD!$A$3:$A$5001,H$3,BD!$B$3:$B$5001,$A$66)))</f>
        <v/>
      </c>
      <c r="I67" s="188" t="str">
        <f>IF(I$3="","",IF(COUNTIFS(BD!$A$3:$A$5001,I$3,BD!$B$3:$B$5001,$A$66,BD!$I$3:$I$5001,"&lt;&gt;")=0,"",SUMIFS(BD!$I$3:$I$5001,BD!$A$3:$A$5001,I$3,BD!$B$3:$B$5001,$A$66)))</f>
        <v/>
      </c>
      <c r="J67" s="188" t="str">
        <f>IF(J$3="","",IF(COUNTIFS(BD!$A$3:$A$5001,J$3,BD!$B$3:$B$5001,$A$66,BD!$I$3:$I$5001,"&lt;&gt;")=0,"",SUMIFS(BD!$I$3:$I$5001,BD!$A$3:$A$5001,J$3,BD!$B$3:$B$5001,$A$66)))</f>
        <v/>
      </c>
      <c r="K67" s="188" t="str">
        <f>IF(K$3="","",IF(COUNTIFS(BD!$A$3:$A$5001,K$3,BD!$B$3:$B$5001,$A$66,BD!$I$3:$I$5001,"&lt;&gt;")=0,"",SUMIFS(BD!$I$3:$I$5001,BD!$A$3:$A$5001,K$3,BD!$B$3:$B$5001,$A$66)))</f>
        <v/>
      </c>
      <c r="L67" s="188" t="str">
        <f>IF(L$3="","",IF(COUNTIFS(BD!$A$3:$A$5001,L$3,BD!$B$3:$B$5001,$A$66,BD!$I$3:$I$5001,"&lt;&gt;")=0,"",SUMIFS(BD!$I$3:$I$5001,BD!$A$3:$A$5001,L$3,BD!$B$3:$B$5001,$A$66)))</f>
        <v/>
      </c>
      <c r="M67" s="188" t="str">
        <f>IF(M$3="","",IF(COUNTIFS(BD!$A$3:$A$5001,M$3,BD!$B$3:$B$5001,$A$66,BD!$I$3:$I$5001,"&lt;&gt;")=0,"",SUMIFS(BD!$I$3:$I$5001,BD!$A$3:$A$5001,M$3,BD!$B$3:$B$5001,$A$66)))</f>
        <v/>
      </c>
      <c r="N67" s="188" t="str">
        <f>IF(N$3="","",IF(COUNTIFS(BD!$A$3:$A$5001,N$3,BD!$B$3:$B$5001,$A$66,BD!$I$3:$I$5001,"&lt;&gt;")=0,"",SUMIFS(BD!$I$3:$I$5001,BD!$A$3:$A$5001,N$3,BD!$B$3:$B$5001,$A$66)))</f>
        <v/>
      </c>
      <c r="O67" s="188" t="str">
        <f>IF(O$3="","",IF(COUNTIFS(BD!$A$3:$A$5001,O$3,BD!$B$3:$B$5001,$A$66,BD!$I$3:$I$5001,"&lt;&gt;")=0,"",SUMIFS(BD!$I$3:$I$5001,BD!$A$3:$A$5001,O$3,BD!$B$3:$B$5001,$A$66)))</f>
        <v/>
      </c>
      <c r="P67" s="188" t="str">
        <f>IF(P$3="","",IF(COUNTIFS(BD!$A$3:$A$5001,P$3,BD!$B$3:$B$5001,$A$66,BD!$I$3:$I$5001,"&lt;&gt;")=0,"",SUMIFS(BD!$I$3:$I$5001,BD!$A$3:$A$5001,P$3,BD!$B$3:$B$5001,$A$66)))</f>
        <v/>
      </c>
      <c r="Q67" s="188" t="str">
        <f>IF(Q$3="","",IF(COUNTIFS(BD!$A$3:$A$5001,Q$3,BD!$B$3:$B$5001,$A$66,BD!$I$3:$I$5001,"&lt;&gt;")=0,"",SUMIFS(BD!$I$3:$I$5001,BD!$A$3:$A$5001,Q$3,BD!$B$3:$B$5001,$A$66)))</f>
        <v/>
      </c>
      <c r="R67" s="188" t="str">
        <f>IF(R$3="","",IF(COUNTIFS(BD!$A$3:$A$5001,R$3,BD!$B$3:$B$5001,$A$66,BD!$I$3:$I$5001,"&lt;&gt;")=0,"",SUMIFS(BD!$I$3:$I$5001,BD!$A$3:$A$5001,R$3,BD!$B$3:$B$5001,$A$66)))</f>
        <v/>
      </c>
      <c r="S67" s="188" t="str">
        <f>IF(S$3="","",IF(COUNTIFS(BD!$A$3:$A$5001,S$3,BD!$B$3:$B$5001,$A$66,BD!$I$3:$I$5001,"&lt;&gt;")=0,"",SUMIFS(BD!$I$3:$I$5001,BD!$A$3:$A$5001,S$3,BD!$B$3:$B$5001,$A$66)))</f>
        <v/>
      </c>
      <c r="T67" s="188" t="str">
        <f>IF(T$3="","",IF(COUNTIFS(BD!$A$3:$A$5001,T$3,BD!$B$3:$B$5001,$A$66,BD!$I$3:$I$5001,"&lt;&gt;")=0,"",SUMIFS(BD!$I$3:$I$5001,BD!$A$3:$A$5001,T$3,BD!$B$3:$B$5001,$A$66)))</f>
        <v/>
      </c>
      <c r="U67" s="188" t="str">
        <f>IF(U$3="","",IF(COUNTIFS(BD!$A$3:$A$5001,U$3,BD!$B$3:$B$5001,$A$66,BD!$I$3:$I$5001,"&lt;&gt;")=0,"",SUMIFS(BD!$I$3:$I$5001,BD!$A$3:$A$5001,U$3,BD!$B$3:$B$5001,$A$66)))</f>
        <v/>
      </c>
      <c r="V67" s="188" t="str">
        <f>IF(V$3="","",IF(COUNTIFS(BD!$A$3:$A$5001,V$3,BD!$B$3:$B$5001,$A$66,BD!$I$3:$I$5001,"&lt;&gt;")=0,"",SUMIFS(BD!$I$3:$I$5001,BD!$A$3:$A$5001,V$3,BD!$B$3:$B$5001,$A$66)))</f>
        <v/>
      </c>
      <c r="W67" s="188" t="str">
        <f>IF(W$3="","",IF(COUNTIFS(BD!$A$3:$A$5001,W$3,BD!$B$3:$B$5001,$A$66,BD!$I$3:$I$5001,"&lt;&gt;")=0,"",SUMIFS(BD!$I$3:$I$5001,BD!$A$3:$A$5001,W$3,BD!$B$3:$B$5001,$A$66)))</f>
        <v/>
      </c>
      <c r="X67" s="188" t="str">
        <f>IF(X$3="","",IF(COUNTIFS(BD!$A$3:$A$5001,X$3,BD!$B$3:$B$5001,$A$66,BD!$I$3:$I$5001,"&lt;&gt;")=0,"",SUMIFS(BD!$I$3:$I$5001,BD!$A$3:$A$5001,X$3,BD!$B$3:$B$5001,$A$66)))</f>
        <v/>
      </c>
      <c r="Y67" s="188" t="str">
        <f>IF(Y$3="","",IF(COUNTIFS(BD!$A$3:$A$5001,Y$3,BD!$B$3:$B$5001,$A$66,BD!$I$3:$I$5001,"&lt;&gt;")=0,"",SUMIFS(BD!$I$3:$I$5001,BD!$A$3:$A$5001,Y$3,BD!$B$3:$B$5001,$A$66)))</f>
        <v/>
      </c>
      <c r="Z67" s="188" t="str">
        <f>IF(Z$3="","",IF(COUNTIFS(BD!$A$3:$A$5001,Z$3,BD!$B$3:$B$5001,$A$66,BD!$I$3:$I$5001,"&lt;&gt;")=0,"",SUMIFS(BD!$I$3:$I$5001,BD!$A$3:$A$5001,Z$3,BD!$B$3:$B$5001,$A$66)))</f>
        <v/>
      </c>
      <c r="AA67" s="188" t="str">
        <f>IF(AA$3="","",IF(COUNTIFS(BD!$A$3:$A$5001,AA$3,BD!$B$3:$B$5001,$A$66,BD!$I$3:$I$5001,"&lt;&gt;")=0,"",SUMIFS(BD!$I$3:$I$5001,BD!$A$3:$A$5001,AA$3,BD!$B$3:$B$5001,$A$66)))</f>
        <v/>
      </c>
      <c r="AB67" s="188" t="str">
        <f>IF(AB$3="","",IF(COUNTIFS(BD!$A$3:$A$5001,AB$3,BD!$B$3:$B$5001,$A$66,BD!$I$3:$I$5001,"&lt;&gt;")=0,"",SUMIFS(BD!$I$3:$I$5001,BD!$A$3:$A$5001,AB$3,BD!$B$3:$B$5001,$A$66)))</f>
        <v/>
      </c>
      <c r="AC67" s="188" t="str">
        <f>IF(AC$3="","",IF(COUNTIFS(BD!$A$3:$A$5001,AC$3,BD!$B$3:$B$5001,$A$66,BD!$I$3:$I$5001,"&lt;&gt;")=0,"",SUMIFS(BD!$I$3:$I$5001,BD!$A$3:$A$5001,AC$3,BD!$B$3:$B$5001,$A$66)))</f>
        <v/>
      </c>
      <c r="AD67" s="188" t="str">
        <f>IF(AD$3="","",IF(COUNTIFS(BD!$A$3:$A$5001,AD$3,BD!$B$3:$B$5001,$A$66,BD!$I$3:$I$5001,"&lt;&gt;")=0,"",SUMIFS(BD!$I$3:$I$5001,BD!$A$3:$A$5001,AD$3,BD!$B$3:$B$5001,$A$66)))</f>
        <v/>
      </c>
      <c r="AE67" s="188" t="str">
        <f>IF(AE$3="","",IF(COUNTIFS(BD!$A$3:$A$5001,AE$3,BD!$B$3:$B$5001,$A$66,BD!$I$3:$I$5001,"&lt;&gt;")=0,"",SUMIFS(BD!$I$3:$I$5001,BD!$A$3:$A$5001,AE$3,BD!$B$3:$B$5001,$A$66)))</f>
        <v/>
      </c>
      <c r="AF67" s="188" t="str">
        <f>IF(AF$3="","",IF(COUNTIFS(BD!$A$3:$A$5001,AF$3,BD!$B$3:$B$5001,$A$66,BD!$I$3:$I$5001,"&lt;&gt;")=0,"",SUMIFS(BD!$I$3:$I$5001,BD!$A$3:$A$5001,AF$3,BD!$B$3:$B$5001,$A$66)))</f>
        <v/>
      </c>
      <c r="AG67" s="188" t="str">
        <f>IF(AG$3="","",IF(COUNTIFS(BD!$A$3:$A$5001,AG$3,BD!$B$3:$B$5001,$A$66,BD!$I$3:$I$5001,"&lt;&gt;")=0,"",SUMIFS(BD!$I$3:$I$5001,BD!$A$3:$A$5001,AG$3,BD!$B$3:$B$5001,$A$66)))</f>
        <v/>
      </c>
      <c r="AH67" s="188" t="str">
        <f>IF(AH$3="","",IF(COUNTIFS(BD!$A$3:$A$5001,AH$3,BD!$B$3:$B$5001,$A$66,BD!$I$3:$I$5001,"&lt;&gt;")=0,"",SUMIFS(BD!$I$3:$I$5001,BD!$A$3:$A$5001,AH$3,BD!$B$3:$B$5001,$A$66)))</f>
        <v/>
      </c>
      <c r="AI67" s="188" t="str">
        <f>IF(AI$3="","",IF(COUNTIFS(BD!$A$3:$A$5001,AI$3,BD!$B$3:$B$5001,$A$66,BD!$I$3:$I$5001,"&lt;&gt;")=0,"",SUMIFS(BD!$I$3:$I$5001,BD!$A$3:$A$5001,AI$3,BD!$B$3:$B$5001,$A$66)))</f>
        <v/>
      </c>
      <c r="AJ67" s="189" t="str">
        <f>IF(AJ$3="","",IF(COUNTIFS(BD!$A$3:$A$5001,AJ$3,BD!$B$3:$B$5001,$A$66,BD!$I$3:$I$5001,"&lt;&gt;")=0,"",SUMIFS(BD!$I$3:$I$5001,BD!$A$3:$A$5001,AJ$3,BD!$B$3:$B$5001,$A$66)))</f>
        <v/>
      </c>
      <c r="AK67" s="190" t="str">
        <f>IF(COUNT(F67:AJ67)=0,"",SUM(F67:AJ67))</f>
        <v/>
      </c>
    </row>
    <row r="68" ht="15.75" customHeight="1">
      <c r="A68" s="227"/>
      <c r="B68" s="222"/>
      <c r="C68" s="184" t="inlineStr">
        <is>
          <t xml:space="preserve">Caixas Mistas Recebidas</t>
        </is>
      </c>
      <c r="D68" s="185" t="str">
        <f>IFERROR(1/(1/INDEX(BD!$AK$31:$AT$31,MATCH($A$66,BD!$AK$22:$AT$22,0))),"")</f>
        <v/>
      </c>
      <c r="E68" s="186"/>
      <c r="F68" s="187" t="str">
        <f>IF(F$3="","",IF(COUNTIFS(BD!$A$3:$A$5001,F$3,BD!$B$3:$B$5001,$A$66,BD!$K$3:$K$5001,"&lt;&gt;")=0,"",SUMIFS(BD!$K$3:$K$5001,BD!$A$3:$A$5001,F$3,BD!$B$3:$B$5001,$A$66)))</f>
        <v/>
      </c>
      <c r="G68" s="188" t="str">
        <f>IF(G$3="","",IF(COUNTIFS(BD!$A$3:$A$5001,G$3,BD!$B$3:$B$5001,$A$66,BD!$K$3:$K$5001,"&lt;&gt;")=0,"",SUMIFS(BD!$K$3:$K$5001,BD!$A$3:$A$5001,G$3,BD!$B$3:$B$5001,$A$66)))</f>
        <v/>
      </c>
      <c r="H68" s="188" t="str">
        <f>IF(H$3="","",IF(COUNTIFS(BD!$A$3:$A$5001,H$3,BD!$B$3:$B$5001,$A$66,BD!$K$3:$K$5001,"&lt;&gt;")=0,"",SUMIFS(BD!$K$3:$K$5001,BD!$A$3:$A$5001,H$3,BD!$B$3:$B$5001,$A$66)))</f>
        <v/>
      </c>
      <c r="I68" s="188" t="str">
        <f>IF(I$3="","",IF(COUNTIFS(BD!$A$3:$A$5001,I$3,BD!$B$3:$B$5001,$A$66,BD!$K$3:$K$5001,"&lt;&gt;")=0,"",SUMIFS(BD!$K$3:$K$5001,BD!$A$3:$A$5001,I$3,BD!$B$3:$B$5001,$A$66)))</f>
        <v/>
      </c>
      <c r="J68" s="188" t="str">
        <f>IF(J$3="","",IF(COUNTIFS(BD!$A$3:$A$5001,J$3,BD!$B$3:$B$5001,$A$66,BD!$K$3:$K$5001,"&lt;&gt;")=0,"",SUMIFS(BD!$K$3:$K$5001,BD!$A$3:$A$5001,J$3,BD!$B$3:$B$5001,$A$66)))</f>
        <v/>
      </c>
      <c r="K68" s="188" t="str">
        <f>IF(K$3="","",IF(COUNTIFS(BD!$A$3:$A$5001,K$3,BD!$B$3:$B$5001,$A$66,BD!$K$3:$K$5001,"&lt;&gt;")=0,"",SUMIFS(BD!$K$3:$K$5001,BD!$A$3:$A$5001,K$3,BD!$B$3:$B$5001,$A$66)))</f>
        <v/>
      </c>
      <c r="L68" s="188" t="str">
        <f>IF(L$3="","",IF(COUNTIFS(BD!$A$3:$A$5001,L$3,BD!$B$3:$B$5001,$A$66,BD!$K$3:$K$5001,"&lt;&gt;")=0,"",SUMIFS(BD!$K$3:$K$5001,BD!$A$3:$A$5001,L$3,BD!$B$3:$B$5001,$A$66)))</f>
        <v/>
      </c>
      <c r="M68" s="188" t="str">
        <f>IF(M$3="","",IF(COUNTIFS(BD!$A$3:$A$5001,M$3,BD!$B$3:$B$5001,$A$66,BD!$K$3:$K$5001,"&lt;&gt;")=0,"",SUMIFS(BD!$K$3:$K$5001,BD!$A$3:$A$5001,M$3,BD!$B$3:$B$5001,$A$66)))</f>
        <v/>
      </c>
      <c r="N68" s="188" t="str">
        <f>IF(N$3="","",IF(COUNTIFS(BD!$A$3:$A$5001,N$3,BD!$B$3:$B$5001,$A$66,BD!$K$3:$K$5001,"&lt;&gt;")=0,"",SUMIFS(BD!$K$3:$K$5001,BD!$A$3:$A$5001,N$3,BD!$B$3:$B$5001,$A$66)))</f>
        <v/>
      </c>
      <c r="O68" s="188" t="str">
        <f>IF(O$3="","",IF(COUNTIFS(BD!$A$3:$A$5001,O$3,BD!$B$3:$B$5001,$A$66,BD!$K$3:$K$5001,"&lt;&gt;")=0,"",SUMIFS(BD!$K$3:$K$5001,BD!$A$3:$A$5001,O$3,BD!$B$3:$B$5001,$A$66)))</f>
        <v/>
      </c>
      <c r="P68" s="188" t="str">
        <f>IF(P$3="","",IF(COUNTIFS(BD!$A$3:$A$5001,P$3,BD!$B$3:$B$5001,$A$66,BD!$K$3:$K$5001,"&lt;&gt;")=0,"",SUMIFS(BD!$K$3:$K$5001,BD!$A$3:$A$5001,P$3,BD!$B$3:$B$5001,$A$66)))</f>
        <v/>
      </c>
      <c r="Q68" s="188" t="str">
        <f>IF(Q$3="","",IF(COUNTIFS(BD!$A$3:$A$5001,Q$3,BD!$B$3:$B$5001,$A$66,BD!$K$3:$K$5001,"&lt;&gt;")=0,"",SUMIFS(BD!$K$3:$K$5001,BD!$A$3:$A$5001,Q$3,BD!$B$3:$B$5001,$A$66)))</f>
        <v/>
      </c>
      <c r="R68" s="188" t="str">
        <f>IF(R$3="","",IF(COUNTIFS(BD!$A$3:$A$5001,R$3,BD!$B$3:$B$5001,$A$66,BD!$K$3:$K$5001,"&lt;&gt;")=0,"",SUMIFS(BD!$K$3:$K$5001,BD!$A$3:$A$5001,R$3,BD!$B$3:$B$5001,$A$66)))</f>
        <v/>
      </c>
      <c r="S68" s="188" t="str">
        <f>IF(S$3="","",IF(COUNTIFS(BD!$A$3:$A$5001,S$3,BD!$B$3:$B$5001,$A$66,BD!$K$3:$K$5001,"&lt;&gt;")=0,"",SUMIFS(BD!$K$3:$K$5001,BD!$A$3:$A$5001,S$3,BD!$B$3:$B$5001,$A$66)))</f>
        <v/>
      </c>
      <c r="T68" s="188" t="str">
        <f>IF(T$3="","",IF(COUNTIFS(BD!$A$3:$A$5001,T$3,BD!$B$3:$B$5001,$A$66,BD!$K$3:$K$5001,"&lt;&gt;")=0,"",SUMIFS(BD!$K$3:$K$5001,BD!$A$3:$A$5001,T$3,BD!$B$3:$B$5001,$A$66)))</f>
        <v/>
      </c>
      <c r="U68" s="188" t="str">
        <f>IF(U$3="","",IF(COUNTIFS(BD!$A$3:$A$5001,U$3,BD!$B$3:$B$5001,$A$66,BD!$K$3:$K$5001,"&lt;&gt;")=0,"",SUMIFS(BD!$K$3:$K$5001,BD!$A$3:$A$5001,U$3,BD!$B$3:$B$5001,$A$66)))</f>
        <v/>
      </c>
      <c r="V68" s="188" t="str">
        <f>IF(V$3="","",IF(COUNTIFS(BD!$A$3:$A$5001,V$3,BD!$B$3:$B$5001,$A$66,BD!$K$3:$K$5001,"&lt;&gt;")=0,"",SUMIFS(BD!$K$3:$K$5001,BD!$A$3:$A$5001,V$3,BD!$B$3:$B$5001,$A$66)))</f>
        <v/>
      </c>
      <c r="W68" s="188" t="str">
        <f>IF(W$3="","",IF(COUNTIFS(BD!$A$3:$A$5001,W$3,BD!$B$3:$B$5001,$A$66,BD!$K$3:$K$5001,"&lt;&gt;")=0,"",SUMIFS(BD!$K$3:$K$5001,BD!$A$3:$A$5001,W$3,BD!$B$3:$B$5001,$A$66)))</f>
        <v/>
      </c>
      <c r="X68" s="188" t="str">
        <f>IF(X$3="","",IF(COUNTIFS(BD!$A$3:$A$5001,X$3,BD!$B$3:$B$5001,$A$66,BD!$K$3:$K$5001,"&lt;&gt;")=0,"",SUMIFS(BD!$K$3:$K$5001,BD!$A$3:$A$5001,X$3,BD!$B$3:$B$5001,$A$66)))</f>
        <v/>
      </c>
      <c r="Y68" s="188" t="str">
        <f>IF(Y$3="","",IF(COUNTIFS(BD!$A$3:$A$5001,Y$3,BD!$B$3:$B$5001,$A$66,BD!$K$3:$K$5001,"&lt;&gt;")=0,"",SUMIFS(BD!$K$3:$K$5001,BD!$A$3:$A$5001,Y$3,BD!$B$3:$B$5001,$A$66)))</f>
        <v/>
      </c>
      <c r="Z68" s="188" t="str">
        <f>IF(Z$3="","",IF(COUNTIFS(BD!$A$3:$A$5001,Z$3,BD!$B$3:$B$5001,$A$66,BD!$K$3:$K$5001,"&lt;&gt;")=0,"",SUMIFS(BD!$K$3:$K$5001,BD!$A$3:$A$5001,Z$3,BD!$B$3:$B$5001,$A$66)))</f>
        <v/>
      </c>
      <c r="AA68" s="188" t="str">
        <f>IF(AA$3="","",IF(COUNTIFS(BD!$A$3:$A$5001,AA$3,BD!$B$3:$B$5001,$A$66,BD!$K$3:$K$5001,"&lt;&gt;")=0,"",SUMIFS(BD!$K$3:$K$5001,BD!$A$3:$A$5001,AA$3,BD!$B$3:$B$5001,$A$66)))</f>
        <v/>
      </c>
      <c r="AB68" s="188" t="str">
        <f>IF(AB$3="","",IF(COUNTIFS(BD!$A$3:$A$5001,AB$3,BD!$B$3:$B$5001,$A$66,BD!$K$3:$K$5001,"&lt;&gt;")=0,"",SUMIFS(BD!$K$3:$K$5001,BD!$A$3:$A$5001,AB$3,BD!$B$3:$B$5001,$A$66)))</f>
        <v/>
      </c>
      <c r="AC68" s="188" t="str">
        <f>IF(AC$3="","",IF(COUNTIFS(BD!$A$3:$A$5001,AC$3,BD!$B$3:$B$5001,$A$66,BD!$K$3:$K$5001,"&lt;&gt;")=0,"",SUMIFS(BD!$K$3:$K$5001,BD!$A$3:$A$5001,AC$3,BD!$B$3:$B$5001,$A$66)))</f>
        <v/>
      </c>
      <c r="AD68" s="188" t="str">
        <f>IF(AD$3="","",IF(COUNTIFS(BD!$A$3:$A$5001,AD$3,BD!$B$3:$B$5001,$A$66,BD!$K$3:$K$5001,"&lt;&gt;")=0,"",SUMIFS(BD!$K$3:$K$5001,BD!$A$3:$A$5001,AD$3,BD!$B$3:$B$5001,$A$66)))</f>
        <v/>
      </c>
      <c r="AE68" s="188" t="str">
        <f>IF(AE$3="","",IF(COUNTIFS(BD!$A$3:$A$5001,AE$3,BD!$B$3:$B$5001,$A$66,BD!$K$3:$K$5001,"&lt;&gt;")=0,"",SUMIFS(BD!$K$3:$K$5001,BD!$A$3:$A$5001,AE$3,BD!$B$3:$B$5001,$A$66)))</f>
        <v/>
      </c>
      <c r="AF68" s="188" t="str">
        <f>IF(AF$3="","",IF(COUNTIFS(BD!$A$3:$A$5001,AF$3,BD!$B$3:$B$5001,$A$66,BD!$K$3:$K$5001,"&lt;&gt;")=0,"",SUMIFS(BD!$K$3:$K$5001,BD!$A$3:$A$5001,AF$3,BD!$B$3:$B$5001,$A$66)))</f>
        <v/>
      </c>
      <c r="AG68" s="188" t="str">
        <f>IF(AG$3="","",IF(COUNTIFS(BD!$A$3:$A$5001,AG$3,BD!$B$3:$B$5001,$A$66,BD!$K$3:$K$5001,"&lt;&gt;")=0,"",SUMIFS(BD!$K$3:$K$5001,BD!$A$3:$A$5001,AG$3,BD!$B$3:$B$5001,$A$66)))</f>
        <v/>
      </c>
      <c r="AH68" s="188" t="str">
        <f>IF(AH$3="","",IF(COUNTIFS(BD!$A$3:$A$5001,AH$3,BD!$B$3:$B$5001,$A$66,BD!$K$3:$K$5001,"&lt;&gt;")=0,"",SUMIFS(BD!$K$3:$K$5001,BD!$A$3:$A$5001,AH$3,BD!$B$3:$B$5001,$A$66)))</f>
        <v/>
      </c>
      <c r="AI68" s="188" t="str">
        <f>IF(AI$3="","",IF(COUNTIFS(BD!$A$3:$A$5001,AI$3,BD!$B$3:$B$5001,$A$66,BD!$K$3:$K$5001,"&lt;&gt;")=0,"",SUMIFS(BD!$K$3:$K$5001,BD!$A$3:$A$5001,AI$3,BD!$B$3:$B$5001,$A$66)))</f>
        <v/>
      </c>
      <c r="AJ68" s="189" t="str">
        <f>IF(AJ$3="","",IF(COUNTIFS(BD!$A$3:$A$5001,AJ$3,BD!$B$3:$B$5001,$A$66,BD!$K$3:$K$5001,"&lt;&gt;")=0,"",SUMIFS(BD!$K$3:$K$5001,BD!$A$3:$A$5001,AJ$3,BD!$B$3:$B$5001,$A$66)))</f>
        <v/>
      </c>
      <c r="AK68" s="190" t="str">
        <f>IF(COUNT(F68:AJ68)=0,"",SUM(F68:AJ68))</f>
        <v/>
      </c>
    </row>
    <row r="69" ht="15.75" customHeight="1">
      <c r="A69" s="227"/>
      <c r="B69" s="216"/>
      <c r="C69" s="145" t="inlineStr">
        <is>
          <t xml:space="preserve">Caixas Fechadas</t>
        </is>
      </c>
      <c r="D69" s="146" t="str">
        <f>IFERROR(1/(1/INDEX(BD!$AK$30:$AT$30,MATCH($A$66,BD!$AK$22:$AT$22,0))),"")</f>
        <v/>
      </c>
      <c r="E69" s="147"/>
      <c r="F69" s="148" t="str">
        <f>IF(F$3="","",IF(COUNTIFS(BD!$A$3:$A$5001,F$3,BD!$B$3:$B$5001,$A$66,BD!$J$3:$J$5001,"&lt;&gt;")=0,"",SUMIFS(BD!$J$3:$J$5001,BD!$A$3:$A$5001,F$3,BD!$B$3:$B$5001,$A$66)))</f>
        <v/>
      </c>
      <c r="G69" s="149" t="str">
        <f>IF(G$3="","",IF(COUNTIFS(BD!$A$3:$A$5001,G$3,BD!$B$3:$B$5001,$A$66,BD!$J$3:$J$5001,"&lt;&gt;")=0,"",SUMIFS(BD!$J$3:$J$5001,BD!$A$3:$A$5001,G$3,BD!$B$3:$B$5001,$A$66)))</f>
        <v/>
      </c>
      <c r="H69" s="149" t="str">
        <f>IF(H$3="","",IF(COUNTIFS(BD!$A$3:$A$5001,H$3,BD!$B$3:$B$5001,$A$66,BD!$J$3:$J$5001,"&lt;&gt;")=0,"",SUMIFS(BD!$J$3:$J$5001,BD!$A$3:$A$5001,H$3,BD!$B$3:$B$5001,$A$66)))</f>
        <v/>
      </c>
      <c r="I69" s="149" t="str">
        <f>IF(I$3="","",IF(COUNTIFS(BD!$A$3:$A$5001,I$3,BD!$B$3:$B$5001,$A$66,BD!$J$3:$J$5001,"&lt;&gt;")=0,"",SUMIFS(BD!$J$3:$J$5001,BD!$A$3:$A$5001,I$3,BD!$B$3:$B$5001,$A$66)))</f>
        <v/>
      </c>
      <c r="J69" s="149" t="str">
        <f>IF(J$3="","",IF(COUNTIFS(BD!$A$3:$A$5001,J$3,BD!$B$3:$B$5001,$A$66,BD!$J$3:$J$5001,"&lt;&gt;")=0,"",SUMIFS(BD!$J$3:$J$5001,BD!$A$3:$A$5001,J$3,BD!$B$3:$B$5001,$A$66)))</f>
        <v/>
      </c>
      <c r="K69" s="149" t="str">
        <f>IF(K$3="","",IF(COUNTIFS(BD!$A$3:$A$5001,K$3,BD!$B$3:$B$5001,$A$66,BD!$J$3:$J$5001,"&lt;&gt;")=0,"",SUMIFS(BD!$J$3:$J$5001,BD!$A$3:$A$5001,K$3,BD!$B$3:$B$5001,$A$66)))</f>
        <v/>
      </c>
      <c r="L69" s="149" t="str">
        <f>IF(L$3="","",IF(COUNTIFS(BD!$A$3:$A$5001,L$3,BD!$B$3:$B$5001,$A$66,BD!$J$3:$J$5001,"&lt;&gt;")=0,"",SUMIFS(BD!$J$3:$J$5001,BD!$A$3:$A$5001,L$3,BD!$B$3:$B$5001,$A$66)))</f>
        <v/>
      </c>
      <c r="M69" s="149" t="str">
        <f>IF(M$3="","",IF(COUNTIFS(BD!$A$3:$A$5001,M$3,BD!$B$3:$B$5001,$A$66,BD!$J$3:$J$5001,"&lt;&gt;")=0,"",SUMIFS(BD!$J$3:$J$5001,BD!$A$3:$A$5001,M$3,BD!$B$3:$B$5001,$A$66)))</f>
        <v/>
      </c>
      <c r="N69" s="149" t="str">
        <f>IF(N$3="","",IF(COUNTIFS(BD!$A$3:$A$5001,N$3,BD!$B$3:$B$5001,$A$66,BD!$J$3:$J$5001,"&lt;&gt;")=0,"",SUMIFS(BD!$J$3:$J$5001,BD!$A$3:$A$5001,N$3,BD!$B$3:$B$5001,$A$66)))</f>
        <v/>
      </c>
      <c r="O69" s="149" t="str">
        <f>IF(O$3="","",IF(COUNTIFS(BD!$A$3:$A$5001,O$3,BD!$B$3:$B$5001,$A$66,BD!$J$3:$J$5001,"&lt;&gt;")=0,"",SUMIFS(BD!$J$3:$J$5001,BD!$A$3:$A$5001,O$3,BD!$B$3:$B$5001,$A$66)))</f>
        <v/>
      </c>
      <c r="P69" s="149" t="str">
        <f>IF(P$3="","",IF(COUNTIFS(BD!$A$3:$A$5001,P$3,BD!$B$3:$B$5001,$A$66,BD!$J$3:$J$5001,"&lt;&gt;")=0,"",SUMIFS(BD!$J$3:$J$5001,BD!$A$3:$A$5001,P$3,BD!$B$3:$B$5001,$A$66)))</f>
        <v/>
      </c>
      <c r="Q69" s="149" t="str">
        <f>IF(Q$3="","",IF(COUNTIFS(BD!$A$3:$A$5001,Q$3,BD!$B$3:$B$5001,$A$66,BD!$J$3:$J$5001,"&lt;&gt;")=0,"",SUMIFS(BD!$J$3:$J$5001,BD!$A$3:$A$5001,Q$3,BD!$B$3:$B$5001,$A$66)))</f>
        <v/>
      </c>
      <c r="R69" s="149" t="str">
        <f>IF(R$3="","",IF(COUNTIFS(BD!$A$3:$A$5001,R$3,BD!$B$3:$B$5001,$A$66,BD!$J$3:$J$5001,"&lt;&gt;")=0,"",SUMIFS(BD!$J$3:$J$5001,BD!$A$3:$A$5001,R$3,BD!$B$3:$B$5001,$A$66)))</f>
        <v/>
      </c>
      <c r="S69" s="149" t="str">
        <f>IF(S$3="","",IF(COUNTIFS(BD!$A$3:$A$5001,S$3,BD!$B$3:$B$5001,$A$66,BD!$J$3:$J$5001,"&lt;&gt;")=0,"",SUMIFS(BD!$J$3:$J$5001,BD!$A$3:$A$5001,S$3,BD!$B$3:$B$5001,$A$66)))</f>
        <v/>
      </c>
      <c r="T69" s="149" t="str">
        <f>IF(T$3="","",IF(COUNTIFS(BD!$A$3:$A$5001,T$3,BD!$B$3:$B$5001,$A$66,BD!$J$3:$J$5001,"&lt;&gt;")=0,"",SUMIFS(BD!$J$3:$J$5001,BD!$A$3:$A$5001,T$3,BD!$B$3:$B$5001,$A$66)))</f>
        <v/>
      </c>
      <c r="U69" s="149" t="str">
        <f>IF(U$3="","",IF(COUNTIFS(BD!$A$3:$A$5001,U$3,BD!$B$3:$B$5001,$A$66,BD!$J$3:$J$5001,"&lt;&gt;")=0,"",SUMIFS(BD!$J$3:$J$5001,BD!$A$3:$A$5001,U$3,BD!$B$3:$B$5001,$A$66)))</f>
        <v/>
      </c>
      <c r="V69" s="149" t="str">
        <f>IF(V$3="","",IF(COUNTIFS(BD!$A$3:$A$5001,V$3,BD!$B$3:$B$5001,$A$66,BD!$J$3:$J$5001,"&lt;&gt;")=0,"",SUMIFS(BD!$J$3:$J$5001,BD!$A$3:$A$5001,V$3,BD!$B$3:$B$5001,$A$66)))</f>
        <v/>
      </c>
      <c r="W69" s="149" t="str">
        <f>IF(W$3="","",IF(COUNTIFS(BD!$A$3:$A$5001,W$3,BD!$B$3:$B$5001,$A$66,BD!$J$3:$J$5001,"&lt;&gt;")=0,"",SUMIFS(BD!$J$3:$J$5001,BD!$A$3:$A$5001,W$3,BD!$B$3:$B$5001,$A$66)))</f>
        <v/>
      </c>
      <c r="X69" s="149" t="str">
        <f>IF(X$3="","",IF(COUNTIFS(BD!$A$3:$A$5001,X$3,BD!$B$3:$B$5001,$A$66,BD!$J$3:$J$5001,"&lt;&gt;")=0,"",SUMIFS(BD!$J$3:$J$5001,BD!$A$3:$A$5001,X$3,BD!$B$3:$B$5001,$A$66)))</f>
        <v/>
      </c>
      <c r="Y69" s="149" t="str">
        <f>IF(Y$3="","",IF(COUNTIFS(BD!$A$3:$A$5001,Y$3,BD!$B$3:$B$5001,$A$66,BD!$J$3:$J$5001,"&lt;&gt;")=0,"",SUMIFS(BD!$J$3:$J$5001,BD!$A$3:$A$5001,Y$3,BD!$B$3:$B$5001,$A$66)))</f>
        <v/>
      </c>
      <c r="Z69" s="149" t="str">
        <f>IF(Z$3="","",IF(COUNTIFS(BD!$A$3:$A$5001,Z$3,BD!$B$3:$B$5001,$A$66,BD!$J$3:$J$5001,"&lt;&gt;")=0,"",SUMIFS(BD!$J$3:$J$5001,BD!$A$3:$A$5001,Z$3,BD!$B$3:$B$5001,$A$66)))</f>
        <v/>
      </c>
      <c r="AA69" s="149" t="str">
        <f>IF(AA$3="","",IF(COUNTIFS(BD!$A$3:$A$5001,AA$3,BD!$B$3:$B$5001,$A$66,BD!$J$3:$J$5001,"&lt;&gt;")=0,"",SUMIFS(BD!$J$3:$J$5001,BD!$A$3:$A$5001,AA$3,BD!$B$3:$B$5001,$A$66)))</f>
        <v/>
      </c>
      <c r="AB69" s="149" t="str">
        <f>IF(AB$3="","",IF(COUNTIFS(BD!$A$3:$A$5001,AB$3,BD!$B$3:$B$5001,$A$66,BD!$J$3:$J$5001,"&lt;&gt;")=0,"",SUMIFS(BD!$J$3:$J$5001,BD!$A$3:$A$5001,AB$3,BD!$B$3:$B$5001,$A$66)))</f>
        <v/>
      </c>
      <c r="AC69" s="149" t="str">
        <f>IF(AC$3="","",IF(COUNTIFS(BD!$A$3:$A$5001,AC$3,BD!$B$3:$B$5001,$A$66,BD!$J$3:$J$5001,"&lt;&gt;")=0,"",SUMIFS(BD!$J$3:$J$5001,BD!$A$3:$A$5001,AC$3,BD!$B$3:$B$5001,$A$66)))</f>
        <v/>
      </c>
      <c r="AD69" s="149" t="str">
        <f>IF(AD$3="","",IF(COUNTIFS(BD!$A$3:$A$5001,AD$3,BD!$B$3:$B$5001,$A$66,BD!$J$3:$J$5001,"&lt;&gt;")=0,"",SUMIFS(BD!$J$3:$J$5001,BD!$A$3:$A$5001,AD$3,BD!$B$3:$B$5001,$A$66)))</f>
        <v/>
      </c>
      <c r="AE69" s="149" t="str">
        <f>IF(AE$3="","",IF(COUNTIFS(BD!$A$3:$A$5001,AE$3,BD!$B$3:$B$5001,$A$66,BD!$J$3:$J$5001,"&lt;&gt;")=0,"",SUMIFS(BD!$J$3:$J$5001,BD!$A$3:$A$5001,AE$3,BD!$B$3:$B$5001,$A$66)))</f>
        <v/>
      </c>
      <c r="AF69" s="149" t="str">
        <f>IF(AF$3="","",IF(COUNTIFS(BD!$A$3:$A$5001,AF$3,BD!$B$3:$B$5001,$A$66,BD!$J$3:$J$5001,"&lt;&gt;")=0,"",SUMIFS(BD!$J$3:$J$5001,BD!$A$3:$A$5001,AF$3,BD!$B$3:$B$5001,$A$66)))</f>
        <v/>
      </c>
      <c r="AG69" s="149" t="str">
        <f>IF(AG$3="","",IF(COUNTIFS(BD!$A$3:$A$5001,AG$3,BD!$B$3:$B$5001,$A$66,BD!$J$3:$J$5001,"&lt;&gt;")=0,"",SUMIFS(BD!$J$3:$J$5001,BD!$A$3:$A$5001,AG$3,BD!$B$3:$B$5001,$A$66)))</f>
        <v/>
      </c>
      <c r="AH69" s="149" t="str">
        <f>IF(AH$3="","",IF(COUNTIFS(BD!$A$3:$A$5001,AH$3,BD!$B$3:$B$5001,$A$66,BD!$J$3:$J$5001,"&lt;&gt;")=0,"",SUMIFS(BD!$J$3:$J$5001,BD!$A$3:$A$5001,AH$3,BD!$B$3:$B$5001,$A$66)))</f>
        <v/>
      </c>
      <c r="AI69" s="149" t="str">
        <f>IF(AI$3="","",IF(COUNTIFS(BD!$A$3:$A$5001,AI$3,BD!$B$3:$B$5001,$A$66,BD!$J$3:$J$5001,"&lt;&gt;")=0,"",SUMIFS(BD!$J$3:$J$5001,BD!$A$3:$A$5001,AI$3,BD!$B$3:$B$5001,$A$66)))</f>
        <v/>
      </c>
      <c r="AJ69" s="150" t="str">
        <f>IF(AJ$3="","",IF(COUNTIFS(BD!$A$3:$A$5001,AJ$3,BD!$B$3:$B$5001,$A$66,BD!$J$3:$J$5001,"&lt;&gt;")=0,"",SUMIFS(BD!$J$3:$J$5001,BD!$A$3:$A$5001,AJ$3,BD!$B$3:$B$5001,$A$66)))</f>
        <v/>
      </c>
      <c r="AK69" s="146" t="str">
        <f>IF(COUNT(F69:AJ69)=0,"",SUM(F69:AJ69))</f>
        <v/>
      </c>
    </row>
    <row r="70" ht="15.75" customHeight="1">
      <c r="A70" s="227"/>
      <c r="B70" s="217" t="inlineStr">
        <is>
          <t xml:space="preserve">OUT</t>
        </is>
      </c>
      <c r="C70" s="151" t="inlineStr">
        <is>
          <t xml:space="preserve">Veículos Expedidos</t>
        </is>
      </c>
      <c r="D70" s="152" t="str">
        <f>IFERROR(1/(1/INDEX(BD!$AK$32:$AT$32,MATCH($A$66,BD!$AK$22:$AT$22,0))),"")</f>
        <v/>
      </c>
      <c r="E70" s="153"/>
      <c r="F70" s="154" t="str">
        <f>IF(F$3="","",IF(COUNTIFS(BD!$A$3:$A$5001,F$3,BD!$B$3:$B$5001,$A$66,BD!$L$3:$L$5001,"&lt;&gt;")=0,"",SUMIFS(BD!$L$3:$L$5001,BD!$A$3:$A$5001,F$3,BD!$B$3:$B$5001,$A$66)))</f>
        <v/>
      </c>
      <c r="G70" s="155" t="str">
        <f>IF(G$3="","",IF(COUNTIFS(BD!$A$3:$A$5001,G$3,BD!$B$3:$B$5001,$A$66,BD!$L$3:$L$5001,"&lt;&gt;")=0,"",SUMIFS(BD!$L$3:$L$5001,BD!$A$3:$A$5001,G$3,BD!$B$3:$B$5001,$A$66)))</f>
        <v/>
      </c>
      <c r="H70" s="155" t="str">
        <f>IF(H$3="","",IF(COUNTIFS(BD!$A$3:$A$5001,H$3,BD!$B$3:$B$5001,$A$66,BD!$L$3:$L$5001,"&lt;&gt;")=0,"",SUMIFS(BD!$L$3:$L$5001,BD!$A$3:$A$5001,H$3,BD!$B$3:$B$5001,$A$66)))</f>
        <v/>
      </c>
      <c r="I70" s="155" t="str">
        <f>IF(I$3="","",IF(COUNTIFS(BD!$A$3:$A$5001,I$3,BD!$B$3:$B$5001,$A$66,BD!$L$3:$L$5001,"&lt;&gt;")=0,"",SUMIFS(BD!$L$3:$L$5001,BD!$A$3:$A$5001,I$3,BD!$B$3:$B$5001,$A$66)))</f>
        <v/>
      </c>
      <c r="J70" s="155" t="str">
        <f>IF(J$3="","",IF(COUNTIFS(BD!$A$3:$A$5001,J$3,BD!$B$3:$B$5001,$A$66,BD!$L$3:$L$5001,"&lt;&gt;")=0,"",SUMIFS(BD!$L$3:$L$5001,BD!$A$3:$A$5001,J$3,BD!$B$3:$B$5001,$A$66)))</f>
        <v/>
      </c>
      <c r="K70" s="155" t="str">
        <f>IF(K$3="","",IF(COUNTIFS(BD!$A$3:$A$5001,K$3,BD!$B$3:$B$5001,$A$66,BD!$L$3:$L$5001,"&lt;&gt;")=0,"",SUMIFS(BD!$L$3:$L$5001,BD!$A$3:$A$5001,K$3,BD!$B$3:$B$5001,$A$66)))</f>
        <v/>
      </c>
      <c r="L70" s="155" t="str">
        <f>IF(L$3="","",IF(COUNTIFS(BD!$A$3:$A$5001,L$3,BD!$B$3:$B$5001,$A$66,BD!$L$3:$L$5001,"&lt;&gt;")=0,"",SUMIFS(BD!$L$3:$L$5001,BD!$A$3:$A$5001,L$3,BD!$B$3:$B$5001,$A$66)))</f>
        <v/>
      </c>
      <c r="M70" s="155" t="str">
        <f>IF(M$3="","",IF(COUNTIFS(BD!$A$3:$A$5001,M$3,BD!$B$3:$B$5001,$A$66,BD!$L$3:$L$5001,"&lt;&gt;")=0,"",SUMIFS(BD!$L$3:$L$5001,BD!$A$3:$A$5001,M$3,BD!$B$3:$B$5001,$A$66)))</f>
        <v/>
      </c>
      <c r="N70" s="155" t="str">
        <f>IF(N$3="","",IF(COUNTIFS(BD!$A$3:$A$5001,N$3,BD!$B$3:$B$5001,$A$66,BD!$L$3:$L$5001,"&lt;&gt;")=0,"",SUMIFS(BD!$L$3:$L$5001,BD!$A$3:$A$5001,N$3,BD!$B$3:$B$5001,$A$66)))</f>
        <v/>
      </c>
      <c r="O70" s="155" t="str">
        <f>IF(O$3="","",IF(COUNTIFS(BD!$A$3:$A$5001,O$3,BD!$B$3:$B$5001,$A$66,BD!$L$3:$L$5001,"&lt;&gt;")=0,"",SUMIFS(BD!$L$3:$L$5001,BD!$A$3:$A$5001,O$3,BD!$B$3:$B$5001,$A$66)))</f>
        <v/>
      </c>
      <c r="P70" s="155" t="str">
        <f>IF(P$3="","",IF(COUNTIFS(BD!$A$3:$A$5001,P$3,BD!$B$3:$B$5001,$A$66,BD!$L$3:$L$5001,"&lt;&gt;")=0,"",SUMIFS(BD!$L$3:$L$5001,BD!$A$3:$A$5001,P$3,BD!$B$3:$B$5001,$A$66)))</f>
        <v/>
      </c>
      <c r="Q70" s="155" t="str">
        <f>IF(Q$3="","",IF(COUNTIFS(BD!$A$3:$A$5001,Q$3,BD!$B$3:$B$5001,$A$66,BD!$L$3:$L$5001,"&lt;&gt;")=0,"",SUMIFS(BD!$L$3:$L$5001,BD!$A$3:$A$5001,Q$3,BD!$B$3:$B$5001,$A$66)))</f>
        <v/>
      </c>
      <c r="R70" s="155" t="str">
        <f>IF(R$3="","",IF(COUNTIFS(BD!$A$3:$A$5001,R$3,BD!$B$3:$B$5001,$A$66,BD!$L$3:$L$5001,"&lt;&gt;")=0,"",SUMIFS(BD!$L$3:$L$5001,BD!$A$3:$A$5001,R$3,BD!$B$3:$B$5001,$A$66)))</f>
        <v/>
      </c>
      <c r="S70" s="155" t="str">
        <f>IF(S$3="","",IF(COUNTIFS(BD!$A$3:$A$5001,S$3,BD!$B$3:$B$5001,$A$66,BD!$L$3:$L$5001,"&lt;&gt;")=0,"",SUMIFS(BD!$L$3:$L$5001,BD!$A$3:$A$5001,S$3,BD!$B$3:$B$5001,$A$66)))</f>
        <v/>
      </c>
      <c r="T70" s="155" t="str">
        <f>IF(T$3="","",IF(COUNTIFS(BD!$A$3:$A$5001,T$3,BD!$B$3:$B$5001,$A$66,BD!$L$3:$L$5001,"&lt;&gt;")=0,"",SUMIFS(BD!$L$3:$L$5001,BD!$A$3:$A$5001,T$3,BD!$B$3:$B$5001,$A$66)))</f>
        <v/>
      </c>
      <c r="U70" s="155" t="str">
        <f>IF(U$3="","",IF(COUNTIFS(BD!$A$3:$A$5001,U$3,BD!$B$3:$B$5001,$A$66,BD!$L$3:$L$5001,"&lt;&gt;")=0,"",SUMIFS(BD!$L$3:$L$5001,BD!$A$3:$A$5001,U$3,BD!$B$3:$B$5001,$A$66)))</f>
        <v/>
      </c>
      <c r="V70" s="155" t="str">
        <f>IF(V$3="","",IF(COUNTIFS(BD!$A$3:$A$5001,V$3,BD!$B$3:$B$5001,$A$66,BD!$L$3:$L$5001,"&lt;&gt;")=0,"",SUMIFS(BD!$L$3:$L$5001,BD!$A$3:$A$5001,V$3,BD!$B$3:$B$5001,$A$66)))</f>
        <v/>
      </c>
      <c r="W70" s="155" t="str">
        <f>IF(W$3="","",IF(COUNTIFS(BD!$A$3:$A$5001,W$3,BD!$B$3:$B$5001,$A$66,BD!$L$3:$L$5001,"&lt;&gt;")=0,"",SUMIFS(BD!$L$3:$L$5001,BD!$A$3:$A$5001,W$3,BD!$B$3:$B$5001,$A$66)))</f>
        <v/>
      </c>
      <c r="X70" s="155" t="str">
        <f>IF(X$3="","",IF(COUNTIFS(BD!$A$3:$A$5001,X$3,BD!$B$3:$B$5001,$A$66,BD!$L$3:$L$5001,"&lt;&gt;")=0,"",SUMIFS(BD!$L$3:$L$5001,BD!$A$3:$A$5001,X$3,BD!$B$3:$B$5001,$A$66)))</f>
        <v/>
      </c>
      <c r="Y70" s="155" t="str">
        <f>IF(Y$3="","",IF(COUNTIFS(BD!$A$3:$A$5001,Y$3,BD!$B$3:$B$5001,$A$66,BD!$L$3:$L$5001,"&lt;&gt;")=0,"",SUMIFS(BD!$L$3:$L$5001,BD!$A$3:$A$5001,Y$3,BD!$B$3:$B$5001,$A$66)))</f>
        <v/>
      </c>
      <c r="Z70" s="155" t="str">
        <f>IF(Z$3="","",IF(COUNTIFS(BD!$A$3:$A$5001,Z$3,BD!$B$3:$B$5001,$A$66,BD!$L$3:$L$5001,"&lt;&gt;")=0,"",SUMIFS(BD!$L$3:$L$5001,BD!$A$3:$A$5001,Z$3,BD!$B$3:$B$5001,$A$66)))</f>
        <v/>
      </c>
      <c r="AA70" s="155" t="str">
        <f>IF(AA$3="","",IF(COUNTIFS(BD!$A$3:$A$5001,AA$3,BD!$B$3:$B$5001,$A$66,BD!$L$3:$L$5001,"&lt;&gt;")=0,"",SUMIFS(BD!$L$3:$L$5001,BD!$A$3:$A$5001,AA$3,BD!$B$3:$B$5001,$A$66)))</f>
        <v/>
      </c>
      <c r="AB70" s="155" t="str">
        <f>IF(AB$3="","",IF(COUNTIFS(BD!$A$3:$A$5001,AB$3,BD!$B$3:$B$5001,$A$66,BD!$L$3:$L$5001,"&lt;&gt;")=0,"",SUMIFS(BD!$L$3:$L$5001,BD!$A$3:$A$5001,AB$3,BD!$B$3:$B$5001,$A$66)))</f>
        <v/>
      </c>
      <c r="AC70" s="155" t="str">
        <f>IF(AC$3="","",IF(COUNTIFS(BD!$A$3:$A$5001,AC$3,BD!$B$3:$B$5001,$A$66,BD!$L$3:$L$5001,"&lt;&gt;")=0,"",SUMIFS(BD!$L$3:$L$5001,BD!$A$3:$A$5001,AC$3,BD!$B$3:$B$5001,$A$66)))</f>
        <v/>
      </c>
      <c r="AD70" s="155" t="str">
        <f>IF(AD$3="","",IF(COUNTIFS(BD!$A$3:$A$5001,AD$3,BD!$B$3:$B$5001,$A$66,BD!$L$3:$L$5001,"&lt;&gt;")=0,"",SUMIFS(BD!$L$3:$L$5001,BD!$A$3:$A$5001,AD$3,BD!$B$3:$B$5001,$A$66)))</f>
        <v/>
      </c>
      <c r="AE70" s="155" t="str">
        <f>IF(AE$3="","",IF(COUNTIFS(BD!$A$3:$A$5001,AE$3,BD!$B$3:$B$5001,$A$66,BD!$L$3:$L$5001,"&lt;&gt;")=0,"",SUMIFS(BD!$L$3:$L$5001,BD!$A$3:$A$5001,AE$3,BD!$B$3:$B$5001,$A$66)))</f>
        <v/>
      </c>
      <c r="AF70" s="155" t="str">
        <f>IF(AF$3="","",IF(COUNTIFS(BD!$A$3:$A$5001,AF$3,BD!$B$3:$B$5001,$A$66,BD!$L$3:$L$5001,"&lt;&gt;")=0,"",SUMIFS(BD!$L$3:$L$5001,BD!$A$3:$A$5001,AF$3,BD!$B$3:$B$5001,$A$66)))</f>
        <v/>
      </c>
      <c r="AG70" s="155" t="str">
        <f>IF(AG$3="","",IF(COUNTIFS(BD!$A$3:$A$5001,AG$3,BD!$B$3:$B$5001,$A$66,BD!$L$3:$L$5001,"&lt;&gt;")=0,"",SUMIFS(BD!$L$3:$L$5001,BD!$A$3:$A$5001,AG$3,BD!$B$3:$B$5001,$A$66)))</f>
        <v/>
      </c>
      <c r="AH70" s="155" t="str">
        <f>IF(AH$3="","",IF(COUNTIFS(BD!$A$3:$A$5001,AH$3,BD!$B$3:$B$5001,$A$66,BD!$L$3:$L$5001,"&lt;&gt;")=0,"",SUMIFS(BD!$L$3:$L$5001,BD!$A$3:$A$5001,AH$3,BD!$B$3:$B$5001,$A$66)))</f>
        <v/>
      </c>
      <c r="AI70" s="155" t="str">
        <f>IF(AI$3="","",IF(COUNTIFS(BD!$A$3:$A$5001,AI$3,BD!$B$3:$B$5001,$A$66,BD!$L$3:$L$5001,"&lt;&gt;")=0,"",SUMIFS(BD!$L$3:$L$5001,BD!$A$3:$A$5001,AI$3,BD!$B$3:$B$5001,$A$66)))</f>
        <v/>
      </c>
      <c r="AJ70" s="156" t="str">
        <f>IF(AJ$3="","",IF(COUNTIFS(BD!$A$3:$A$5001,AJ$3,BD!$B$3:$B$5001,$A$66,BD!$L$3:$L$5001,"&lt;&gt;")=0,"",SUMIFS(BD!$L$3:$L$5001,BD!$A$3:$A$5001,AJ$3,BD!$B$3:$B$5001,$A$66)))</f>
        <v/>
      </c>
      <c r="AK70" s="157" t="str">
        <f>IF(COUNT(F70:AJ70)=0,"",SUM(F70:AJ70))</f>
        <v/>
      </c>
    </row>
    <row r="71" ht="15.75" customHeight="1">
      <c r="A71" s="227"/>
      <c r="B71" s="244"/>
      <c r="C71" s="233" t="inlineStr">
        <is>
          <t xml:space="preserve">Pedidos Faturados</t>
        </is>
      </c>
      <c r="D71" s="234" t="str">
        <f>IFERROR(1/(1/INDEX(BD!$AK$34:$AT$34,MATCH($A$66,BD!$AK$22:$AT$22,0))),"")</f>
        <v/>
      </c>
      <c r="E71" s="235"/>
      <c r="F71" s="236" t="str">
        <f>IF(F$3="","",IF(COUNTIFS(BD!$A$3:$A$5001,F$3,BD!$B$3:$B$5001,$A$66,BD!$N$3:$N$5001,"&lt;&gt;")=0,"",SUMIFS(BD!$N$3:$N$5001,BD!$A$3:$A$5001,F$3,BD!$B$3:$B$5001,$A$66)))</f>
        <v/>
      </c>
      <c r="G71" s="237" t="str">
        <f>IF(G$3="","",IF(COUNTIFS(BD!$A$3:$A$5001,G$3,BD!$B$3:$B$5001,$A$66,BD!$N$3:$N$5001,"&lt;&gt;")=0,"",SUMIFS(BD!$N$3:$N$5001,BD!$A$3:$A$5001,G$3,BD!$B$3:$B$5001,$A$66)))</f>
        <v/>
      </c>
      <c r="H71" s="237" t="str">
        <f>IF(H$3="","",IF(COUNTIFS(BD!$A$3:$A$5001,H$3,BD!$B$3:$B$5001,$A$66,BD!$N$3:$N$5001,"&lt;&gt;")=0,"",SUMIFS(BD!$N$3:$N$5001,BD!$A$3:$A$5001,H$3,BD!$B$3:$B$5001,$A$66)))</f>
        <v/>
      </c>
      <c r="I71" s="237" t="str">
        <f>IF(I$3="","",IF(COUNTIFS(BD!$A$3:$A$5001,I$3,BD!$B$3:$B$5001,$A$66,BD!$N$3:$N$5001,"&lt;&gt;")=0,"",SUMIFS(BD!$N$3:$N$5001,BD!$A$3:$A$5001,I$3,BD!$B$3:$B$5001,$A$66)))</f>
        <v/>
      </c>
      <c r="J71" s="237" t="str">
        <f>IF(J$3="","",IF(COUNTIFS(BD!$A$3:$A$5001,J$3,BD!$B$3:$B$5001,$A$66,BD!$N$3:$N$5001,"&lt;&gt;")=0,"",SUMIFS(BD!$N$3:$N$5001,BD!$A$3:$A$5001,J$3,BD!$B$3:$B$5001,$A$66)))</f>
        <v/>
      </c>
      <c r="K71" s="237" t="str">
        <f>IF(K$3="","",IF(COUNTIFS(BD!$A$3:$A$5001,K$3,BD!$B$3:$B$5001,$A$66,BD!$N$3:$N$5001,"&lt;&gt;")=0,"",SUMIFS(BD!$N$3:$N$5001,BD!$A$3:$A$5001,K$3,BD!$B$3:$B$5001,$A$66)))</f>
        <v/>
      </c>
      <c r="L71" s="237" t="str">
        <f>IF(L$3="","",IF(COUNTIFS(BD!$A$3:$A$5001,L$3,BD!$B$3:$B$5001,$A$66,BD!$N$3:$N$5001,"&lt;&gt;")=0,"",SUMIFS(BD!$N$3:$N$5001,BD!$A$3:$A$5001,L$3,BD!$B$3:$B$5001,$A$66)))</f>
        <v/>
      </c>
      <c r="M71" s="237" t="str">
        <f>IF(M$3="","",IF(COUNTIFS(BD!$A$3:$A$5001,M$3,BD!$B$3:$B$5001,$A$66,BD!$N$3:$N$5001,"&lt;&gt;")=0,"",SUMIFS(BD!$N$3:$N$5001,BD!$A$3:$A$5001,M$3,BD!$B$3:$B$5001,$A$66)))</f>
        <v/>
      </c>
      <c r="N71" s="237" t="str">
        <f>IF(N$3="","",IF(COUNTIFS(BD!$A$3:$A$5001,N$3,BD!$B$3:$B$5001,$A$66,BD!$N$3:$N$5001,"&lt;&gt;")=0,"",SUMIFS(BD!$N$3:$N$5001,BD!$A$3:$A$5001,N$3,BD!$B$3:$B$5001,$A$66)))</f>
        <v/>
      </c>
      <c r="O71" s="237" t="str">
        <f>IF(O$3="","",IF(COUNTIFS(BD!$A$3:$A$5001,O$3,BD!$B$3:$B$5001,$A$66,BD!$N$3:$N$5001,"&lt;&gt;")=0,"",SUMIFS(BD!$N$3:$N$5001,BD!$A$3:$A$5001,O$3,BD!$B$3:$B$5001,$A$66)))</f>
        <v/>
      </c>
      <c r="P71" s="237" t="str">
        <f>IF(P$3="","",IF(COUNTIFS(BD!$A$3:$A$5001,P$3,BD!$B$3:$B$5001,$A$66,BD!$N$3:$N$5001,"&lt;&gt;")=0,"",SUMIFS(BD!$N$3:$N$5001,BD!$A$3:$A$5001,P$3,BD!$B$3:$B$5001,$A$66)))</f>
        <v/>
      </c>
      <c r="Q71" s="237" t="str">
        <f>IF(Q$3="","",IF(COUNTIFS(BD!$A$3:$A$5001,Q$3,BD!$B$3:$B$5001,$A$66,BD!$N$3:$N$5001,"&lt;&gt;")=0,"",SUMIFS(BD!$N$3:$N$5001,BD!$A$3:$A$5001,Q$3,BD!$B$3:$B$5001,$A$66)))</f>
        <v/>
      </c>
      <c r="R71" s="237" t="str">
        <f>IF(R$3="","",IF(COUNTIFS(BD!$A$3:$A$5001,R$3,BD!$B$3:$B$5001,$A$66,BD!$N$3:$N$5001,"&lt;&gt;")=0,"",SUMIFS(BD!$N$3:$N$5001,BD!$A$3:$A$5001,R$3,BD!$B$3:$B$5001,$A$66)))</f>
        <v/>
      </c>
      <c r="S71" s="237" t="str">
        <f>IF(S$3="","",IF(COUNTIFS(BD!$A$3:$A$5001,S$3,BD!$B$3:$B$5001,$A$66,BD!$N$3:$N$5001,"&lt;&gt;")=0,"",SUMIFS(BD!$N$3:$N$5001,BD!$A$3:$A$5001,S$3,BD!$B$3:$B$5001,$A$66)))</f>
        <v/>
      </c>
      <c r="T71" s="237" t="str">
        <f>IF(T$3="","",IF(COUNTIFS(BD!$A$3:$A$5001,T$3,BD!$B$3:$B$5001,$A$66,BD!$N$3:$N$5001,"&lt;&gt;")=0,"",SUMIFS(BD!$N$3:$N$5001,BD!$A$3:$A$5001,T$3,BD!$B$3:$B$5001,$A$66)))</f>
        <v/>
      </c>
      <c r="U71" s="237" t="str">
        <f>IF(U$3="","",IF(COUNTIFS(BD!$A$3:$A$5001,U$3,BD!$B$3:$B$5001,$A$66,BD!$N$3:$N$5001,"&lt;&gt;")=0,"",SUMIFS(BD!$N$3:$N$5001,BD!$A$3:$A$5001,U$3,BD!$B$3:$B$5001,$A$66)))</f>
        <v/>
      </c>
      <c r="V71" s="237" t="str">
        <f>IF(V$3="","",IF(COUNTIFS(BD!$A$3:$A$5001,V$3,BD!$B$3:$B$5001,$A$66,BD!$N$3:$N$5001,"&lt;&gt;")=0,"",SUMIFS(BD!$N$3:$N$5001,BD!$A$3:$A$5001,V$3,BD!$B$3:$B$5001,$A$66)))</f>
        <v/>
      </c>
      <c r="W71" s="237" t="str">
        <f>IF(W$3="","",IF(COUNTIFS(BD!$A$3:$A$5001,W$3,BD!$B$3:$B$5001,$A$66,BD!$N$3:$N$5001,"&lt;&gt;")=0,"",SUMIFS(BD!$N$3:$N$5001,BD!$A$3:$A$5001,W$3,BD!$B$3:$B$5001,$A$66)))</f>
        <v/>
      </c>
      <c r="X71" s="237" t="str">
        <f>IF(X$3="","",IF(COUNTIFS(BD!$A$3:$A$5001,X$3,BD!$B$3:$B$5001,$A$66,BD!$N$3:$N$5001,"&lt;&gt;")=0,"",SUMIFS(BD!$N$3:$N$5001,BD!$A$3:$A$5001,X$3,BD!$B$3:$B$5001,$A$66)))</f>
        <v/>
      </c>
      <c r="Y71" s="237" t="str">
        <f>IF(Y$3="","",IF(COUNTIFS(BD!$A$3:$A$5001,Y$3,BD!$B$3:$B$5001,$A$66,BD!$N$3:$N$5001,"&lt;&gt;")=0,"",SUMIFS(BD!$N$3:$N$5001,BD!$A$3:$A$5001,Y$3,BD!$B$3:$B$5001,$A$66)))</f>
        <v/>
      </c>
      <c r="Z71" s="237" t="str">
        <f>IF(Z$3="","",IF(COUNTIFS(BD!$A$3:$A$5001,Z$3,BD!$B$3:$B$5001,$A$66,BD!$N$3:$N$5001,"&lt;&gt;")=0,"",SUMIFS(BD!$N$3:$N$5001,BD!$A$3:$A$5001,Z$3,BD!$B$3:$B$5001,$A$66)))</f>
        <v/>
      </c>
      <c r="AA71" s="237" t="str">
        <f>IF(AA$3="","",IF(COUNTIFS(BD!$A$3:$A$5001,AA$3,BD!$B$3:$B$5001,$A$66,BD!$N$3:$N$5001,"&lt;&gt;")=0,"",SUMIFS(BD!$N$3:$N$5001,BD!$A$3:$A$5001,AA$3,BD!$B$3:$B$5001,$A$66)))</f>
        <v/>
      </c>
      <c r="AB71" s="237" t="str">
        <f>IF(AB$3="","",IF(COUNTIFS(BD!$A$3:$A$5001,AB$3,BD!$B$3:$B$5001,$A$66,BD!$N$3:$N$5001,"&lt;&gt;")=0,"",SUMIFS(BD!$N$3:$N$5001,BD!$A$3:$A$5001,AB$3,BD!$B$3:$B$5001,$A$66)))</f>
        <v/>
      </c>
      <c r="AC71" s="237" t="str">
        <f>IF(AC$3="","",IF(COUNTIFS(BD!$A$3:$A$5001,AC$3,BD!$B$3:$B$5001,$A$66,BD!$N$3:$N$5001,"&lt;&gt;")=0,"",SUMIFS(BD!$N$3:$N$5001,BD!$A$3:$A$5001,AC$3,BD!$B$3:$B$5001,$A$66)))</f>
        <v/>
      </c>
      <c r="AD71" s="237" t="str">
        <f>IF(AD$3="","",IF(COUNTIFS(BD!$A$3:$A$5001,AD$3,BD!$B$3:$B$5001,$A$66,BD!$N$3:$N$5001,"&lt;&gt;")=0,"",SUMIFS(BD!$N$3:$N$5001,BD!$A$3:$A$5001,AD$3,BD!$B$3:$B$5001,$A$66)))</f>
        <v/>
      </c>
      <c r="AE71" s="237" t="str">
        <f>IF(AE$3="","",IF(COUNTIFS(BD!$A$3:$A$5001,AE$3,BD!$B$3:$B$5001,$A$66,BD!$N$3:$N$5001,"&lt;&gt;")=0,"",SUMIFS(BD!$N$3:$N$5001,BD!$A$3:$A$5001,AE$3,BD!$B$3:$B$5001,$A$66)))</f>
        <v/>
      </c>
      <c r="AF71" s="237" t="str">
        <f>IF(AF$3="","",IF(COUNTIFS(BD!$A$3:$A$5001,AF$3,BD!$B$3:$B$5001,$A$66,BD!$N$3:$N$5001,"&lt;&gt;")=0,"",SUMIFS(BD!$N$3:$N$5001,BD!$A$3:$A$5001,AF$3,BD!$B$3:$B$5001,$A$66)))</f>
        <v/>
      </c>
      <c r="AG71" s="237" t="str">
        <f>IF(AG$3="","",IF(COUNTIFS(BD!$A$3:$A$5001,AG$3,BD!$B$3:$B$5001,$A$66,BD!$N$3:$N$5001,"&lt;&gt;")=0,"",SUMIFS(BD!$N$3:$N$5001,BD!$A$3:$A$5001,AG$3,BD!$B$3:$B$5001,$A$66)))</f>
        <v/>
      </c>
      <c r="AH71" s="237" t="str">
        <f>IF(AH$3="","",IF(COUNTIFS(BD!$A$3:$A$5001,AH$3,BD!$B$3:$B$5001,$A$66,BD!$N$3:$N$5001,"&lt;&gt;")=0,"",SUMIFS(BD!$N$3:$N$5001,BD!$A$3:$A$5001,AH$3,BD!$B$3:$B$5001,$A$66)))</f>
        <v/>
      </c>
      <c r="AI71" s="237" t="str">
        <f>IF(AI$3="","",IF(COUNTIFS(BD!$A$3:$A$5001,AI$3,BD!$B$3:$B$5001,$A$66,BD!$N$3:$N$5001,"&lt;&gt;")=0,"",SUMIFS(BD!$N$3:$N$5001,BD!$A$3:$A$5001,AI$3,BD!$B$3:$B$5001,$A$66)))</f>
        <v/>
      </c>
      <c r="AJ71" s="238" t="str">
        <f>IF(AJ$3="","",IF(COUNTIFS(BD!$A$3:$A$5001,AJ$3,BD!$B$3:$B$5001,$A$66,BD!$N$3:$N$5001,"&lt;&gt;")=0,"",SUMIFS(BD!$N$3:$N$5001,BD!$A$3:$A$5001,AJ$3,BD!$B$3:$B$5001,$A$66)))</f>
        <v/>
      </c>
      <c r="AK71" s="239" t="str">
        <f>IF(COUNT(F71:AJ71)=0,"",SUM(F71:AJ71))</f>
        <v/>
      </c>
    </row>
    <row r="72" ht="15.75" customHeight="1">
      <c r="A72" s="227"/>
      <c r="B72" s="244"/>
      <c r="C72" s="233" t="inlineStr">
        <is>
          <t xml:space="preserve">Itens Expedidos</t>
        </is>
      </c>
      <c r="D72" s="234" t="str">
        <f>IFERROR(1/(1/INDEX(BD!$AK$35:$AT$35,MATCH($A$66,BD!$AK$22:$AT$22,0))),"")</f>
        <v/>
      </c>
      <c r="E72" s="235"/>
      <c r="F72" s="236" t="str">
        <f>IF(F$3="","",IF(COUNTIFS(BD!$A$3:$A$5001,F$3,BD!$B$3:$B$5001,$A$66,BD!$O$3:$O$5001,"&lt;&gt;")=0,"",SUMIFS(BD!$O$3:$O$5001,BD!$A$3:$A$5001,F$3,BD!$B$3:$B$5001,$A$66)))</f>
        <v/>
      </c>
      <c r="G72" s="237" t="str">
        <f>IF(G$3="","",IF(COUNTIFS(BD!$A$3:$A$5001,G$3,BD!$B$3:$B$5001,$A$66,BD!$O$3:$O$5001,"&lt;&gt;")=0,"",SUMIFS(BD!$O$3:$O$5001,BD!$A$3:$A$5001,G$3,BD!$B$3:$B$5001,$A$66)))</f>
        <v/>
      </c>
      <c r="H72" s="237" t="str">
        <f>IF(H$3="","",IF(COUNTIFS(BD!$A$3:$A$5001,H$3,BD!$B$3:$B$5001,$A$66,BD!$O$3:$O$5001,"&lt;&gt;")=0,"",SUMIFS(BD!$O$3:$O$5001,BD!$A$3:$A$5001,H$3,BD!$B$3:$B$5001,$A$66)))</f>
        <v/>
      </c>
      <c r="I72" s="237" t="str">
        <f>IF(I$3="","",IF(COUNTIFS(BD!$A$3:$A$5001,I$3,BD!$B$3:$B$5001,$A$66,BD!$O$3:$O$5001,"&lt;&gt;")=0,"",SUMIFS(BD!$O$3:$O$5001,BD!$A$3:$A$5001,I$3,BD!$B$3:$B$5001,$A$66)))</f>
        <v/>
      </c>
      <c r="J72" s="237" t="str">
        <f>IF(J$3="","",IF(COUNTIFS(BD!$A$3:$A$5001,J$3,BD!$B$3:$B$5001,$A$66,BD!$O$3:$O$5001,"&lt;&gt;")=0,"",SUMIFS(BD!$O$3:$O$5001,BD!$A$3:$A$5001,J$3,BD!$B$3:$B$5001,$A$66)))</f>
        <v/>
      </c>
      <c r="K72" s="237" t="str">
        <f>IF(K$3="","",IF(COUNTIFS(BD!$A$3:$A$5001,K$3,BD!$B$3:$B$5001,$A$66,BD!$O$3:$O$5001,"&lt;&gt;")=0,"",SUMIFS(BD!$O$3:$O$5001,BD!$A$3:$A$5001,K$3,BD!$B$3:$B$5001,$A$66)))</f>
        <v/>
      </c>
      <c r="L72" s="237" t="str">
        <f>IF(L$3="","",IF(COUNTIFS(BD!$A$3:$A$5001,L$3,BD!$B$3:$B$5001,$A$66,BD!$O$3:$O$5001,"&lt;&gt;")=0,"",SUMIFS(BD!$O$3:$O$5001,BD!$A$3:$A$5001,L$3,BD!$B$3:$B$5001,$A$66)))</f>
        <v/>
      </c>
      <c r="M72" s="237" t="str">
        <f>IF(M$3="","",IF(COUNTIFS(BD!$A$3:$A$5001,M$3,BD!$B$3:$B$5001,$A$66,BD!$O$3:$O$5001,"&lt;&gt;")=0,"",SUMIFS(BD!$O$3:$O$5001,BD!$A$3:$A$5001,M$3,BD!$B$3:$B$5001,$A$66)))</f>
        <v/>
      </c>
      <c r="N72" s="237" t="str">
        <f>IF(N$3="","",IF(COUNTIFS(BD!$A$3:$A$5001,N$3,BD!$B$3:$B$5001,$A$66,BD!$O$3:$O$5001,"&lt;&gt;")=0,"",SUMIFS(BD!$O$3:$O$5001,BD!$A$3:$A$5001,N$3,BD!$B$3:$B$5001,$A$66)))</f>
        <v/>
      </c>
      <c r="O72" s="237" t="str">
        <f>IF(O$3="","",IF(COUNTIFS(BD!$A$3:$A$5001,O$3,BD!$B$3:$B$5001,$A$66,BD!$O$3:$O$5001,"&lt;&gt;")=0,"",SUMIFS(BD!$O$3:$O$5001,BD!$A$3:$A$5001,O$3,BD!$B$3:$B$5001,$A$66)))</f>
        <v/>
      </c>
      <c r="P72" s="237" t="str">
        <f>IF(P$3="","",IF(COUNTIFS(BD!$A$3:$A$5001,P$3,BD!$B$3:$B$5001,$A$66,BD!$O$3:$O$5001,"&lt;&gt;")=0,"",SUMIFS(BD!$O$3:$O$5001,BD!$A$3:$A$5001,P$3,BD!$B$3:$B$5001,$A$66)))</f>
        <v/>
      </c>
      <c r="Q72" s="237" t="str">
        <f>IF(Q$3="","",IF(COUNTIFS(BD!$A$3:$A$5001,Q$3,BD!$B$3:$B$5001,$A$66,BD!$O$3:$O$5001,"&lt;&gt;")=0,"",SUMIFS(BD!$O$3:$O$5001,BD!$A$3:$A$5001,Q$3,BD!$B$3:$B$5001,$A$66)))</f>
        <v/>
      </c>
      <c r="R72" s="237" t="str">
        <f>IF(R$3="","",IF(COUNTIFS(BD!$A$3:$A$5001,R$3,BD!$B$3:$B$5001,$A$66,BD!$O$3:$O$5001,"&lt;&gt;")=0,"",SUMIFS(BD!$O$3:$O$5001,BD!$A$3:$A$5001,R$3,BD!$B$3:$B$5001,$A$66)))</f>
        <v/>
      </c>
      <c r="S72" s="237" t="str">
        <f>IF(S$3="","",IF(COUNTIFS(BD!$A$3:$A$5001,S$3,BD!$B$3:$B$5001,$A$66,BD!$O$3:$O$5001,"&lt;&gt;")=0,"",SUMIFS(BD!$O$3:$O$5001,BD!$A$3:$A$5001,S$3,BD!$B$3:$B$5001,$A$66)))</f>
        <v/>
      </c>
      <c r="T72" s="237" t="str">
        <f>IF(T$3="","",IF(COUNTIFS(BD!$A$3:$A$5001,T$3,BD!$B$3:$B$5001,$A$66,BD!$O$3:$O$5001,"&lt;&gt;")=0,"",SUMIFS(BD!$O$3:$O$5001,BD!$A$3:$A$5001,T$3,BD!$B$3:$B$5001,$A$66)))</f>
        <v/>
      </c>
      <c r="U72" s="237" t="str">
        <f>IF(U$3="","",IF(COUNTIFS(BD!$A$3:$A$5001,U$3,BD!$B$3:$B$5001,$A$66,BD!$O$3:$O$5001,"&lt;&gt;")=0,"",SUMIFS(BD!$O$3:$O$5001,BD!$A$3:$A$5001,U$3,BD!$B$3:$B$5001,$A$66)))</f>
        <v/>
      </c>
      <c r="V72" s="237" t="str">
        <f>IF(V$3="","",IF(COUNTIFS(BD!$A$3:$A$5001,V$3,BD!$B$3:$B$5001,$A$66,BD!$O$3:$O$5001,"&lt;&gt;")=0,"",SUMIFS(BD!$O$3:$O$5001,BD!$A$3:$A$5001,V$3,BD!$B$3:$B$5001,$A$66)))</f>
        <v/>
      </c>
      <c r="W72" s="237" t="str">
        <f>IF(W$3="","",IF(COUNTIFS(BD!$A$3:$A$5001,W$3,BD!$B$3:$B$5001,$A$66,BD!$O$3:$O$5001,"&lt;&gt;")=0,"",SUMIFS(BD!$O$3:$O$5001,BD!$A$3:$A$5001,W$3,BD!$B$3:$B$5001,$A$66)))</f>
        <v/>
      </c>
      <c r="X72" s="237" t="str">
        <f>IF(X$3="","",IF(COUNTIFS(BD!$A$3:$A$5001,X$3,BD!$B$3:$B$5001,$A$66,BD!$O$3:$O$5001,"&lt;&gt;")=0,"",SUMIFS(BD!$O$3:$O$5001,BD!$A$3:$A$5001,X$3,BD!$B$3:$B$5001,$A$66)))</f>
        <v/>
      </c>
      <c r="Y72" s="237" t="str">
        <f>IF(Y$3="","",IF(COUNTIFS(BD!$A$3:$A$5001,Y$3,BD!$B$3:$B$5001,$A$66,BD!$O$3:$O$5001,"&lt;&gt;")=0,"",SUMIFS(BD!$O$3:$O$5001,BD!$A$3:$A$5001,Y$3,BD!$B$3:$B$5001,$A$66)))</f>
        <v/>
      </c>
      <c r="Z72" s="237" t="str">
        <f>IF(Z$3="","",IF(COUNTIFS(BD!$A$3:$A$5001,Z$3,BD!$B$3:$B$5001,$A$66,BD!$O$3:$O$5001,"&lt;&gt;")=0,"",SUMIFS(BD!$O$3:$O$5001,BD!$A$3:$A$5001,Z$3,BD!$B$3:$B$5001,$A$66)))</f>
        <v/>
      </c>
      <c r="AA72" s="237" t="str">
        <f>IF(AA$3="","",IF(COUNTIFS(BD!$A$3:$A$5001,AA$3,BD!$B$3:$B$5001,$A$66,BD!$O$3:$O$5001,"&lt;&gt;")=0,"",SUMIFS(BD!$O$3:$O$5001,BD!$A$3:$A$5001,AA$3,BD!$B$3:$B$5001,$A$66)))</f>
        <v/>
      </c>
      <c r="AB72" s="237" t="str">
        <f>IF(AB$3="","",IF(COUNTIFS(BD!$A$3:$A$5001,AB$3,BD!$B$3:$B$5001,$A$66,BD!$O$3:$O$5001,"&lt;&gt;")=0,"",SUMIFS(BD!$O$3:$O$5001,BD!$A$3:$A$5001,AB$3,BD!$B$3:$B$5001,$A$66)))</f>
        <v/>
      </c>
      <c r="AC72" s="237" t="str">
        <f>IF(AC$3="","",IF(COUNTIFS(BD!$A$3:$A$5001,AC$3,BD!$B$3:$B$5001,$A$66,BD!$O$3:$O$5001,"&lt;&gt;")=0,"",SUMIFS(BD!$O$3:$O$5001,BD!$A$3:$A$5001,AC$3,BD!$B$3:$B$5001,$A$66)))</f>
        <v/>
      </c>
      <c r="AD72" s="237" t="str">
        <f>IF(AD$3="","",IF(COUNTIFS(BD!$A$3:$A$5001,AD$3,BD!$B$3:$B$5001,$A$66,BD!$O$3:$O$5001,"&lt;&gt;")=0,"",SUMIFS(BD!$O$3:$O$5001,BD!$A$3:$A$5001,AD$3,BD!$B$3:$B$5001,$A$66)))</f>
        <v/>
      </c>
      <c r="AE72" s="237" t="str">
        <f>IF(AE$3="","",IF(COUNTIFS(BD!$A$3:$A$5001,AE$3,BD!$B$3:$B$5001,$A$66,BD!$O$3:$O$5001,"&lt;&gt;")=0,"",SUMIFS(BD!$O$3:$O$5001,BD!$A$3:$A$5001,AE$3,BD!$B$3:$B$5001,$A$66)))</f>
        <v/>
      </c>
      <c r="AF72" s="237" t="str">
        <f>IF(AF$3="","",IF(COUNTIFS(BD!$A$3:$A$5001,AF$3,BD!$B$3:$B$5001,$A$66,BD!$O$3:$O$5001,"&lt;&gt;")=0,"",SUMIFS(BD!$O$3:$O$5001,BD!$A$3:$A$5001,AF$3,BD!$B$3:$B$5001,$A$66)))</f>
        <v/>
      </c>
      <c r="AG72" s="237" t="str">
        <f>IF(AG$3="","",IF(COUNTIFS(BD!$A$3:$A$5001,AG$3,BD!$B$3:$B$5001,$A$66,BD!$O$3:$O$5001,"&lt;&gt;")=0,"",SUMIFS(BD!$O$3:$O$5001,BD!$A$3:$A$5001,AG$3,BD!$B$3:$B$5001,$A$66)))</f>
        <v/>
      </c>
      <c r="AH72" s="237" t="str">
        <f>IF(AH$3="","",IF(COUNTIFS(BD!$A$3:$A$5001,AH$3,BD!$B$3:$B$5001,$A$66,BD!$O$3:$O$5001,"&lt;&gt;")=0,"",SUMIFS(BD!$O$3:$O$5001,BD!$A$3:$A$5001,AH$3,BD!$B$3:$B$5001,$A$66)))</f>
        <v/>
      </c>
      <c r="AI72" s="237" t="str">
        <f>IF(AI$3="","",IF(COUNTIFS(BD!$A$3:$A$5001,AI$3,BD!$B$3:$B$5001,$A$66,BD!$O$3:$O$5001,"&lt;&gt;")=0,"",SUMIFS(BD!$O$3:$O$5001,BD!$A$3:$A$5001,AI$3,BD!$B$3:$B$5001,$A$66)))</f>
        <v/>
      </c>
      <c r="AJ72" s="238" t="str">
        <f>IF(AJ$3="","",IF(COUNTIFS(BD!$A$3:$A$5001,AJ$3,BD!$B$3:$B$5001,$A$66,BD!$O$3:$O$5001,"&lt;&gt;")=0,"",SUMIFS(BD!$O$3:$O$5001,BD!$A$3:$A$5001,AJ$3,BD!$B$3:$B$5001,$A$66)))</f>
        <v/>
      </c>
      <c r="AK72" s="239" t="str">
        <f>IF(COUNT(F72:AJ72)=0,"",SUM(F72:AJ72))</f>
        <v/>
      </c>
    </row>
    <row r="73" ht="15.75" customHeight="1">
      <c r="A73" s="227"/>
      <c r="B73" s="218"/>
      <c r="C73" s="158" t="inlineStr">
        <is>
          <t xml:space="preserve">Pallets Movimentados</t>
        </is>
      </c>
      <c r="D73" s="159" t="str">
        <f>IFERROR(1/(1/INDEX(BD!$AK$39:$AT$39,MATCH($A$66,BD!$AK$22:$AT$22,0))),"")</f>
        <v/>
      </c>
      <c r="E73" s="160"/>
      <c r="F73" s="161" t="str">
        <f>IF(F$3="","",IF(COUNTIFS(BD!$A$3:$A$5001,F$3,BD!$B$3:$B$5001,$A$66,BD!$S$3:$S$5001,"&lt;&gt;")=0,"",SUMIFS(BD!$S$3:$S$5001,BD!$A$3:$A$5001,F$3,BD!$B$3:$B$5001,$A$66)))</f>
        <v/>
      </c>
      <c r="G73" s="162" t="str">
        <f>IF(G$3="","",IF(COUNTIFS(BD!$A$3:$A$5001,G$3,BD!$B$3:$B$5001,$A$66,BD!$S$3:$S$5001,"&lt;&gt;")=0,"",SUMIFS(BD!$S$3:$S$5001,BD!$A$3:$A$5001,G$3,BD!$B$3:$B$5001,$A$66)))</f>
        <v/>
      </c>
      <c r="H73" s="162" t="str">
        <f>IF(H$3="","",IF(COUNTIFS(BD!$A$3:$A$5001,H$3,BD!$B$3:$B$5001,$A$66,BD!$S$3:$S$5001,"&lt;&gt;")=0,"",SUMIFS(BD!$S$3:$S$5001,BD!$A$3:$A$5001,H$3,BD!$B$3:$B$5001,$A$66)))</f>
        <v/>
      </c>
      <c r="I73" s="162" t="str">
        <f>IF(I$3="","",IF(COUNTIFS(BD!$A$3:$A$5001,I$3,BD!$B$3:$B$5001,$A$66,BD!$S$3:$S$5001,"&lt;&gt;")=0,"",SUMIFS(BD!$S$3:$S$5001,BD!$A$3:$A$5001,I$3,BD!$B$3:$B$5001,$A$66)))</f>
        <v/>
      </c>
      <c r="J73" s="162" t="str">
        <f>IF(J$3="","",IF(COUNTIFS(BD!$A$3:$A$5001,J$3,BD!$B$3:$B$5001,$A$66,BD!$S$3:$S$5001,"&lt;&gt;")=0,"",SUMIFS(BD!$S$3:$S$5001,BD!$A$3:$A$5001,J$3,BD!$B$3:$B$5001,$A$66)))</f>
        <v/>
      </c>
      <c r="K73" s="162" t="str">
        <f>IF(K$3="","",IF(COUNTIFS(BD!$A$3:$A$5001,K$3,BD!$B$3:$B$5001,$A$66,BD!$S$3:$S$5001,"&lt;&gt;")=0,"",SUMIFS(BD!$S$3:$S$5001,BD!$A$3:$A$5001,K$3,BD!$B$3:$B$5001,$A$66)))</f>
        <v/>
      </c>
      <c r="L73" s="162" t="str">
        <f>IF(L$3="","",IF(COUNTIFS(BD!$A$3:$A$5001,L$3,BD!$B$3:$B$5001,$A$66,BD!$S$3:$S$5001,"&lt;&gt;")=0,"",SUMIFS(BD!$S$3:$S$5001,BD!$A$3:$A$5001,L$3,BD!$B$3:$B$5001,$A$66)))</f>
        <v/>
      </c>
      <c r="M73" s="162" t="str">
        <f>IF(M$3="","",IF(COUNTIFS(BD!$A$3:$A$5001,M$3,BD!$B$3:$B$5001,$A$66,BD!$S$3:$S$5001,"&lt;&gt;")=0,"",SUMIFS(BD!$S$3:$S$5001,BD!$A$3:$A$5001,M$3,BD!$B$3:$B$5001,$A$66)))</f>
        <v/>
      </c>
      <c r="N73" s="162" t="str">
        <f>IF(N$3="","",IF(COUNTIFS(BD!$A$3:$A$5001,N$3,BD!$B$3:$B$5001,$A$66,BD!$S$3:$S$5001,"&lt;&gt;")=0,"",SUMIFS(BD!$S$3:$S$5001,BD!$A$3:$A$5001,N$3,BD!$B$3:$B$5001,$A$66)))</f>
        <v/>
      </c>
      <c r="O73" s="162" t="str">
        <f>IF(O$3="","",IF(COUNTIFS(BD!$A$3:$A$5001,O$3,BD!$B$3:$B$5001,$A$66,BD!$S$3:$S$5001,"&lt;&gt;")=0,"",SUMIFS(BD!$S$3:$S$5001,BD!$A$3:$A$5001,O$3,BD!$B$3:$B$5001,$A$66)))</f>
        <v/>
      </c>
      <c r="P73" s="162" t="str">
        <f>IF(P$3="","",IF(COUNTIFS(BD!$A$3:$A$5001,P$3,BD!$B$3:$B$5001,$A$66,BD!$S$3:$S$5001,"&lt;&gt;")=0,"",SUMIFS(BD!$S$3:$S$5001,BD!$A$3:$A$5001,P$3,BD!$B$3:$B$5001,$A$66)))</f>
        <v/>
      </c>
      <c r="Q73" s="162" t="str">
        <f>IF(Q$3="","",IF(COUNTIFS(BD!$A$3:$A$5001,Q$3,BD!$B$3:$B$5001,$A$66,BD!$S$3:$S$5001,"&lt;&gt;")=0,"",SUMIFS(BD!$S$3:$S$5001,BD!$A$3:$A$5001,Q$3,BD!$B$3:$B$5001,$A$66)))</f>
        <v/>
      </c>
      <c r="R73" s="162" t="str">
        <f>IF(R$3="","",IF(COUNTIFS(BD!$A$3:$A$5001,R$3,BD!$B$3:$B$5001,$A$66,BD!$S$3:$S$5001,"&lt;&gt;")=0,"",SUMIFS(BD!$S$3:$S$5001,BD!$A$3:$A$5001,R$3,BD!$B$3:$B$5001,$A$66)))</f>
        <v/>
      </c>
      <c r="S73" s="162" t="str">
        <f>IF(S$3="","",IF(COUNTIFS(BD!$A$3:$A$5001,S$3,BD!$B$3:$B$5001,$A$66,BD!$S$3:$S$5001,"&lt;&gt;")=0,"",SUMIFS(BD!$S$3:$S$5001,BD!$A$3:$A$5001,S$3,BD!$B$3:$B$5001,$A$66)))</f>
        <v/>
      </c>
      <c r="T73" s="162" t="str">
        <f>IF(T$3="","",IF(COUNTIFS(BD!$A$3:$A$5001,T$3,BD!$B$3:$B$5001,$A$66,BD!$S$3:$S$5001,"&lt;&gt;")=0,"",SUMIFS(BD!$S$3:$S$5001,BD!$A$3:$A$5001,T$3,BD!$B$3:$B$5001,$A$66)))</f>
        <v/>
      </c>
      <c r="U73" s="162" t="str">
        <f>IF(U$3="","",IF(COUNTIFS(BD!$A$3:$A$5001,U$3,BD!$B$3:$B$5001,$A$66,BD!$S$3:$S$5001,"&lt;&gt;")=0,"",SUMIFS(BD!$S$3:$S$5001,BD!$A$3:$A$5001,U$3,BD!$B$3:$B$5001,$A$66)))</f>
        <v/>
      </c>
      <c r="V73" s="162" t="str">
        <f>IF(V$3="","",IF(COUNTIFS(BD!$A$3:$A$5001,V$3,BD!$B$3:$B$5001,$A$66,BD!$S$3:$S$5001,"&lt;&gt;")=0,"",SUMIFS(BD!$S$3:$S$5001,BD!$A$3:$A$5001,V$3,BD!$B$3:$B$5001,$A$66)))</f>
        <v/>
      </c>
      <c r="W73" s="162" t="str">
        <f>IF(W$3="","",IF(COUNTIFS(BD!$A$3:$A$5001,W$3,BD!$B$3:$B$5001,$A$66,BD!$S$3:$S$5001,"&lt;&gt;")=0,"",SUMIFS(BD!$S$3:$S$5001,BD!$A$3:$A$5001,W$3,BD!$B$3:$B$5001,$A$66)))</f>
        <v/>
      </c>
      <c r="X73" s="162" t="str">
        <f>IF(X$3="","",IF(COUNTIFS(BD!$A$3:$A$5001,X$3,BD!$B$3:$B$5001,$A$66,BD!$S$3:$S$5001,"&lt;&gt;")=0,"",SUMIFS(BD!$S$3:$S$5001,BD!$A$3:$A$5001,X$3,BD!$B$3:$B$5001,$A$66)))</f>
        <v/>
      </c>
      <c r="Y73" s="162" t="str">
        <f>IF(Y$3="","",IF(COUNTIFS(BD!$A$3:$A$5001,Y$3,BD!$B$3:$B$5001,$A$66,BD!$S$3:$S$5001,"&lt;&gt;")=0,"",SUMIFS(BD!$S$3:$S$5001,BD!$A$3:$A$5001,Y$3,BD!$B$3:$B$5001,$A$66)))</f>
        <v/>
      </c>
      <c r="Z73" s="162" t="str">
        <f>IF(Z$3="","",IF(COUNTIFS(BD!$A$3:$A$5001,Z$3,BD!$B$3:$B$5001,$A$66,BD!$S$3:$S$5001,"&lt;&gt;")=0,"",SUMIFS(BD!$S$3:$S$5001,BD!$A$3:$A$5001,Z$3,BD!$B$3:$B$5001,$A$66)))</f>
        <v/>
      </c>
      <c r="AA73" s="162" t="str">
        <f>IF(AA$3="","",IF(COUNTIFS(BD!$A$3:$A$5001,AA$3,BD!$B$3:$B$5001,$A$66,BD!$S$3:$S$5001,"&lt;&gt;")=0,"",SUMIFS(BD!$S$3:$S$5001,BD!$A$3:$A$5001,AA$3,BD!$B$3:$B$5001,$A$66)))</f>
        <v/>
      </c>
      <c r="AB73" s="162" t="str">
        <f>IF(AB$3="","",IF(COUNTIFS(BD!$A$3:$A$5001,AB$3,BD!$B$3:$B$5001,$A$66,BD!$S$3:$S$5001,"&lt;&gt;")=0,"",SUMIFS(BD!$S$3:$S$5001,BD!$A$3:$A$5001,AB$3,BD!$B$3:$B$5001,$A$66)))</f>
        <v/>
      </c>
      <c r="AC73" s="162" t="str">
        <f>IF(AC$3="","",IF(COUNTIFS(BD!$A$3:$A$5001,AC$3,BD!$B$3:$B$5001,$A$66,BD!$S$3:$S$5001,"&lt;&gt;")=0,"",SUMIFS(BD!$S$3:$S$5001,BD!$A$3:$A$5001,AC$3,BD!$B$3:$B$5001,$A$66)))</f>
        <v/>
      </c>
      <c r="AD73" s="162" t="str">
        <f>IF(AD$3="","",IF(COUNTIFS(BD!$A$3:$A$5001,AD$3,BD!$B$3:$B$5001,$A$66,BD!$S$3:$S$5001,"&lt;&gt;")=0,"",SUMIFS(BD!$S$3:$S$5001,BD!$A$3:$A$5001,AD$3,BD!$B$3:$B$5001,$A$66)))</f>
        <v/>
      </c>
      <c r="AE73" s="162" t="str">
        <f>IF(AE$3="","",IF(COUNTIFS(BD!$A$3:$A$5001,AE$3,BD!$B$3:$B$5001,$A$66,BD!$S$3:$S$5001,"&lt;&gt;")=0,"",SUMIFS(BD!$S$3:$S$5001,BD!$A$3:$A$5001,AE$3,BD!$B$3:$B$5001,$A$66)))</f>
        <v/>
      </c>
      <c r="AF73" s="162" t="str">
        <f>IF(AF$3="","",IF(COUNTIFS(BD!$A$3:$A$5001,AF$3,BD!$B$3:$B$5001,$A$66,BD!$S$3:$S$5001,"&lt;&gt;")=0,"",SUMIFS(BD!$S$3:$S$5001,BD!$A$3:$A$5001,AF$3,BD!$B$3:$B$5001,$A$66)))</f>
        <v/>
      </c>
      <c r="AG73" s="162" t="str">
        <f>IF(AG$3="","",IF(COUNTIFS(BD!$A$3:$A$5001,AG$3,BD!$B$3:$B$5001,$A$66,BD!$S$3:$S$5001,"&lt;&gt;")=0,"",SUMIFS(BD!$S$3:$S$5001,BD!$A$3:$A$5001,AG$3,BD!$B$3:$B$5001,$A$66)))</f>
        <v/>
      </c>
      <c r="AH73" s="162" t="str">
        <f>IF(AH$3="","",IF(COUNTIFS(BD!$A$3:$A$5001,AH$3,BD!$B$3:$B$5001,$A$66,BD!$S$3:$S$5001,"&lt;&gt;")=0,"",SUMIFS(BD!$S$3:$S$5001,BD!$A$3:$A$5001,AH$3,BD!$B$3:$B$5001,$A$66)))</f>
        <v/>
      </c>
      <c r="AI73" s="162" t="str">
        <f>IF(AI$3="","",IF(COUNTIFS(BD!$A$3:$A$5001,AI$3,BD!$B$3:$B$5001,$A$66,BD!$S$3:$S$5001,"&lt;&gt;")=0,"",SUMIFS(BD!$S$3:$S$5001,BD!$A$3:$A$5001,AI$3,BD!$B$3:$B$5001,$A$66)))</f>
        <v/>
      </c>
      <c r="AJ73" s="163" t="str">
        <f>IF(AJ$3="","",IF(COUNTIFS(BD!$A$3:$A$5001,AJ$3,BD!$B$3:$B$5001,$A$66,BD!$S$3:$S$5001,"&lt;&gt;")=0,"",SUMIFS(BD!$S$3:$S$5001,BD!$A$3:$A$5001,AJ$3,BD!$B$3:$B$5001,$A$66)))</f>
        <v/>
      </c>
      <c r="AK73" s="159" t="str">
        <f>IF(COUNT(F73:AJ73)=0,"",SUM(F73:AJ73))</f>
        <v/>
      </c>
    </row>
    <row r="74" ht="15.75" customHeight="1">
      <c r="A74" s="227"/>
      <c r="B74" s="219" t="inlineStr">
        <is>
          <t xml:space="preserve">NC</t>
        </is>
      </c>
      <c r="C74" s="164" t="inlineStr">
        <is>
          <t xml:space="preserve">Incidentes</t>
        </is>
      </c>
      <c r="D74" s="165" t="str">
        <f>IFERROR(1/(1/INDEX(BD!$AK$41:$AT$41,MATCH($A$66,BD!$AK$22:$AT$22,0))),"")</f>
        <v/>
      </c>
      <c r="E74" s="166"/>
      <c r="F74" s="167" t="str">
        <f>IF(F$3="","",IF(COUNTIFS(BD!$A$3:$A$5001,F$3,BD!$B$3:$B$5001,$A$66,BD!$U$3:$U$5001,"&lt;&gt;")=0,"",SUMIFS(BD!$U$3:$U$5001,BD!$A$3:$A$5001,F$3,BD!$B$3:$B$5001,$A$66)))</f>
        <v/>
      </c>
      <c r="G74" s="168" t="str">
        <f>IF(G$3="","",IF(COUNTIFS(BD!$A$3:$A$5001,G$3,BD!$B$3:$B$5001,$A$66,BD!$U$3:$U$5001,"&lt;&gt;")=0,"",SUMIFS(BD!$U$3:$U$5001,BD!$A$3:$A$5001,G$3,BD!$B$3:$B$5001,$A$66)))</f>
        <v/>
      </c>
      <c r="H74" s="168" t="str">
        <f>IF(H$3="","",IF(COUNTIFS(BD!$A$3:$A$5001,H$3,BD!$B$3:$B$5001,$A$66,BD!$U$3:$U$5001,"&lt;&gt;")=0,"",SUMIFS(BD!$U$3:$U$5001,BD!$A$3:$A$5001,H$3,BD!$B$3:$B$5001,$A$66)))</f>
        <v/>
      </c>
      <c r="I74" s="168" t="str">
        <f>IF(I$3="","",IF(COUNTIFS(BD!$A$3:$A$5001,I$3,BD!$B$3:$B$5001,$A$66,BD!$U$3:$U$5001,"&lt;&gt;")=0,"",SUMIFS(BD!$U$3:$U$5001,BD!$A$3:$A$5001,I$3,BD!$B$3:$B$5001,$A$66)))</f>
        <v/>
      </c>
      <c r="J74" s="168" t="str">
        <f>IF(J$3="","",IF(COUNTIFS(BD!$A$3:$A$5001,J$3,BD!$B$3:$B$5001,$A$66,BD!$U$3:$U$5001,"&lt;&gt;")=0,"",SUMIFS(BD!$U$3:$U$5001,BD!$A$3:$A$5001,J$3,BD!$B$3:$B$5001,$A$66)))</f>
        <v/>
      </c>
      <c r="K74" s="168" t="str">
        <f>IF(K$3="","",IF(COUNTIFS(BD!$A$3:$A$5001,K$3,BD!$B$3:$B$5001,$A$66,BD!$U$3:$U$5001,"&lt;&gt;")=0,"",SUMIFS(BD!$U$3:$U$5001,BD!$A$3:$A$5001,K$3,BD!$B$3:$B$5001,$A$66)))</f>
        <v/>
      </c>
      <c r="L74" s="168" t="str">
        <f>IF(L$3="","",IF(COUNTIFS(BD!$A$3:$A$5001,L$3,BD!$B$3:$B$5001,$A$66,BD!$U$3:$U$5001,"&lt;&gt;")=0,"",SUMIFS(BD!$U$3:$U$5001,BD!$A$3:$A$5001,L$3,BD!$B$3:$B$5001,$A$66)))</f>
        <v/>
      </c>
      <c r="M74" s="168" t="str">
        <f>IF(M$3="","",IF(COUNTIFS(BD!$A$3:$A$5001,M$3,BD!$B$3:$B$5001,$A$66,BD!$U$3:$U$5001,"&lt;&gt;")=0,"",SUMIFS(BD!$U$3:$U$5001,BD!$A$3:$A$5001,M$3,BD!$B$3:$B$5001,$A$66)))</f>
        <v/>
      </c>
      <c r="N74" s="168" t="str">
        <f>IF(N$3="","",IF(COUNTIFS(BD!$A$3:$A$5001,N$3,BD!$B$3:$B$5001,$A$66,BD!$U$3:$U$5001,"&lt;&gt;")=0,"",SUMIFS(BD!$U$3:$U$5001,BD!$A$3:$A$5001,N$3,BD!$B$3:$B$5001,$A$66)))</f>
        <v/>
      </c>
      <c r="O74" s="168" t="str">
        <f>IF(O$3="","",IF(COUNTIFS(BD!$A$3:$A$5001,O$3,BD!$B$3:$B$5001,$A$66,BD!$U$3:$U$5001,"&lt;&gt;")=0,"",SUMIFS(BD!$U$3:$U$5001,BD!$A$3:$A$5001,O$3,BD!$B$3:$B$5001,$A$66)))</f>
        <v/>
      </c>
      <c r="P74" s="168" t="str">
        <f>IF(P$3="","",IF(COUNTIFS(BD!$A$3:$A$5001,P$3,BD!$B$3:$B$5001,$A$66,BD!$U$3:$U$5001,"&lt;&gt;")=0,"",SUMIFS(BD!$U$3:$U$5001,BD!$A$3:$A$5001,P$3,BD!$B$3:$B$5001,$A$66)))</f>
        <v/>
      </c>
      <c r="Q74" s="168" t="str">
        <f>IF(Q$3="","",IF(COUNTIFS(BD!$A$3:$A$5001,Q$3,BD!$B$3:$B$5001,$A$66,BD!$U$3:$U$5001,"&lt;&gt;")=0,"",SUMIFS(BD!$U$3:$U$5001,BD!$A$3:$A$5001,Q$3,BD!$B$3:$B$5001,$A$66)))</f>
        <v/>
      </c>
      <c r="R74" s="168" t="str">
        <f>IF(R$3="","",IF(COUNTIFS(BD!$A$3:$A$5001,R$3,BD!$B$3:$B$5001,$A$66,BD!$U$3:$U$5001,"&lt;&gt;")=0,"",SUMIFS(BD!$U$3:$U$5001,BD!$A$3:$A$5001,R$3,BD!$B$3:$B$5001,$A$66)))</f>
        <v/>
      </c>
      <c r="S74" s="168" t="str">
        <f>IF(S$3="","",IF(COUNTIFS(BD!$A$3:$A$5001,S$3,BD!$B$3:$B$5001,$A$66,BD!$U$3:$U$5001,"&lt;&gt;")=0,"",SUMIFS(BD!$U$3:$U$5001,BD!$A$3:$A$5001,S$3,BD!$B$3:$B$5001,$A$66)))</f>
        <v/>
      </c>
      <c r="T74" s="168" t="str">
        <f>IF(T$3="","",IF(COUNTIFS(BD!$A$3:$A$5001,T$3,BD!$B$3:$B$5001,$A$66,BD!$U$3:$U$5001,"&lt;&gt;")=0,"",SUMIFS(BD!$U$3:$U$5001,BD!$A$3:$A$5001,T$3,BD!$B$3:$B$5001,$A$66)))</f>
        <v/>
      </c>
      <c r="U74" s="168" t="str">
        <f>IF(U$3="","",IF(COUNTIFS(BD!$A$3:$A$5001,U$3,BD!$B$3:$B$5001,$A$66,BD!$U$3:$U$5001,"&lt;&gt;")=0,"",SUMIFS(BD!$U$3:$U$5001,BD!$A$3:$A$5001,U$3,BD!$B$3:$B$5001,$A$66)))</f>
        <v/>
      </c>
      <c r="V74" s="168" t="str">
        <f>IF(V$3="","",IF(COUNTIFS(BD!$A$3:$A$5001,V$3,BD!$B$3:$B$5001,$A$66,BD!$U$3:$U$5001,"&lt;&gt;")=0,"",SUMIFS(BD!$U$3:$U$5001,BD!$A$3:$A$5001,V$3,BD!$B$3:$B$5001,$A$66)))</f>
        <v/>
      </c>
      <c r="W74" s="168" t="str">
        <f>IF(W$3="","",IF(COUNTIFS(BD!$A$3:$A$5001,W$3,BD!$B$3:$B$5001,$A$66,BD!$U$3:$U$5001,"&lt;&gt;")=0,"",SUMIFS(BD!$U$3:$U$5001,BD!$A$3:$A$5001,W$3,BD!$B$3:$B$5001,$A$66)))</f>
        <v/>
      </c>
      <c r="X74" s="168" t="str">
        <f>IF(X$3="","",IF(COUNTIFS(BD!$A$3:$A$5001,X$3,BD!$B$3:$B$5001,$A$66,BD!$U$3:$U$5001,"&lt;&gt;")=0,"",SUMIFS(BD!$U$3:$U$5001,BD!$A$3:$A$5001,X$3,BD!$B$3:$B$5001,$A$66)))</f>
        <v/>
      </c>
      <c r="Y74" s="168" t="str">
        <f>IF(Y$3="","",IF(COUNTIFS(BD!$A$3:$A$5001,Y$3,BD!$B$3:$B$5001,$A$66,BD!$U$3:$U$5001,"&lt;&gt;")=0,"",SUMIFS(BD!$U$3:$U$5001,BD!$A$3:$A$5001,Y$3,BD!$B$3:$B$5001,$A$66)))</f>
        <v/>
      </c>
      <c r="Z74" s="168" t="str">
        <f>IF(Z$3="","",IF(COUNTIFS(BD!$A$3:$A$5001,Z$3,BD!$B$3:$B$5001,$A$66,BD!$U$3:$U$5001,"&lt;&gt;")=0,"",SUMIFS(BD!$U$3:$U$5001,BD!$A$3:$A$5001,Z$3,BD!$B$3:$B$5001,$A$66)))</f>
        <v/>
      </c>
      <c r="AA74" s="168" t="str">
        <f>IF(AA$3="","",IF(COUNTIFS(BD!$A$3:$A$5001,AA$3,BD!$B$3:$B$5001,$A$66,BD!$U$3:$U$5001,"&lt;&gt;")=0,"",SUMIFS(BD!$U$3:$U$5001,BD!$A$3:$A$5001,AA$3,BD!$B$3:$B$5001,$A$66)))</f>
        <v/>
      </c>
      <c r="AB74" s="168" t="str">
        <f>IF(AB$3="","",IF(COUNTIFS(BD!$A$3:$A$5001,AB$3,BD!$B$3:$B$5001,$A$66,BD!$U$3:$U$5001,"&lt;&gt;")=0,"",SUMIFS(BD!$U$3:$U$5001,BD!$A$3:$A$5001,AB$3,BD!$B$3:$B$5001,$A$66)))</f>
        <v/>
      </c>
      <c r="AC74" s="168" t="str">
        <f>IF(AC$3="","",IF(COUNTIFS(BD!$A$3:$A$5001,AC$3,BD!$B$3:$B$5001,$A$66,BD!$U$3:$U$5001,"&lt;&gt;")=0,"",SUMIFS(BD!$U$3:$U$5001,BD!$A$3:$A$5001,AC$3,BD!$B$3:$B$5001,$A$66)))</f>
        <v/>
      </c>
      <c r="AD74" s="168" t="str">
        <f>IF(AD$3="","",IF(COUNTIFS(BD!$A$3:$A$5001,AD$3,BD!$B$3:$B$5001,$A$66,BD!$U$3:$U$5001,"&lt;&gt;")=0,"",SUMIFS(BD!$U$3:$U$5001,BD!$A$3:$A$5001,AD$3,BD!$B$3:$B$5001,$A$66)))</f>
        <v/>
      </c>
      <c r="AE74" s="168" t="str">
        <f>IF(AE$3="","",IF(COUNTIFS(BD!$A$3:$A$5001,AE$3,BD!$B$3:$B$5001,$A$66,BD!$U$3:$U$5001,"&lt;&gt;")=0,"",SUMIFS(BD!$U$3:$U$5001,BD!$A$3:$A$5001,AE$3,BD!$B$3:$B$5001,$A$66)))</f>
        <v/>
      </c>
      <c r="AF74" s="168" t="str">
        <f>IF(AF$3="","",IF(COUNTIFS(BD!$A$3:$A$5001,AF$3,BD!$B$3:$B$5001,$A$66,BD!$U$3:$U$5001,"&lt;&gt;")=0,"",SUMIFS(BD!$U$3:$U$5001,BD!$A$3:$A$5001,AF$3,BD!$B$3:$B$5001,$A$66)))</f>
        <v/>
      </c>
      <c r="AG74" s="168" t="str">
        <f>IF(AG$3="","",IF(COUNTIFS(BD!$A$3:$A$5001,AG$3,BD!$B$3:$B$5001,$A$66,BD!$U$3:$U$5001,"&lt;&gt;")=0,"",SUMIFS(BD!$U$3:$U$5001,BD!$A$3:$A$5001,AG$3,BD!$B$3:$B$5001,$A$66)))</f>
        <v/>
      </c>
      <c r="AH74" s="168" t="str">
        <f>IF(AH$3="","",IF(COUNTIFS(BD!$A$3:$A$5001,AH$3,BD!$B$3:$B$5001,$A$66,BD!$U$3:$U$5001,"&lt;&gt;")=0,"",SUMIFS(BD!$U$3:$U$5001,BD!$A$3:$A$5001,AH$3,BD!$B$3:$B$5001,$A$66)))</f>
        <v/>
      </c>
      <c r="AI74" s="168" t="str">
        <f>IF(AI$3="","",IF(COUNTIFS(BD!$A$3:$A$5001,AI$3,BD!$B$3:$B$5001,$A$66,BD!$U$3:$U$5001,"&lt;&gt;")=0,"",SUMIFS(BD!$U$3:$U$5001,BD!$A$3:$A$5001,AI$3,BD!$B$3:$B$5001,$A$66)))</f>
        <v/>
      </c>
      <c r="AJ74" s="169" t="str">
        <f>IF(AJ$3="","",IF(COUNTIFS(BD!$A$3:$A$5001,AJ$3,BD!$B$3:$B$5001,$A$66,BD!$U$3:$U$5001,"&lt;&gt;")=0,"",SUMIFS(BD!$U$3:$U$5001,BD!$A$3:$A$5001,AJ$3,BD!$B$3:$B$5001,$A$66)))</f>
        <v/>
      </c>
      <c r="AK74" s="170" t="str">
        <f>IF(COUNT(F74:AJ74)=0,"",SUM(F74:AJ74))</f>
        <v/>
      </c>
    </row>
    <row r="75" ht="15.75" customHeight="1">
      <c r="A75" s="227"/>
      <c r="B75" s="220"/>
      <c r="C75" s="171" t="inlineStr">
        <is>
          <t xml:space="preserve">No show</t>
        </is>
      </c>
      <c r="D75" s="172" t="str">
        <f>IFERROR(1/(1/INDEX(BD!$AK$42:$AT$42,MATCH($A$66,BD!$AK$22:$AT$22,0))),"")</f>
        <v/>
      </c>
      <c r="E75" s="173"/>
      <c r="F75" s="174" t="str">
        <f>IF(F$3="","",IF(COUNTIFS(BD!$A$3:$A$5001,F$3,BD!$B$3:$B$5001,$A$66,BD!$V$3:$V$5001,"&lt;&gt;")=0,"",SUMIFS(BD!$V$3:$V$5001,BD!$A$3:$A$5001,F$3,BD!$B$3:$B$5001,$A$66)))</f>
        <v/>
      </c>
      <c r="G75" s="175" t="str">
        <f>IF(G$3="","",IF(COUNTIFS(BD!$A$3:$A$5001,G$3,BD!$B$3:$B$5001,$A$66,BD!$V$3:$V$5001,"&lt;&gt;")=0,"",SUMIFS(BD!$V$3:$V$5001,BD!$A$3:$A$5001,G$3,BD!$B$3:$B$5001,$A$66)))</f>
        <v/>
      </c>
      <c r="H75" s="175" t="str">
        <f>IF(H$3="","",IF(COUNTIFS(BD!$A$3:$A$5001,H$3,BD!$B$3:$B$5001,$A$66,BD!$V$3:$V$5001,"&lt;&gt;")=0,"",SUMIFS(BD!$V$3:$V$5001,BD!$A$3:$A$5001,H$3,BD!$B$3:$B$5001,$A$66)))</f>
        <v/>
      </c>
      <c r="I75" s="175" t="str">
        <f>IF(I$3="","",IF(COUNTIFS(BD!$A$3:$A$5001,I$3,BD!$B$3:$B$5001,$A$66,BD!$V$3:$V$5001,"&lt;&gt;")=0,"",SUMIFS(BD!$V$3:$V$5001,BD!$A$3:$A$5001,I$3,BD!$B$3:$B$5001,$A$66)))</f>
        <v/>
      </c>
      <c r="J75" s="175" t="str">
        <f>IF(J$3="","",IF(COUNTIFS(BD!$A$3:$A$5001,J$3,BD!$B$3:$B$5001,$A$66,BD!$V$3:$V$5001,"&lt;&gt;")=0,"",SUMIFS(BD!$V$3:$V$5001,BD!$A$3:$A$5001,J$3,BD!$B$3:$B$5001,$A$66)))</f>
        <v/>
      </c>
      <c r="K75" s="175" t="str">
        <f>IF(K$3="","",IF(COUNTIFS(BD!$A$3:$A$5001,K$3,BD!$B$3:$B$5001,$A$66,BD!$V$3:$V$5001,"&lt;&gt;")=0,"",SUMIFS(BD!$V$3:$V$5001,BD!$A$3:$A$5001,K$3,BD!$B$3:$B$5001,$A$66)))</f>
        <v/>
      </c>
      <c r="L75" s="175" t="str">
        <f>IF(L$3="","",IF(COUNTIFS(BD!$A$3:$A$5001,L$3,BD!$B$3:$B$5001,$A$66,BD!$V$3:$V$5001,"&lt;&gt;")=0,"",SUMIFS(BD!$V$3:$V$5001,BD!$A$3:$A$5001,L$3,BD!$B$3:$B$5001,$A$66)))</f>
        <v/>
      </c>
      <c r="M75" s="175" t="str">
        <f>IF(M$3="","",IF(COUNTIFS(BD!$A$3:$A$5001,M$3,BD!$B$3:$B$5001,$A$66,BD!$V$3:$V$5001,"&lt;&gt;")=0,"",SUMIFS(BD!$V$3:$V$5001,BD!$A$3:$A$5001,M$3,BD!$B$3:$B$5001,$A$66)))</f>
        <v/>
      </c>
      <c r="N75" s="175" t="str">
        <f>IF(N$3="","",IF(COUNTIFS(BD!$A$3:$A$5001,N$3,BD!$B$3:$B$5001,$A$66,BD!$V$3:$V$5001,"&lt;&gt;")=0,"",SUMIFS(BD!$V$3:$V$5001,BD!$A$3:$A$5001,N$3,BD!$B$3:$B$5001,$A$66)))</f>
        <v/>
      </c>
      <c r="O75" s="175" t="str">
        <f>IF(O$3="","",IF(COUNTIFS(BD!$A$3:$A$5001,O$3,BD!$B$3:$B$5001,$A$66,BD!$V$3:$V$5001,"&lt;&gt;")=0,"",SUMIFS(BD!$V$3:$V$5001,BD!$A$3:$A$5001,O$3,BD!$B$3:$B$5001,$A$66)))</f>
        <v/>
      </c>
      <c r="P75" s="175" t="str">
        <f>IF(P$3="","",IF(COUNTIFS(BD!$A$3:$A$5001,P$3,BD!$B$3:$B$5001,$A$66,BD!$V$3:$V$5001,"&lt;&gt;")=0,"",SUMIFS(BD!$V$3:$V$5001,BD!$A$3:$A$5001,P$3,BD!$B$3:$B$5001,$A$66)))</f>
        <v/>
      </c>
      <c r="Q75" s="175" t="str">
        <f>IF(Q$3="","",IF(COUNTIFS(BD!$A$3:$A$5001,Q$3,BD!$B$3:$B$5001,$A$66,BD!$V$3:$V$5001,"&lt;&gt;")=0,"",SUMIFS(BD!$V$3:$V$5001,BD!$A$3:$A$5001,Q$3,BD!$B$3:$B$5001,$A$66)))</f>
        <v/>
      </c>
      <c r="R75" s="175" t="str">
        <f>IF(R$3="","",IF(COUNTIFS(BD!$A$3:$A$5001,R$3,BD!$B$3:$B$5001,$A$66,BD!$V$3:$V$5001,"&lt;&gt;")=0,"",SUMIFS(BD!$V$3:$V$5001,BD!$A$3:$A$5001,R$3,BD!$B$3:$B$5001,$A$66)))</f>
        <v/>
      </c>
      <c r="S75" s="175" t="str">
        <f>IF(S$3="","",IF(COUNTIFS(BD!$A$3:$A$5001,S$3,BD!$B$3:$B$5001,$A$66,BD!$V$3:$V$5001,"&lt;&gt;")=0,"",SUMIFS(BD!$V$3:$V$5001,BD!$A$3:$A$5001,S$3,BD!$B$3:$B$5001,$A$66)))</f>
        <v/>
      </c>
      <c r="T75" s="175" t="str">
        <f>IF(T$3="","",IF(COUNTIFS(BD!$A$3:$A$5001,T$3,BD!$B$3:$B$5001,$A$66,BD!$V$3:$V$5001,"&lt;&gt;")=0,"",SUMIFS(BD!$V$3:$V$5001,BD!$A$3:$A$5001,T$3,BD!$B$3:$B$5001,$A$66)))</f>
        <v/>
      </c>
      <c r="U75" s="175" t="str">
        <f>IF(U$3="","",IF(COUNTIFS(BD!$A$3:$A$5001,U$3,BD!$B$3:$B$5001,$A$66,BD!$V$3:$V$5001,"&lt;&gt;")=0,"",SUMIFS(BD!$V$3:$V$5001,BD!$A$3:$A$5001,U$3,BD!$B$3:$B$5001,$A$66)))</f>
        <v/>
      </c>
      <c r="V75" s="175" t="str">
        <f>IF(V$3="","",IF(COUNTIFS(BD!$A$3:$A$5001,V$3,BD!$B$3:$B$5001,$A$66,BD!$V$3:$V$5001,"&lt;&gt;")=0,"",SUMIFS(BD!$V$3:$V$5001,BD!$A$3:$A$5001,V$3,BD!$B$3:$B$5001,$A$66)))</f>
        <v/>
      </c>
      <c r="W75" s="175" t="str">
        <f>IF(W$3="","",IF(COUNTIFS(BD!$A$3:$A$5001,W$3,BD!$B$3:$B$5001,$A$66,BD!$V$3:$V$5001,"&lt;&gt;")=0,"",SUMIFS(BD!$V$3:$V$5001,BD!$A$3:$A$5001,W$3,BD!$B$3:$B$5001,$A$66)))</f>
        <v/>
      </c>
      <c r="X75" s="175" t="str">
        <f>IF(X$3="","",IF(COUNTIFS(BD!$A$3:$A$5001,X$3,BD!$B$3:$B$5001,$A$66,BD!$V$3:$V$5001,"&lt;&gt;")=0,"",SUMIFS(BD!$V$3:$V$5001,BD!$A$3:$A$5001,X$3,BD!$B$3:$B$5001,$A$66)))</f>
        <v/>
      </c>
      <c r="Y75" s="175" t="str">
        <f>IF(Y$3="","",IF(COUNTIFS(BD!$A$3:$A$5001,Y$3,BD!$B$3:$B$5001,$A$66,BD!$V$3:$V$5001,"&lt;&gt;")=0,"",SUMIFS(BD!$V$3:$V$5001,BD!$A$3:$A$5001,Y$3,BD!$B$3:$B$5001,$A$66)))</f>
        <v/>
      </c>
      <c r="Z75" s="175" t="str">
        <f>IF(Z$3="","",IF(COUNTIFS(BD!$A$3:$A$5001,Z$3,BD!$B$3:$B$5001,$A$66,BD!$V$3:$V$5001,"&lt;&gt;")=0,"",SUMIFS(BD!$V$3:$V$5001,BD!$A$3:$A$5001,Z$3,BD!$B$3:$B$5001,$A$66)))</f>
        <v/>
      </c>
      <c r="AA75" s="175" t="str">
        <f>IF(AA$3="","",IF(COUNTIFS(BD!$A$3:$A$5001,AA$3,BD!$B$3:$B$5001,$A$66,BD!$V$3:$V$5001,"&lt;&gt;")=0,"",SUMIFS(BD!$V$3:$V$5001,BD!$A$3:$A$5001,AA$3,BD!$B$3:$B$5001,$A$66)))</f>
        <v/>
      </c>
      <c r="AB75" s="175" t="str">
        <f>IF(AB$3="","",IF(COUNTIFS(BD!$A$3:$A$5001,AB$3,BD!$B$3:$B$5001,$A$66,BD!$V$3:$V$5001,"&lt;&gt;")=0,"",SUMIFS(BD!$V$3:$V$5001,BD!$A$3:$A$5001,AB$3,BD!$B$3:$B$5001,$A$66)))</f>
        <v/>
      </c>
      <c r="AC75" s="175" t="str">
        <f>IF(AC$3="","",IF(COUNTIFS(BD!$A$3:$A$5001,AC$3,BD!$B$3:$B$5001,$A$66,BD!$V$3:$V$5001,"&lt;&gt;")=0,"",SUMIFS(BD!$V$3:$V$5001,BD!$A$3:$A$5001,AC$3,BD!$B$3:$B$5001,$A$66)))</f>
        <v/>
      </c>
      <c r="AD75" s="175" t="str">
        <f>IF(AD$3="","",IF(COUNTIFS(BD!$A$3:$A$5001,AD$3,BD!$B$3:$B$5001,$A$66,BD!$V$3:$V$5001,"&lt;&gt;")=0,"",SUMIFS(BD!$V$3:$V$5001,BD!$A$3:$A$5001,AD$3,BD!$B$3:$B$5001,$A$66)))</f>
        <v/>
      </c>
      <c r="AE75" s="175" t="str">
        <f>IF(AE$3="","",IF(COUNTIFS(BD!$A$3:$A$5001,AE$3,BD!$B$3:$B$5001,$A$66,BD!$V$3:$V$5001,"&lt;&gt;")=0,"",SUMIFS(BD!$V$3:$V$5001,BD!$A$3:$A$5001,AE$3,BD!$B$3:$B$5001,$A$66)))</f>
        <v/>
      </c>
      <c r="AF75" s="175" t="str">
        <f>IF(AF$3="","",IF(COUNTIFS(BD!$A$3:$A$5001,AF$3,BD!$B$3:$B$5001,$A$66,BD!$V$3:$V$5001,"&lt;&gt;")=0,"",SUMIFS(BD!$V$3:$V$5001,BD!$A$3:$A$5001,AF$3,BD!$B$3:$B$5001,$A$66)))</f>
        <v/>
      </c>
      <c r="AG75" s="175" t="str">
        <f>IF(AG$3="","",IF(COUNTIFS(BD!$A$3:$A$5001,AG$3,BD!$B$3:$B$5001,$A$66,BD!$V$3:$V$5001,"&lt;&gt;")=0,"",SUMIFS(BD!$V$3:$V$5001,BD!$A$3:$A$5001,AG$3,BD!$B$3:$B$5001,$A$66)))</f>
        <v/>
      </c>
      <c r="AH75" s="175" t="str">
        <f>IF(AH$3="","",IF(COUNTIFS(BD!$A$3:$A$5001,AH$3,BD!$B$3:$B$5001,$A$66,BD!$V$3:$V$5001,"&lt;&gt;")=0,"",SUMIFS(BD!$V$3:$V$5001,BD!$A$3:$A$5001,AH$3,BD!$B$3:$B$5001,$A$66)))</f>
        <v/>
      </c>
      <c r="AI75" s="175" t="str">
        <f>IF(AI$3="","",IF(COUNTIFS(BD!$A$3:$A$5001,AI$3,BD!$B$3:$B$5001,$A$66,BD!$V$3:$V$5001,"&lt;&gt;")=0,"",SUMIFS(BD!$V$3:$V$5001,BD!$A$3:$A$5001,AI$3,BD!$B$3:$B$5001,$A$66)))</f>
        <v/>
      </c>
      <c r="AJ75" s="176" t="str">
        <f>IF(AJ$3="","",IF(COUNTIFS(BD!$A$3:$A$5001,AJ$3,BD!$B$3:$B$5001,$A$66,BD!$V$3:$V$5001,"&lt;&gt;")=0,"",SUMIFS(BD!$V$3:$V$5001,BD!$A$3:$A$5001,AJ$3,BD!$B$3:$B$5001,$A$66)))</f>
        <v/>
      </c>
      <c r="AK75" s="177" t="str">
        <f>IF(COUNT(F75:AJ75)=0,"",SUM(F75:AJ75))</f>
        <v/>
      </c>
    </row>
    <row r="76" ht="15.75" customHeight="1">
      <c r="A76" s="227"/>
      <c r="B76" s="221"/>
      <c r="C76" s="178" t="inlineStr">
        <is>
          <t xml:space="preserve">Backlog</t>
        </is>
      </c>
      <c r="D76" s="179" t="str">
        <f>IFERROR(1/(1/INDEX(BD!$AK$43:$AT$43,MATCH($A$66,BD!$AK$22:$AT$22,0))),"")</f>
        <v/>
      </c>
      <c r="E76" s="180"/>
      <c r="F76" s="181" t="str">
        <f>IF(F$3="","",IF(COUNTIFS(BD!$A$3:$A$5001,F$3,BD!$B$3:$B$5001,$A$66,BD!$W$3:$W$5001,"&lt;&gt;")=0,"",SUMIFS(BD!$W$3:$W$5001,BD!$A$3:$A$5001,F$3,BD!$B$3:$B$5001,$A$66)))</f>
        <v/>
      </c>
      <c r="G76" s="182" t="str">
        <f>IF(G$3="","",IF(COUNTIFS(BD!$A$3:$A$5001,G$3,BD!$B$3:$B$5001,$A$66,BD!$W$3:$W$5001,"&lt;&gt;")=0,"",SUMIFS(BD!$W$3:$W$5001,BD!$A$3:$A$5001,G$3,BD!$B$3:$B$5001,$A$66)))</f>
        <v/>
      </c>
      <c r="H76" s="182" t="str">
        <f>IF(H$3="","",IF(COUNTIFS(BD!$A$3:$A$5001,H$3,BD!$B$3:$B$5001,$A$66,BD!$W$3:$W$5001,"&lt;&gt;")=0,"",SUMIFS(BD!$W$3:$W$5001,BD!$A$3:$A$5001,H$3,BD!$B$3:$B$5001,$A$66)))</f>
        <v/>
      </c>
      <c r="I76" s="182" t="str">
        <f>IF(I$3="","",IF(COUNTIFS(BD!$A$3:$A$5001,I$3,BD!$B$3:$B$5001,$A$66,BD!$W$3:$W$5001,"&lt;&gt;")=0,"",SUMIFS(BD!$W$3:$W$5001,BD!$A$3:$A$5001,I$3,BD!$B$3:$B$5001,$A$66)))</f>
        <v/>
      </c>
      <c r="J76" s="182" t="str">
        <f>IF(J$3="","",IF(COUNTIFS(BD!$A$3:$A$5001,J$3,BD!$B$3:$B$5001,$A$66,BD!$W$3:$W$5001,"&lt;&gt;")=0,"",SUMIFS(BD!$W$3:$W$5001,BD!$A$3:$A$5001,J$3,BD!$B$3:$B$5001,$A$66)))</f>
        <v/>
      </c>
      <c r="K76" s="182" t="str">
        <f>IF(K$3="","",IF(COUNTIFS(BD!$A$3:$A$5001,K$3,BD!$B$3:$B$5001,$A$66,BD!$W$3:$W$5001,"&lt;&gt;")=0,"",SUMIFS(BD!$W$3:$W$5001,BD!$A$3:$A$5001,K$3,BD!$B$3:$B$5001,$A$66)))</f>
        <v/>
      </c>
      <c r="L76" s="182" t="str">
        <f>IF(L$3="","",IF(COUNTIFS(BD!$A$3:$A$5001,L$3,BD!$B$3:$B$5001,$A$66,BD!$W$3:$W$5001,"&lt;&gt;")=0,"",SUMIFS(BD!$W$3:$W$5001,BD!$A$3:$A$5001,L$3,BD!$B$3:$B$5001,$A$66)))</f>
        <v/>
      </c>
      <c r="M76" s="182" t="str">
        <f>IF(M$3="","",IF(COUNTIFS(BD!$A$3:$A$5001,M$3,BD!$B$3:$B$5001,$A$66,BD!$W$3:$W$5001,"&lt;&gt;")=0,"",SUMIFS(BD!$W$3:$W$5001,BD!$A$3:$A$5001,M$3,BD!$B$3:$B$5001,$A$66)))</f>
        <v/>
      </c>
      <c r="N76" s="182" t="str">
        <f>IF(N$3="","",IF(COUNTIFS(BD!$A$3:$A$5001,N$3,BD!$B$3:$B$5001,$A$66,BD!$W$3:$W$5001,"&lt;&gt;")=0,"",SUMIFS(BD!$W$3:$W$5001,BD!$A$3:$A$5001,N$3,BD!$B$3:$B$5001,$A$66)))</f>
        <v/>
      </c>
      <c r="O76" s="182" t="str">
        <f>IF(O$3="","",IF(COUNTIFS(BD!$A$3:$A$5001,O$3,BD!$B$3:$B$5001,$A$66,BD!$W$3:$W$5001,"&lt;&gt;")=0,"",SUMIFS(BD!$W$3:$W$5001,BD!$A$3:$A$5001,O$3,BD!$B$3:$B$5001,$A$66)))</f>
        <v/>
      </c>
      <c r="P76" s="182" t="str">
        <f>IF(P$3="","",IF(COUNTIFS(BD!$A$3:$A$5001,P$3,BD!$B$3:$B$5001,$A$66,BD!$W$3:$W$5001,"&lt;&gt;")=0,"",SUMIFS(BD!$W$3:$W$5001,BD!$A$3:$A$5001,P$3,BD!$B$3:$B$5001,$A$66)))</f>
        <v/>
      </c>
      <c r="Q76" s="182" t="str">
        <f>IF(Q$3="","",IF(COUNTIFS(BD!$A$3:$A$5001,Q$3,BD!$B$3:$B$5001,$A$66,BD!$W$3:$W$5001,"&lt;&gt;")=0,"",SUMIFS(BD!$W$3:$W$5001,BD!$A$3:$A$5001,Q$3,BD!$B$3:$B$5001,$A$66)))</f>
        <v/>
      </c>
      <c r="R76" s="182" t="str">
        <f>IF(R$3="","",IF(COUNTIFS(BD!$A$3:$A$5001,R$3,BD!$B$3:$B$5001,$A$66,BD!$W$3:$W$5001,"&lt;&gt;")=0,"",SUMIFS(BD!$W$3:$W$5001,BD!$A$3:$A$5001,R$3,BD!$B$3:$B$5001,$A$66)))</f>
        <v/>
      </c>
      <c r="S76" s="182" t="str">
        <f>IF(S$3="","",IF(COUNTIFS(BD!$A$3:$A$5001,S$3,BD!$B$3:$B$5001,$A$66,BD!$W$3:$W$5001,"&lt;&gt;")=0,"",SUMIFS(BD!$W$3:$W$5001,BD!$A$3:$A$5001,S$3,BD!$B$3:$B$5001,$A$66)))</f>
        <v/>
      </c>
      <c r="T76" s="182" t="str">
        <f>IF(T$3="","",IF(COUNTIFS(BD!$A$3:$A$5001,T$3,BD!$B$3:$B$5001,$A$66,BD!$W$3:$W$5001,"&lt;&gt;")=0,"",SUMIFS(BD!$W$3:$W$5001,BD!$A$3:$A$5001,T$3,BD!$B$3:$B$5001,$A$66)))</f>
        <v/>
      </c>
      <c r="U76" s="182" t="str">
        <f>IF(U$3="","",IF(COUNTIFS(BD!$A$3:$A$5001,U$3,BD!$B$3:$B$5001,$A$66,BD!$W$3:$W$5001,"&lt;&gt;")=0,"",SUMIFS(BD!$W$3:$W$5001,BD!$A$3:$A$5001,U$3,BD!$B$3:$B$5001,$A$66)))</f>
        <v/>
      </c>
      <c r="V76" s="182" t="str">
        <f>IF(V$3="","",IF(COUNTIFS(BD!$A$3:$A$5001,V$3,BD!$B$3:$B$5001,$A$66,BD!$W$3:$W$5001,"&lt;&gt;")=0,"",SUMIFS(BD!$W$3:$W$5001,BD!$A$3:$A$5001,V$3,BD!$B$3:$B$5001,$A$66)))</f>
        <v/>
      </c>
      <c r="W76" s="182" t="str">
        <f>IF(W$3="","",IF(COUNTIFS(BD!$A$3:$A$5001,W$3,BD!$B$3:$B$5001,$A$66,BD!$W$3:$W$5001,"&lt;&gt;")=0,"",SUMIFS(BD!$W$3:$W$5001,BD!$A$3:$A$5001,W$3,BD!$B$3:$B$5001,$A$66)))</f>
        <v/>
      </c>
      <c r="X76" s="182" t="str">
        <f>IF(X$3="","",IF(COUNTIFS(BD!$A$3:$A$5001,X$3,BD!$B$3:$B$5001,$A$66,BD!$W$3:$W$5001,"&lt;&gt;")=0,"",SUMIFS(BD!$W$3:$W$5001,BD!$A$3:$A$5001,X$3,BD!$B$3:$B$5001,$A$66)))</f>
        <v/>
      </c>
      <c r="Y76" s="182" t="str">
        <f>IF(Y$3="","",IF(COUNTIFS(BD!$A$3:$A$5001,Y$3,BD!$B$3:$B$5001,$A$66,BD!$W$3:$W$5001,"&lt;&gt;")=0,"",SUMIFS(BD!$W$3:$W$5001,BD!$A$3:$A$5001,Y$3,BD!$B$3:$B$5001,$A$66)))</f>
        <v/>
      </c>
      <c r="Z76" s="182" t="str">
        <f>IF(Z$3="","",IF(COUNTIFS(BD!$A$3:$A$5001,Z$3,BD!$B$3:$B$5001,$A$66,BD!$W$3:$W$5001,"&lt;&gt;")=0,"",SUMIFS(BD!$W$3:$W$5001,BD!$A$3:$A$5001,Z$3,BD!$B$3:$B$5001,$A$66)))</f>
        <v/>
      </c>
      <c r="AA76" s="182" t="str">
        <f>IF(AA$3="","",IF(COUNTIFS(BD!$A$3:$A$5001,AA$3,BD!$B$3:$B$5001,$A$66,BD!$W$3:$W$5001,"&lt;&gt;")=0,"",SUMIFS(BD!$W$3:$W$5001,BD!$A$3:$A$5001,AA$3,BD!$B$3:$B$5001,$A$66)))</f>
        <v/>
      </c>
      <c r="AB76" s="182" t="str">
        <f>IF(AB$3="","",IF(COUNTIFS(BD!$A$3:$A$5001,AB$3,BD!$B$3:$B$5001,$A$66,BD!$W$3:$W$5001,"&lt;&gt;")=0,"",SUMIFS(BD!$W$3:$W$5001,BD!$A$3:$A$5001,AB$3,BD!$B$3:$B$5001,$A$66)))</f>
        <v/>
      </c>
      <c r="AC76" s="182" t="str">
        <f>IF(AC$3="","",IF(COUNTIFS(BD!$A$3:$A$5001,AC$3,BD!$B$3:$B$5001,$A$66,BD!$W$3:$W$5001,"&lt;&gt;")=0,"",SUMIFS(BD!$W$3:$W$5001,BD!$A$3:$A$5001,AC$3,BD!$B$3:$B$5001,$A$66)))</f>
        <v/>
      </c>
      <c r="AD76" s="182" t="str">
        <f>IF(AD$3="","",IF(COUNTIFS(BD!$A$3:$A$5001,AD$3,BD!$B$3:$B$5001,$A$66,BD!$W$3:$W$5001,"&lt;&gt;")=0,"",SUMIFS(BD!$W$3:$W$5001,BD!$A$3:$A$5001,AD$3,BD!$B$3:$B$5001,$A$66)))</f>
        <v/>
      </c>
      <c r="AE76" s="182" t="str">
        <f>IF(AE$3="","",IF(COUNTIFS(BD!$A$3:$A$5001,AE$3,BD!$B$3:$B$5001,$A$66,BD!$W$3:$W$5001,"&lt;&gt;")=0,"",SUMIFS(BD!$W$3:$W$5001,BD!$A$3:$A$5001,AE$3,BD!$B$3:$B$5001,$A$66)))</f>
        <v/>
      </c>
      <c r="AF76" s="182" t="str">
        <f>IF(AF$3="","",IF(COUNTIFS(BD!$A$3:$A$5001,AF$3,BD!$B$3:$B$5001,$A$66,BD!$W$3:$W$5001,"&lt;&gt;")=0,"",SUMIFS(BD!$W$3:$W$5001,BD!$A$3:$A$5001,AF$3,BD!$B$3:$B$5001,$A$66)))</f>
        <v/>
      </c>
      <c r="AG76" s="182" t="str">
        <f>IF(AG$3="","",IF(COUNTIFS(BD!$A$3:$A$5001,AG$3,BD!$B$3:$B$5001,$A$66,BD!$W$3:$W$5001,"&lt;&gt;")=0,"",SUMIFS(BD!$W$3:$W$5001,BD!$A$3:$A$5001,AG$3,BD!$B$3:$B$5001,$A$66)))</f>
        <v/>
      </c>
      <c r="AH76" s="182" t="str">
        <f>IF(AH$3="","",IF(COUNTIFS(BD!$A$3:$A$5001,AH$3,BD!$B$3:$B$5001,$A$66,BD!$W$3:$W$5001,"&lt;&gt;")=0,"",SUMIFS(BD!$W$3:$W$5001,BD!$A$3:$A$5001,AH$3,BD!$B$3:$B$5001,$A$66)))</f>
        <v/>
      </c>
      <c r="AI76" s="182" t="str">
        <f>IF(AI$3="","",IF(COUNTIFS(BD!$A$3:$A$5001,AI$3,BD!$B$3:$B$5001,$A$66,BD!$W$3:$W$5001,"&lt;&gt;")=0,"",SUMIFS(BD!$W$3:$W$5001,BD!$A$3:$A$5001,AI$3,BD!$B$3:$B$5001,$A$66)))</f>
        <v/>
      </c>
      <c r="AJ76" s="183" t="str">
        <f>IF(AJ$3="","",IF(COUNTIFS(BD!$A$3:$A$5001,AJ$3,BD!$B$3:$B$5001,$A$66,BD!$W$3:$W$5001,"&lt;&gt;")=0,"",SUMIFS(BD!$W$3:$W$5001,BD!$A$3:$A$5001,AJ$3,BD!$B$3:$B$5001,$A$66)))</f>
        <v/>
      </c>
      <c r="AK76" s="179" t="str">
        <f>IFERROR(LOOKUP(9.99E+307,F76:AJ76),"")</f>
        <v/>
      </c>
    </row>
    <row r="77" ht="15.75" customHeight="1">
      <c r="A77" s="227"/>
      <c r="B77" s="215" t="inlineStr">
        <is>
          <t xml:space="preserve">OCUPAÇÃO (P.P)</t>
        </is>
      </c>
      <c r="C77" s="138" t="inlineStr">
        <is>
          <t xml:space="preserve">Posições Disponíveis</t>
        </is>
      </c>
      <c r="D77" s="139" t="str">
        <f>IFERROR(1/(1/INDEX(BD!$AK$44:$AT$44,MATCH($A$66,BD!$AK$22:$AT$22,0))),"")</f>
        <v/>
      </c>
      <c r="E77" s="140"/>
      <c r="F77" s="141" t="str">
        <f>IF(F$3="","",IF(COUNTIFS(BD!$A$3:$A$5001,F$3,BD!$B$3:$B$5001,$A$66,BD!$X$3:$X$5001,"&lt;&gt;")=0,"",SUMIFS(BD!$X$3:$X$5001,BD!$A$3:$A$5001,F$3,BD!$B$3:$B$5001,$A$66)))</f>
        <v/>
      </c>
      <c r="G77" s="142" t="str">
        <f>IF(G$3="","",IF(COUNTIFS(BD!$A$3:$A$5001,G$3,BD!$B$3:$B$5001,$A$66,BD!$X$3:$X$5001,"&lt;&gt;")=0,"",SUMIFS(BD!$X$3:$X$5001,BD!$A$3:$A$5001,G$3,BD!$B$3:$B$5001,$A$66)))</f>
        <v/>
      </c>
      <c r="H77" s="142" t="str">
        <f>IF(H$3="","",IF(COUNTIFS(BD!$A$3:$A$5001,H$3,BD!$B$3:$B$5001,$A$66,BD!$X$3:$X$5001,"&lt;&gt;")=0,"",SUMIFS(BD!$X$3:$X$5001,BD!$A$3:$A$5001,H$3,BD!$B$3:$B$5001,$A$66)))</f>
        <v/>
      </c>
      <c r="I77" s="142" t="str">
        <f>IF(I$3="","",IF(COUNTIFS(BD!$A$3:$A$5001,I$3,BD!$B$3:$B$5001,$A$66,BD!$X$3:$X$5001,"&lt;&gt;")=0,"",SUMIFS(BD!$X$3:$X$5001,BD!$A$3:$A$5001,I$3,BD!$B$3:$B$5001,$A$66)))</f>
        <v/>
      </c>
      <c r="J77" s="142" t="str">
        <f>IF(J$3="","",IF(COUNTIFS(BD!$A$3:$A$5001,J$3,BD!$B$3:$B$5001,$A$66,BD!$X$3:$X$5001,"&lt;&gt;")=0,"",SUMIFS(BD!$X$3:$X$5001,BD!$A$3:$A$5001,J$3,BD!$B$3:$B$5001,$A$66)))</f>
        <v/>
      </c>
      <c r="K77" s="142" t="str">
        <f>IF(K$3="","",IF(COUNTIFS(BD!$A$3:$A$5001,K$3,BD!$B$3:$B$5001,$A$66,BD!$X$3:$X$5001,"&lt;&gt;")=0,"",SUMIFS(BD!$X$3:$X$5001,BD!$A$3:$A$5001,K$3,BD!$B$3:$B$5001,$A$66)))</f>
        <v/>
      </c>
      <c r="L77" s="142" t="str">
        <f>IF(L$3="","",IF(COUNTIFS(BD!$A$3:$A$5001,L$3,BD!$B$3:$B$5001,$A$66,BD!$X$3:$X$5001,"&lt;&gt;")=0,"",SUMIFS(BD!$X$3:$X$5001,BD!$A$3:$A$5001,L$3,BD!$B$3:$B$5001,$A$66)))</f>
        <v/>
      </c>
      <c r="M77" s="142" t="str">
        <f>IF(M$3="","",IF(COUNTIFS(BD!$A$3:$A$5001,M$3,BD!$B$3:$B$5001,$A$66,BD!$X$3:$X$5001,"&lt;&gt;")=0,"",SUMIFS(BD!$X$3:$X$5001,BD!$A$3:$A$5001,M$3,BD!$B$3:$B$5001,$A$66)))</f>
        <v/>
      </c>
      <c r="N77" s="142" t="str">
        <f>IF(N$3="","",IF(COUNTIFS(BD!$A$3:$A$5001,N$3,BD!$B$3:$B$5001,$A$66,BD!$X$3:$X$5001,"&lt;&gt;")=0,"",SUMIFS(BD!$X$3:$X$5001,BD!$A$3:$A$5001,N$3,BD!$B$3:$B$5001,$A$66)))</f>
        <v/>
      </c>
      <c r="O77" s="142" t="str">
        <f>IF(O$3="","",IF(COUNTIFS(BD!$A$3:$A$5001,O$3,BD!$B$3:$B$5001,$A$66,BD!$X$3:$X$5001,"&lt;&gt;")=0,"",SUMIFS(BD!$X$3:$X$5001,BD!$A$3:$A$5001,O$3,BD!$B$3:$B$5001,$A$66)))</f>
        <v/>
      </c>
      <c r="P77" s="142" t="str">
        <f>IF(P$3="","",IF(COUNTIFS(BD!$A$3:$A$5001,P$3,BD!$B$3:$B$5001,$A$66,BD!$X$3:$X$5001,"&lt;&gt;")=0,"",SUMIFS(BD!$X$3:$X$5001,BD!$A$3:$A$5001,P$3,BD!$B$3:$B$5001,$A$66)))</f>
        <v/>
      </c>
      <c r="Q77" s="142" t="str">
        <f>IF(Q$3="","",IF(COUNTIFS(BD!$A$3:$A$5001,Q$3,BD!$B$3:$B$5001,$A$66,BD!$X$3:$X$5001,"&lt;&gt;")=0,"",SUMIFS(BD!$X$3:$X$5001,BD!$A$3:$A$5001,Q$3,BD!$B$3:$B$5001,$A$66)))</f>
        <v/>
      </c>
      <c r="R77" s="142" t="str">
        <f>IF(R$3="","",IF(COUNTIFS(BD!$A$3:$A$5001,R$3,BD!$B$3:$B$5001,$A$66,BD!$X$3:$X$5001,"&lt;&gt;")=0,"",SUMIFS(BD!$X$3:$X$5001,BD!$A$3:$A$5001,R$3,BD!$B$3:$B$5001,$A$66)))</f>
        <v/>
      </c>
      <c r="S77" s="142" t="str">
        <f>IF(S$3="","",IF(COUNTIFS(BD!$A$3:$A$5001,S$3,BD!$B$3:$B$5001,$A$66,BD!$X$3:$X$5001,"&lt;&gt;")=0,"",SUMIFS(BD!$X$3:$X$5001,BD!$A$3:$A$5001,S$3,BD!$B$3:$B$5001,$A$66)))</f>
        <v/>
      </c>
      <c r="T77" s="142" t="str">
        <f>IF(T$3="","",IF(COUNTIFS(BD!$A$3:$A$5001,T$3,BD!$B$3:$B$5001,$A$66,BD!$X$3:$X$5001,"&lt;&gt;")=0,"",SUMIFS(BD!$X$3:$X$5001,BD!$A$3:$A$5001,T$3,BD!$B$3:$B$5001,$A$66)))</f>
        <v/>
      </c>
      <c r="U77" s="142" t="str">
        <f>IF(U$3="","",IF(COUNTIFS(BD!$A$3:$A$5001,U$3,BD!$B$3:$B$5001,$A$66,BD!$X$3:$X$5001,"&lt;&gt;")=0,"",SUMIFS(BD!$X$3:$X$5001,BD!$A$3:$A$5001,U$3,BD!$B$3:$B$5001,$A$66)))</f>
        <v/>
      </c>
      <c r="V77" s="142" t="str">
        <f>IF(V$3="","",IF(COUNTIFS(BD!$A$3:$A$5001,V$3,BD!$B$3:$B$5001,$A$66,BD!$X$3:$X$5001,"&lt;&gt;")=0,"",SUMIFS(BD!$X$3:$X$5001,BD!$A$3:$A$5001,V$3,BD!$B$3:$B$5001,$A$66)))</f>
        <v/>
      </c>
      <c r="W77" s="142" t="str">
        <f>IF(W$3="","",IF(COUNTIFS(BD!$A$3:$A$5001,W$3,BD!$B$3:$B$5001,$A$66,BD!$X$3:$X$5001,"&lt;&gt;")=0,"",SUMIFS(BD!$X$3:$X$5001,BD!$A$3:$A$5001,W$3,BD!$B$3:$B$5001,$A$66)))</f>
        <v/>
      </c>
      <c r="X77" s="142" t="str">
        <f>IF(X$3="","",IF(COUNTIFS(BD!$A$3:$A$5001,X$3,BD!$B$3:$B$5001,$A$66,BD!$X$3:$X$5001,"&lt;&gt;")=0,"",SUMIFS(BD!$X$3:$X$5001,BD!$A$3:$A$5001,X$3,BD!$B$3:$B$5001,$A$66)))</f>
        <v/>
      </c>
      <c r="Y77" s="142" t="str">
        <f>IF(Y$3="","",IF(COUNTIFS(BD!$A$3:$A$5001,Y$3,BD!$B$3:$B$5001,$A$66,BD!$X$3:$X$5001,"&lt;&gt;")=0,"",SUMIFS(BD!$X$3:$X$5001,BD!$A$3:$A$5001,Y$3,BD!$B$3:$B$5001,$A$66)))</f>
        <v/>
      </c>
      <c r="Z77" s="142" t="str">
        <f>IF(Z$3="","",IF(COUNTIFS(BD!$A$3:$A$5001,Z$3,BD!$B$3:$B$5001,$A$66,BD!$X$3:$X$5001,"&lt;&gt;")=0,"",SUMIFS(BD!$X$3:$X$5001,BD!$A$3:$A$5001,Z$3,BD!$B$3:$B$5001,$A$66)))</f>
        <v/>
      </c>
      <c r="AA77" s="142" t="str">
        <f>IF(AA$3="","",IF(COUNTIFS(BD!$A$3:$A$5001,AA$3,BD!$B$3:$B$5001,$A$66,BD!$X$3:$X$5001,"&lt;&gt;")=0,"",SUMIFS(BD!$X$3:$X$5001,BD!$A$3:$A$5001,AA$3,BD!$B$3:$B$5001,$A$66)))</f>
        <v/>
      </c>
      <c r="AB77" s="142" t="str">
        <f>IF(AB$3="","",IF(COUNTIFS(BD!$A$3:$A$5001,AB$3,BD!$B$3:$B$5001,$A$66,BD!$X$3:$X$5001,"&lt;&gt;")=0,"",SUMIFS(BD!$X$3:$X$5001,BD!$A$3:$A$5001,AB$3,BD!$B$3:$B$5001,$A$66)))</f>
        <v/>
      </c>
      <c r="AC77" s="142" t="str">
        <f>IF(AC$3="","",IF(COUNTIFS(BD!$A$3:$A$5001,AC$3,BD!$B$3:$B$5001,$A$66,BD!$X$3:$X$5001,"&lt;&gt;")=0,"",SUMIFS(BD!$X$3:$X$5001,BD!$A$3:$A$5001,AC$3,BD!$B$3:$B$5001,$A$66)))</f>
        <v/>
      </c>
      <c r="AD77" s="142" t="str">
        <f>IF(AD$3="","",IF(COUNTIFS(BD!$A$3:$A$5001,AD$3,BD!$B$3:$B$5001,$A$66,BD!$X$3:$X$5001,"&lt;&gt;")=0,"",SUMIFS(BD!$X$3:$X$5001,BD!$A$3:$A$5001,AD$3,BD!$B$3:$B$5001,$A$66)))</f>
        <v/>
      </c>
      <c r="AE77" s="142" t="str">
        <f>IF(AE$3="","",IF(COUNTIFS(BD!$A$3:$A$5001,AE$3,BD!$B$3:$B$5001,$A$66,BD!$X$3:$X$5001,"&lt;&gt;")=0,"",SUMIFS(BD!$X$3:$X$5001,BD!$A$3:$A$5001,AE$3,BD!$B$3:$B$5001,$A$66)))</f>
        <v/>
      </c>
      <c r="AF77" s="142" t="str">
        <f>IF(AF$3="","",IF(COUNTIFS(BD!$A$3:$A$5001,AF$3,BD!$B$3:$B$5001,$A$66,BD!$X$3:$X$5001,"&lt;&gt;")=0,"",SUMIFS(BD!$X$3:$X$5001,BD!$A$3:$A$5001,AF$3,BD!$B$3:$B$5001,$A$66)))</f>
        <v/>
      </c>
      <c r="AG77" s="142" t="str">
        <f>IF(AG$3="","",IF(COUNTIFS(BD!$A$3:$A$5001,AG$3,BD!$B$3:$B$5001,$A$66,BD!$X$3:$X$5001,"&lt;&gt;")=0,"",SUMIFS(BD!$X$3:$X$5001,BD!$A$3:$A$5001,AG$3,BD!$B$3:$B$5001,$A$66)))</f>
        <v/>
      </c>
      <c r="AH77" s="142" t="str">
        <f>IF(AH$3="","",IF(COUNTIFS(BD!$A$3:$A$5001,AH$3,BD!$B$3:$B$5001,$A$66,BD!$X$3:$X$5001,"&lt;&gt;")=0,"",SUMIFS(BD!$X$3:$X$5001,BD!$A$3:$A$5001,AH$3,BD!$B$3:$B$5001,$A$66)))</f>
        <v/>
      </c>
      <c r="AI77" s="142" t="str">
        <f>IF(AI$3="","",IF(COUNTIFS(BD!$A$3:$A$5001,AI$3,BD!$B$3:$B$5001,$A$66,BD!$X$3:$X$5001,"&lt;&gt;")=0,"",SUMIFS(BD!$X$3:$X$5001,BD!$A$3:$A$5001,AI$3,BD!$B$3:$B$5001,$A$66)))</f>
        <v/>
      </c>
      <c r="AJ77" s="143" t="str">
        <f>IF(AJ$3="","",IF(COUNTIFS(BD!$A$3:$A$5001,AJ$3,BD!$B$3:$B$5001,$A$66,BD!$X$3:$X$5001,"&lt;&gt;")=0,"",SUMIFS(BD!$X$3:$X$5001,BD!$A$3:$A$5001,AJ$3,BD!$B$3:$B$5001,$A$66)))</f>
        <v/>
      </c>
      <c r="AK77" s="144" t="str">
        <f>IF(COUNT(F77:AJ77)&gt;0,LOOKUP(9.99E+307,F77:AJ77),IFERROR(IF(INDEX(BD!$AH$3:$AH$5001,MATCH($A$66,BD!$B$3:$B$5001,0))&amp;""="Contrato","",INDEX(BD!$AH$3:$AH$5001,MATCH($A$66,BD!$B$3:$B$5001,0))&amp;""),""))</f>
        <v/>
      </c>
    </row>
    <row r="78" ht="15.75" customHeight="1">
      <c r="A78" s="227"/>
      <c r="B78" s="222"/>
      <c r="C78" s="184" t="inlineStr">
        <is>
          <t xml:space="preserve">Posições Ocupadas</t>
        </is>
      </c>
      <c r="D78" s="185" t="str">
        <f>IFERROR(1/(1/INDEX(BD!$AK$45:$AT$45,MATCH($A$66,BD!$AK$22:$AT$22,0))),"")</f>
        <v/>
      </c>
      <c r="E78" s="186"/>
      <c r="F78" s="187" t="str">
        <f>IF(F$3="","",IF(COUNTIFS(BD!$A$3:$A$5001,F$3,BD!$B$3:$B$5001,$A$66,BD!$Y$3:$Y$5001,"&lt;&gt;")=0,"",SUMIFS(BD!$Y$3:$Y$5001,BD!$A$3:$A$5001,F$3,BD!$B$3:$B$5001,$A$66)))</f>
        <v/>
      </c>
      <c r="G78" s="188" t="str">
        <f>IF(G$3="","",IF(COUNTIFS(BD!$A$3:$A$5001,G$3,BD!$B$3:$B$5001,$A$66,BD!$Y$3:$Y$5001,"&lt;&gt;")=0,"",SUMIFS(BD!$Y$3:$Y$5001,BD!$A$3:$A$5001,G$3,BD!$B$3:$B$5001,$A$66)))</f>
        <v/>
      </c>
      <c r="H78" s="188" t="str">
        <f>IF(H$3="","",IF(COUNTIFS(BD!$A$3:$A$5001,H$3,BD!$B$3:$B$5001,$A$66,BD!$Y$3:$Y$5001,"&lt;&gt;")=0,"",SUMIFS(BD!$Y$3:$Y$5001,BD!$A$3:$A$5001,H$3,BD!$B$3:$B$5001,$A$66)))</f>
        <v/>
      </c>
      <c r="I78" s="188" t="str">
        <f>IF(I$3="","",IF(COUNTIFS(BD!$A$3:$A$5001,I$3,BD!$B$3:$B$5001,$A$66,BD!$Y$3:$Y$5001,"&lt;&gt;")=0,"",SUMIFS(BD!$Y$3:$Y$5001,BD!$A$3:$A$5001,I$3,BD!$B$3:$B$5001,$A$66)))</f>
        <v/>
      </c>
      <c r="J78" s="188" t="str">
        <f>IF(J$3="","",IF(COUNTIFS(BD!$A$3:$A$5001,J$3,BD!$B$3:$B$5001,$A$66,BD!$Y$3:$Y$5001,"&lt;&gt;")=0,"",SUMIFS(BD!$Y$3:$Y$5001,BD!$A$3:$A$5001,J$3,BD!$B$3:$B$5001,$A$66)))</f>
        <v/>
      </c>
      <c r="K78" s="188" t="str">
        <f>IF(K$3="","",IF(COUNTIFS(BD!$A$3:$A$5001,K$3,BD!$B$3:$B$5001,$A$66,BD!$Y$3:$Y$5001,"&lt;&gt;")=0,"",SUMIFS(BD!$Y$3:$Y$5001,BD!$A$3:$A$5001,K$3,BD!$B$3:$B$5001,$A$66)))</f>
        <v/>
      </c>
      <c r="L78" s="188" t="str">
        <f>IF(L$3="","",IF(COUNTIFS(BD!$A$3:$A$5001,L$3,BD!$B$3:$B$5001,$A$66,BD!$Y$3:$Y$5001,"&lt;&gt;")=0,"",SUMIFS(BD!$Y$3:$Y$5001,BD!$A$3:$A$5001,L$3,BD!$B$3:$B$5001,$A$66)))</f>
        <v/>
      </c>
      <c r="M78" s="188" t="str">
        <f>IF(M$3="","",IF(COUNTIFS(BD!$A$3:$A$5001,M$3,BD!$B$3:$B$5001,$A$66,BD!$Y$3:$Y$5001,"&lt;&gt;")=0,"",SUMIFS(BD!$Y$3:$Y$5001,BD!$A$3:$A$5001,M$3,BD!$B$3:$B$5001,$A$66)))</f>
        <v/>
      </c>
      <c r="N78" s="188" t="str">
        <f>IF(N$3="","",IF(COUNTIFS(BD!$A$3:$A$5001,N$3,BD!$B$3:$B$5001,$A$66,BD!$Y$3:$Y$5001,"&lt;&gt;")=0,"",SUMIFS(BD!$Y$3:$Y$5001,BD!$A$3:$A$5001,N$3,BD!$B$3:$B$5001,$A$66)))</f>
        <v/>
      </c>
      <c r="O78" s="188" t="str">
        <f>IF(O$3="","",IF(COUNTIFS(BD!$A$3:$A$5001,O$3,BD!$B$3:$B$5001,$A$66,BD!$Y$3:$Y$5001,"&lt;&gt;")=0,"",SUMIFS(BD!$Y$3:$Y$5001,BD!$A$3:$A$5001,O$3,BD!$B$3:$B$5001,$A$66)))</f>
        <v/>
      </c>
      <c r="P78" s="188" t="str">
        <f>IF(P$3="","",IF(COUNTIFS(BD!$A$3:$A$5001,P$3,BD!$B$3:$B$5001,$A$66,BD!$Y$3:$Y$5001,"&lt;&gt;")=0,"",SUMIFS(BD!$Y$3:$Y$5001,BD!$A$3:$A$5001,P$3,BD!$B$3:$B$5001,$A$66)))</f>
        <v/>
      </c>
      <c r="Q78" s="188" t="str">
        <f>IF(Q$3="","",IF(COUNTIFS(BD!$A$3:$A$5001,Q$3,BD!$B$3:$B$5001,$A$66,BD!$Y$3:$Y$5001,"&lt;&gt;")=0,"",SUMIFS(BD!$Y$3:$Y$5001,BD!$A$3:$A$5001,Q$3,BD!$B$3:$B$5001,$A$66)))</f>
        <v/>
      </c>
      <c r="R78" s="188" t="str">
        <f>IF(R$3="","",IF(COUNTIFS(BD!$A$3:$A$5001,R$3,BD!$B$3:$B$5001,$A$66,BD!$Y$3:$Y$5001,"&lt;&gt;")=0,"",SUMIFS(BD!$Y$3:$Y$5001,BD!$A$3:$A$5001,R$3,BD!$B$3:$B$5001,$A$66)))</f>
        <v/>
      </c>
      <c r="S78" s="188" t="str">
        <f>IF(S$3="","",IF(COUNTIFS(BD!$A$3:$A$5001,S$3,BD!$B$3:$B$5001,$A$66,BD!$Y$3:$Y$5001,"&lt;&gt;")=0,"",SUMIFS(BD!$Y$3:$Y$5001,BD!$A$3:$A$5001,S$3,BD!$B$3:$B$5001,$A$66)))</f>
        <v/>
      </c>
      <c r="T78" s="188" t="str">
        <f>IF(T$3="","",IF(COUNTIFS(BD!$A$3:$A$5001,T$3,BD!$B$3:$B$5001,$A$66,BD!$Y$3:$Y$5001,"&lt;&gt;")=0,"",SUMIFS(BD!$Y$3:$Y$5001,BD!$A$3:$A$5001,T$3,BD!$B$3:$B$5001,$A$66)))</f>
        <v/>
      </c>
      <c r="U78" s="188" t="str">
        <f>IF(U$3="","",IF(COUNTIFS(BD!$A$3:$A$5001,U$3,BD!$B$3:$B$5001,$A$66,BD!$Y$3:$Y$5001,"&lt;&gt;")=0,"",SUMIFS(BD!$Y$3:$Y$5001,BD!$A$3:$A$5001,U$3,BD!$B$3:$B$5001,$A$66)))</f>
        <v/>
      </c>
      <c r="V78" s="188" t="str">
        <f>IF(V$3="","",IF(COUNTIFS(BD!$A$3:$A$5001,V$3,BD!$B$3:$B$5001,$A$66,BD!$Y$3:$Y$5001,"&lt;&gt;")=0,"",SUMIFS(BD!$Y$3:$Y$5001,BD!$A$3:$A$5001,V$3,BD!$B$3:$B$5001,$A$66)))</f>
        <v/>
      </c>
      <c r="W78" s="188" t="str">
        <f>IF(W$3="","",IF(COUNTIFS(BD!$A$3:$A$5001,W$3,BD!$B$3:$B$5001,$A$66,BD!$Y$3:$Y$5001,"&lt;&gt;")=0,"",SUMIFS(BD!$Y$3:$Y$5001,BD!$A$3:$A$5001,W$3,BD!$B$3:$B$5001,$A$66)))</f>
        <v/>
      </c>
      <c r="X78" s="188" t="str">
        <f>IF(X$3="","",IF(COUNTIFS(BD!$A$3:$A$5001,X$3,BD!$B$3:$B$5001,$A$66,BD!$Y$3:$Y$5001,"&lt;&gt;")=0,"",SUMIFS(BD!$Y$3:$Y$5001,BD!$A$3:$A$5001,X$3,BD!$B$3:$B$5001,$A$66)))</f>
        <v/>
      </c>
      <c r="Y78" s="188" t="str">
        <f>IF(Y$3="","",IF(COUNTIFS(BD!$A$3:$A$5001,Y$3,BD!$B$3:$B$5001,$A$66,BD!$Y$3:$Y$5001,"&lt;&gt;")=0,"",SUMIFS(BD!$Y$3:$Y$5001,BD!$A$3:$A$5001,Y$3,BD!$B$3:$B$5001,$A$66)))</f>
        <v/>
      </c>
      <c r="Z78" s="188" t="str">
        <f>IF(Z$3="","",IF(COUNTIFS(BD!$A$3:$A$5001,Z$3,BD!$B$3:$B$5001,$A$66,BD!$Y$3:$Y$5001,"&lt;&gt;")=0,"",SUMIFS(BD!$Y$3:$Y$5001,BD!$A$3:$A$5001,Z$3,BD!$B$3:$B$5001,$A$66)))</f>
        <v/>
      </c>
      <c r="AA78" s="188" t="str">
        <f>IF(AA$3="","",IF(COUNTIFS(BD!$A$3:$A$5001,AA$3,BD!$B$3:$B$5001,$A$66,BD!$Y$3:$Y$5001,"&lt;&gt;")=0,"",SUMIFS(BD!$Y$3:$Y$5001,BD!$A$3:$A$5001,AA$3,BD!$B$3:$B$5001,$A$66)))</f>
        <v/>
      </c>
      <c r="AB78" s="188" t="str">
        <f>IF(AB$3="","",IF(COUNTIFS(BD!$A$3:$A$5001,AB$3,BD!$B$3:$B$5001,$A$66,BD!$Y$3:$Y$5001,"&lt;&gt;")=0,"",SUMIFS(BD!$Y$3:$Y$5001,BD!$A$3:$A$5001,AB$3,BD!$B$3:$B$5001,$A$66)))</f>
        <v/>
      </c>
      <c r="AC78" s="188" t="str">
        <f>IF(AC$3="","",IF(COUNTIFS(BD!$A$3:$A$5001,AC$3,BD!$B$3:$B$5001,$A$66,BD!$Y$3:$Y$5001,"&lt;&gt;")=0,"",SUMIFS(BD!$Y$3:$Y$5001,BD!$A$3:$A$5001,AC$3,BD!$B$3:$B$5001,$A$66)))</f>
        <v/>
      </c>
      <c r="AD78" s="188" t="str">
        <f>IF(AD$3="","",IF(COUNTIFS(BD!$A$3:$A$5001,AD$3,BD!$B$3:$B$5001,$A$66,BD!$Y$3:$Y$5001,"&lt;&gt;")=0,"",SUMIFS(BD!$Y$3:$Y$5001,BD!$A$3:$A$5001,AD$3,BD!$B$3:$B$5001,$A$66)))</f>
        <v/>
      </c>
      <c r="AE78" s="188" t="str">
        <f>IF(AE$3="","",IF(COUNTIFS(BD!$A$3:$A$5001,AE$3,BD!$B$3:$B$5001,$A$66,BD!$Y$3:$Y$5001,"&lt;&gt;")=0,"",SUMIFS(BD!$Y$3:$Y$5001,BD!$A$3:$A$5001,AE$3,BD!$B$3:$B$5001,$A$66)))</f>
        <v/>
      </c>
      <c r="AF78" s="188" t="str">
        <f>IF(AF$3="","",IF(COUNTIFS(BD!$A$3:$A$5001,AF$3,BD!$B$3:$B$5001,$A$66,BD!$Y$3:$Y$5001,"&lt;&gt;")=0,"",SUMIFS(BD!$Y$3:$Y$5001,BD!$A$3:$A$5001,AF$3,BD!$B$3:$B$5001,$A$66)))</f>
        <v/>
      </c>
      <c r="AG78" s="188" t="str">
        <f>IF(AG$3="","",IF(COUNTIFS(BD!$A$3:$A$5001,AG$3,BD!$B$3:$B$5001,$A$66,BD!$Y$3:$Y$5001,"&lt;&gt;")=0,"",SUMIFS(BD!$Y$3:$Y$5001,BD!$A$3:$A$5001,AG$3,BD!$B$3:$B$5001,$A$66)))</f>
        <v/>
      </c>
      <c r="AH78" s="188" t="str">
        <f>IF(AH$3="","",IF(COUNTIFS(BD!$A$3:$A$5001,AH$3,BD!$B$3:$B$5001,$A$66,BD!$Y$3:$Y$5001,"&lt;&gt;")=0,"",SUMIFS(BD!$Y$3:$Y$5001,BD!$A$3:$A$5001,AH$3,BD!$B$3:$B$5001,$A$66)))</f>
        <v/>
      </c>
      <c r="AI78" s="188" t="str">
        <f>IF(AI$3="","",IF(COUNTIFS(BD!$A$3:$A$5001,AI$3,BD!$B$3:$B$5001,$A$66,BD!$Y$3:$Y$5001,"&lt;&gt;")=0,"",SUMIFS(BD!$Y$3:$Y$5001,BD!$A$3:$A$5001,AI$3,BD!$B$3:$B$5001,$A$66)))</f>
        <v/>
      </c>
      <c r="AJ78" s="189" t="str">
        <f>IF(AJ$3="","",IF(COUNTIFS(BD!$A$3:$A$5001,AJ$3,BD!$B$3:$B$5001,$A$66,BD!$Y$3:$Y$5001,"&lt;&gt;")=0,"",SUMIFS(BD!$Y$3:$Y$5001,BD!$A$3:$A$5001,AJ$3,BD!$B$3:$B$5001,$A$66)))</f>
        <v/>
      </c>
      <c r="AK78" s="190" t="str">
        <f>IFERROR(LOOKUP(9.99E+307,F78:AJ78),"")</f>
        <v/>
      </c>
    </row>
    <row r="79" ht="15.75" customHeight="1">
      <c r="A79" s="227"/>
      <c r="B79" s="216"/>
      <c r="C79" s="145" t="inlineStr">
        <is>
          <t xml:space="preserve">Taxa de Ocupação</t>
        </is>
      </c>
      <c r="D79" s="191" t="str">
        <f>IFERROR(1/(1/INDEX(BD!$AK$46:$AT$46,MATCH($A$66,BD!$AK$22:$AT$22,0))),"")</f>
        <v/>
      </c>
      <c r="E79" s="147"/>
      <c r="F79" s="192" t="str">
        <f>IF(AND(ISNUMBER(F77),ISNUMBER(F78)),IF(F77&gt;0,F78/F77,""),"")</f>
        <v/>
      </c>
      <c r="G79" s="193" t="str">
        <f>IF(AND(ISNUMBER(G77),ISNUMBER(G78)),IF(G77&gt;0,G78/G77,""),"")</f>
        <v/>
      </c>
      <c r="H79" s="193" t="str">
        <f>IF(AND(ISNUMBER(H77),ISNUMBER(H78)),IF(H77&gt;0,H78/H77,""),"")</f>
        <v/>
      </c>
      <c r="I79" s="193" t="str">
        <f>IF(AND(ISNUMBER(I77),ISNUMBER(I78)),IF(I77&gt;0,I78/I77,""),"")</f>
        <v/>
      </c>
      <c r="J79" s="193" t="str">
        <f>IF(AND(ISNUMBER(J77),ISNUMBER(J78)),IF(J77&gt;0,J78/J77,""),"")</f>
        <v/>
      </c>
      <c r="K79" s="193" t="str">
        <f>IF(AND(ISNUMBER(K77),ISNUMBER(K78)),IF(K77&gt;0,K78/K77,""),"")</f>
        <v/>
      </c>
      <c r="L79" s="193" t="str">
        <f>IF(AND(ISNUMBER(L77),ISNUMBER(L78)),IF(L77&gt;0,L78/L77,""),"")</f>
        <v/>
      </c>
      <c r="M79" s="193" t="str">
        <f>IF(AND(ISNUMBER(M77),ISNUMBER(M78)),IF(M77&gt;0,M78/M77,""),"")</f>
        <v/>
      </c>
      <c r="N79" s="193" t="str">
        <f>IF(AND(ISNUMBER(N77),ISNUMBER(N78)),IF(N77&gt;0,N78/N77,""),"")</f>
        <v/>
      </c>
      <c r="O79" s="193" t="str">
        <f>IF(AND(ISNUMBER(O77),ISNUMBER(O78)),IF(O77&gt;0,O78/O77,""),"")</f>
        <v/>
      </c>
      <c r="P79" s="193" t="str">
        <f>IF(AND(ISNUMBER(P77),ISNUMBER(P78)),IF(P77&gt;0,P78/P77,""),"")</f>
        <v/>
      </c>
      <c r="Q79" s="193" t="str">
        <f>IF(AND(ISNUMBER(Q77),ISNUMBER(Q78)),IF(Q77&gt;0,Q78/Q77,""),"")</f>
        <v/>
      </c>
      <c r="R79" s="193" t="str">
        <f>IF(AND(ISNUMBER(R77),ISNUMBER(R78)),IF(R77&gt;0,R78/R77,""),"")</f>
        <v/>
      </c>
      <c r="S79" s="193" t="str">
        <f>IF(AND(ISNUMBER(S77),ISNUMBER(S78)),IF(S77&gt;0,S78/S77,""),"")</f>
        <v/>
      </c>
      <c r="T79" s="193" t="str">
        <f>IF(AND(ISNUMBER(T77),ISNUMBER(T78)),IF(T77&gt;0,T78/T77,""),"")</f>
        <v/>
      </c>
      <c r="U79" s="193" t="str">
        <f>IF(AND(ISNUMBER(U77),ISNUMBER(U78)),IF(U77&gt;0,U78/U77,""),"")</f>
        <v/>
      </c>
      <c r="V79" s="193" t="str">
        <f>IF(AND(ISNUMBER(V77),ISNUMBER(V78)),IF(V77&gt;0,V78/V77,""),"")</f>
        <v/>
      </c>
      <c r="W79" s="193" t="str">
        <f>IF(AND(ISNUMBER(W77),ISNUMBER(W78)),IF(W77&gt;0,W78/W77,""),"")</f>
        <v/>
      </c>
      <c r="X79" s="193" t="str">
        <f>IF(AND(ISNUMBER(X77),ISNUMBER(X78)),IF(X77&gt;0,X78/X77,""),"")</f>
        <v/>
      </c>
      <c r="Y79" s="193" t="str">
        <f>IF(AND(ISNUMBER(Y77),ISNUMBER(Y78)),IF(Y77&gt;0,Y78/Y77,""),"")</f>
        <v/>
      </c>
      <c r="Z79" s="193" t="str">
        <f>IF(AND(ISNUMBER(Z77),ISNUMBER(Z78)),IF(Z77&gt;0,Z78/Z77,""),"")</f>
        <v/>
      </c>
      <c r="AA79" s="193" t="str">
        <f>IF(AND(ISNUMBER(AA77),ISNUMBER(AA78)),IF(AA77&gt;0,AA78/AA77,""),"")</f>
        <v/>
      </c>
      <c r="AB79" s="193" t="str">
        <f>IF(AND(ISNUMBER(AB77),ISNUMBER(AB78)),IF(AB77&gt;0,AB78/AB77,""),"")</f>
        <v/>
      </c>
      <c r="AC79" s="193" t="str">
        <f>IF(AND(ISNUMBER(AC77),ISNUMBER(AC78)),IF(AC77&gt;0,AC78/AC77,""),"")</f>
        <v/>
      </c>
      <c r="AD79" s="193" t="str">
        <f>IF(AND(ISNUMBER(AD77),ISNUMBER(AD78)),IF(AD77&gt;0,AD78/AD77,""),"")</f>
        <v/>
      </c>
      <c r="AE79" s="193" t="str">
        <f>IF(AND(ISNUMBER(AE77),ISNUMBER(AE78)),IF(AE77&gt;0,AE78/AE77,""),"")</f>
        <v/>
      </c>
      <c r="AF79" s="193" t="str">
        <f>IF(AND(ISNUMBER(AF77),ISNUMBER(AF78)),IF(AF77&gt;0,AF78/AF77,""),"")</f>
        <v/>
      </c>
      <c r="AG79" s="193" t="str">
        <f>IF(AND(ISNUMBER(AG77),ISNUMBER(AG78)),IF(AG77&gt;0,AG78/AG77,""),"")</f>
        <v/>
      </c>
      <c r="AH79" s="193" t="str">
        <f>IF(AND(ISNUMBER(AH77),ISNUMBER(AH78)),IF(AH77&gt;0,AH78/AH77,""),"")</f>
        <v/>
      </c>
      <c r="AI79" s="193" t="str">
        <f>IF(AND(ISNUMBER(AI77),ISNUMBER(AI78)),IF(AI77&gt;0,AI78/AI77,""),"")</f>
        <v/>
      </c>
      <c r="AJ79" s="194" t="str">
        <f>IF(AND(ISNUMBER(AJ77),ISNUMBER(AJ78)),IF(AJ77&gt;0,AJ78/AJ77,""),"")</f>
        <v/>
      </c>
      <c r="AK79" s="191" t="str">
        <f>IF(AND(ISNUMBER(AK77),ISNUMBER(AK78)),IF(AK77&gt;0,AK78/AK77,""),"")</f>
        <v/>
      </c>
    </row>
    <row r="80" ht="15.75" customHeight="1">
      <c r="A80" s="227"/>
      <c r="B80" s="223" t="inlineStr">
        <is>
          <t xml:space="preserve">GENTE</t>
        </is>
      </c>
      <c r="C80" s="195" t="inlineStr">
        <is>
          <t xml:space="preserve">Efetivo Op.</t>
        </is>
      </c>
      <c r="D80" s="196" t="str">
        <f>IFERROR(1/(1/INDEX(BD!$AK$47:$AT$47,MATCH($A$66,BD!$AK$22:$AT$22,0))),"")</f>
        <v/>
      </c>
      <c r="E80" s="197"/>
      <c r="F80" s="198" t="str">
        <f>IF(F$3="","",IF(COUNTIFS(BD!$A$3:$A$5001,F$3,BD!$B$3:$B$5001,$A$66,BD!$Z$3:$Z$5001,"&lt;&gt;")=0,"",SUMIFS(BD!$Z$3:$Z$5001,BD!$A$3:$A$5001,F$3,BD!$B$3:$B$5001,$A$66)))</f>
        <v/>
      </c>
      <c r="G80" s="199" t="str">
        <f>IF(G$3="","",IF(COUNTIFS(BD!$A$3:$A$5001,G$3,BD!$B$3:$B$5001,$A$66,BD!$Z$3:$Z$5001,"&lt;&gt;")=0,"",SUMIFS(BD!$Z$3:$Z$5001,BD!$A$3:$A$5001,G$3,BD!$B$3:$B$5001,$A$66)))</f>
        <v/>
      </c>
      <c r="H80" s="199" t="str">
        <f>IF(H$3="","",IF(COUNTIFS(BD!$A$3:$A$5001,H$3,BD!$B$3:$B$5001,$A$66,BD!$Z$3:$Z$5001,"&lt;&gt;")=0,"",SUMIFS(BD!$Z$3:$Z$5001,BD!$A$3:$A$5001,H$3,BD!$B$3:$B$5001,$A$66)))</f>
        <v/>
      </c>
      <c r="I80" s="199" t="str">
        <f>IF(I$3="","",IF(COUNTIFS(BD!$A$3:$A$5001,I$3,BD!$B$3:$B$5001,$A$66,BD!$Z$3:$Z$5001,"&lt;&gt;")=0,"",SUMIFS(BD!$Z$3:$Z$5001,BD!$A$3:$A$5001,I$3,BD!$B$3:$B$5001,$A$66)))</f>
        <v/>
      </c>
      <c r="J80" s="199" t="str">
        <f>IF(J$3="","",IF(COUNTIFS(BD!$A$3:$A$5001,J$3,BD!$B$3:$B$5001,$A$66,BD!$Z$3:$Z$5001,"&lt;&gt;")=0,"",SUMIFS(BD!$Z$3:$Z$5001,BD!$A$3:$A$5001,J$3,BD!$B$3:$B$5001,$A$66)))</f>
        <v/>
      </c>
      <c r="K80" s="199" t="str">
        <f>IF(K$3="","",IF(COUNTIFS(BD!$A$3:$A$5001,K$3,BD!$B$3:$B$5001,$A$66,BD!$Z$3:$Z$5001,"&lt;&gt;")=0,"",SUMIFS(BD!$Z$3:$Z$5001,BD!$A$3:$A$5001,K$3,BD!$B$3:$B$5001,$A$66)))</f>
        <v/>
      </c>
      <c r="L80" s="199" t="str">
        <f>IF(L$3="","",IF(COUNTIFS(BD!$A$3:$A$5001,L$3,BD!$B$3:$B$5001,$A$66,BD!$Z$3:$Z$5001,"&lt;&gt;")=0,"",SUMIFS(BD!$Z$3:$Z$5001,BD!$A$3:$A$5001,L$3,BD!$B$3:$B$5001,$A$66)))</f>
        <v/>
      </c>
      <c r="M80" s="199" t="str">
        <f>IF(M$3="","",IF(COUNTIFS(BD!$A$3:$A$5001,M$3,BD!$B$3:$B$5001,$A$66,BD!$Z$3:$Z$5001,"&lt;&gt;")=0,"",SUMIFS(BD!$Z$3:$Z$5001,BD!$A$3:$A$5001,M$3,BD!$B$3:$B$5001,$A$66)))</f>
        <v/>
      </c>
      <c r="N80" s="199" t="str">
        <f>IF(N$3="","",IF(COUNTIFS(BD!$A$3:$A$5001,N$3,BD!$B$3:$B$5001,$A$66,BD!$Z$3:$Z$5001,"&lt;&gt;")=0,"",SUMIFS(BD!$Z$3:$Z$5001,BD!$A$3:$A$5001,N$3,BD!$B$3:$B$5001,$A$66)))</f>
        <v/>
      </c>
      <c r="O80" s="199" t="str">
        <f>IF(O$3="","",IF(COUNTIFS(BD!$A$3:$A$5001,O$3,BD!$B$3:$B$5001,$A$66,BD!$Z$3:$Z$5001,"&lt;&gt;")=0,"",SUMIFS(BD!$Z$3:$Z$5001,BD!$A$3:$A$5001,O$3,BD!$B$3:$B$5001,$A$66)))</f>
        <v/>
      </c>
      <c r="P80" s="199" t="str">
        <f>IF(P$3="","",IF(COUNTIFS(BD!$A$3:$A$5001,P$3,BD!$B$3:$B$5001,$A$66,BD!$Z$3:$Z$5001,"&lt;&gt;")=0,"",SUMIFS(BD!$Z$3:$Z$5001,BD!$A$3:$A$5001,P$3,BD!$B$3:$B$5001,$A$66)))</f>
        <v/>
      </c>
      <c r="Q80" s="199" t="str">
        <f>IF(Q$3="","",IF(COUNTIFS(BD!$A$3:$A$5001,Q$3,BD!$B$3:$B$5001,$A$66,BD!$Z$3:$Z$5001,"&lt;&gt;")=0,"",SUMIFS(BD!$Z$3:$Z$5001,BD!$A$3:$A$5001,Q$3,BD!$B$3:$B$5001,$A$66)))</f>
        <v/>
      </c>
      <c r="R80" s="199" t="str">
        <f>IF(R$3="","",IF(COUNTIFS(BD!$A$3:$A$5001,R$3,BD!$B$3:$B$5001,$A$66,BD!$Z$3:$Z$5001,"&lt;&gt;")=0,"",SUMIFS(BD!$Z$3:$Z$5001,BD!$A$3:$A$5001,R$3,BD!$B$3:$B$5001,$A$66)))</f>
        <v/>
      </c>
      <c r="S80" s="199" t="str">
        <f>IF(S$3="","",IF(COUNTIFS(BD!$A$3:$A$5001,S$3,BD!$B$3:$B$5001,$A$66,BD!$Z$3:$Z$5001,"&lt;&gt;")=0,"",SUMIFS(BD!$Z$3:$Z$5001,BD!$A$3:$A$5001,S$3,BD!$B$3:$B$5001,$A$66)))</f>
        <v/>
      </c>
      <c r="T80" s="199" t="str">
        <f>IF(T$3="","",IF(COUNTIFS(BD!$A$3:$A$5001,T$3,BD!$B$3:$B$5001,$A$66,BD!$Z$3:$Z$5001,"&lt;&gt;")=0,"",SUMIFS(BD!$Z$3:$Z$5001,BD!$A$3:$A$5001,T$3,BD!$B$3:$B$5001,$A$66)))</f>
        <v/>
      </c>
      <c r="U80" s="199" t="str">
        <f>IF(U$3="","",IF(COUNTIFS(BD!$A$3:$A$5001,U$3,BD!$B$3:$B$5001,$A$66,BD!$Z$3:$Z$5001,"&lt;&gt;")=0,"",SUMIFS(BD!$Z$3:$Z$5001,BD!$A$3:$A$5001,U$3,BD!$B$3:$B$5001,$A$66)))</f>
        <v/>
      </c>
      <c r="V80" s="199" t="str">
        <f>IF(V$3="","",IF(COUNTIFS(BD!$A$3:$A$5001,V$3,BD!$B$3:$B$5001,$A$66,BD!$Z$3:$Z$5001,"&lt;&gt;")=0,"",SUMIFS(BD!$Z$3:$Z$5001,BD!$A$3:$A$5001,V$3,BD!$B$3:$B$5001,$A$66)))</f>
        <v/>
      </c>
      <c r="W80" s="199" t="str">
        <f>IF(W$3="","",IF(COUNTIFS(BD!$A$3:$A$5001,W$3,BD!$B$3:$B$5001,$A$66,BD!$Z$3:$Z$5001,"&lt;&gt;")=0,"",SUMIFS(BD!$Z$3:$Z$5001,BD!$A$3:$A$5001,W$3,BD!$B$3:$B$5001,$A$66)))</f>
        <v/>
      </c>
      <c r="X80" s="199" t="str">
        <f>IF(X$3="","",IF(COUNTIFS(BD!$A$3:$A$5001,X$3,BD!$B$3:$B$5001,$A$66,BD!$Z$3:$Z$5001,"&lt;&gt;")=0,"",SUMIFS(BD!$Z$3:$Z$5001,BD!$A$3:$A$5001,X$3,BD!$B$3:$B$5001,$A$66)))</f>
        <v/>
      </c>
      <c r="Y80" s="199" t="str">
        <f>IF(Y$3="","",IF(COUNTIFS(BD!$A$3:$A$5001,Y$3,BD!$B$3:$B$5001,$A$66,BD!$Z$3:$Z$5001,"&lt;&gt;")=0,"",SUMIFS(BD!$Z$3:$Z$5001,BD!$A$3:$A$5001,Y$3,BD!$B$3:$B$5001,$A$66)))</f>
        <v/>
      </c>
      <c r="Z80" s="199" t="str">
        <f>IF(Z$3="","",IF(COUNTIFS(BD!$A$3:$A$5001,Z$3,BD!$B$3:$B$5001,$A$66,BD!$Z$3:$Z$5001,"&lt;&gt;")=0,"",SUMIFS(BD!$Z$3:$Z$5001,BD!$A$3:$A$5001,Z$3,BD!$B$3:$B$5001,$A$66)))</f>
        <v/>
      </c>
      <c r="AA80" s="199" t="str">
        <f>IF(AA$3="","",IF(COUNTIFS(BD!$A$3:$A$5001,AA$3,BD!$B$3:$B$5001,$A$66,BD!$Z$3:$Z$5001,"&lt;&gt;")=0,"",SUMIFS(BD!$Z$3:$Z$5001,BD!$A$3:$A$5001,AA$3,BD!$B$3:$B$5001,$A$66)))</f>
        <v/>
      </c>
      <c r="AB80" s="199" t="str">
        <f>IF(AB$3="","",IF(COUNTIFS(BD!$A$3:$A$5001,AB$3,BD!$B$3:$B$5001,$A$66,BD!$Z$3:$Z$5001,"&lt;&gt;")=0,"",SUMIFS(BD!$Z$3:$Z$5001,BD!$A$3:$A$5001,AB$3,BD!$B$3:$B$5001,$A$66)))</f>
        <v/>
      </c>
      <c r="AC80" s="199" t="str">
        <f>IF(AC$3="","",IF(COUNTIFS(BD!$A$3:$A$5001,AC$3,BD!$B$3:$B$5001,$A$66,BD!$Z$3:$Z$5001,"&lt;&gt;")=0,"",SUMIFS(BD!$Z$3:$Z$5001,BD!$A$3:$A$5001,AC$3,BD!$B$3:$B$5001,$A$66)))</f>
        <v/>
      </c>
      <c r="AD80" s="199" t="str">
        <f>IF(AD$3="","",IF(COUNTIFS(BD!$A$3:$A$5001,AD$3,BD!$B$3:$B$5001,$A$66,BD!$Z$3:$Z$5001,"&lt;&gt;")=0,"",SUMIFS(BD!$Z$3:$Z$5001,BD!$A$3:$A$5001,AD$3,BD!$B$3:$B$5001,$A$66)))</f>
        <v/>
      </c>
      <c r="AE80" s="199" t="str">
        <f>IF(AE$3="","",IF(COUNTIFS(BD!$A$3:$A$5001,AE$3,BD!$B$3:$B$5001,$A$66,BD!$Z$3:$Z$5001,"&lt;&gt;")=0,"",SUMIFS(BD!$Z$3:$Z$5001,BD!$A$3:$A$5001,AE$3,BD!$B$3:$B$5001,$A$66)))</f>
        <v/>
      </c>
      <c r="AF80" s="199" t="str">
        <f>IF(AF$3="","",IF(COUNTIFS(BD!$A$3:$A$5001,AF$3,BD!$B$3:$B$5001,$A$66,BD!$Z$3:$Z$5001,"&lt;&gt;")=0,"",SUMIFS(BD!$Z$3:$Z$5001,BD!$A$3:$A$5001,AF$3,BD!$B$3:$B$5001,$A$66)))</f>
        <v/>
      </c>
      <c r="AG80" s="199" t="str">
        <f>IF(AG$3="","",IF(COUNTIFS(BD!$A$3:$A$5001,AG$3,BD!$B$3:$B$5001,$A$66,BD!$Z$3:$Z$5001,"&lt;&gt;")=0,"",SUMIFS(BD!$Z$3:$Z$5001,BD!$A$3:$A$5001,AG$3,BD!$B$3:$B$5001,$A$66)))</f>
        <v/>
      </c>
      <c r="AH80" s="199" t="str">
        <f>IF(AH$3="","",IF(COUNTIFS(BD!$A$3:$A$5001,AH$3,BD!$B$3:$B$5001,$A$66,BD!$Z$3:$Z$5001,"&lt;&gt;")=0,"",SUMIFS(BD!$Z$3:$Z$5001,BD!$A$3:$A$5001,AH$3,BD!$B$3:$B$5001,$A$66)))</f>
        <v/>
      </c>
      <c r="AI80" s="199" t="str">
        <f>IF(AI$3="","",IF(COUNTIFS(BD!$A$3:$A$5001,AI$3,BD!$B$3:$B$5001,$A$66,BD!$Z$3:$Z$5001,"&lt;&gt;")=0,"",SUMIFS(BD!$Z$3:$Z$5001,BD!$A$3:$A$5001,AI$3,BD!$B$3:$B$5001,$A$66)))</f>
        <v/>
      </c>
      <c r="AJ80" s="200" t="str">
        <f>IF(AJ$3="","",IF(COUNTIFS(BD!$A$3:$A$5001,AJ$3,BD!$B$3:$B$5001,$A$66,BD!$Z$3:$Z$5001,"&lt;&gt;")=0,"",SUMIFS(BD!$Z$3:$Z$5001,BD!$A$3:$A$5001,AJ$3,BD!$B$3:$B$5001,$A$66)))</f>
        <v/>
      </c>
      <c r="AK80" s="201" t="str">
        <f>IFERROR(LOOKUP(9.99E+307,F80:AJ80),"")</f>
        <v/>
      </c>
    </row>
    <row r="81" ht="15.75" customHeight="1">
      <c r="A81" s="227"/>
      <c r="B81" s="224"/>
      <c r="C81" s="202" t="inlineStr">
        <is>
          <t xml:space="preserve">Falta</t>
        </is>
      </c>
      <c r="D81" s="203" t="str">
        <f>IFERROR(1/(1/INDEX(BD!$AK$48:$AT$48,MATCH($A$66,BD!$AK$22:$AT$22,0))),"")</f>
        <v/>
      </c>
      <c r="E81" s="204"/>
      <c r="F81" s="205" t="str">
        <f>IF(F$3="","",IF(COUNTIFS(BD!$A$3:$A$5001,F$3,BD!$B$3:$B$5001,$A$66,BD!$AA$3:$AA$5001,"&lt;&gt;")=0,"",SUMIFS(BD!$AA$3:$AA$5001,BD!$A$3:$A$5001,F$3,BD!$B$3:$B$5001,$A$66)))</f>
        <v/>
      </c>
      <c r="G81" s="206" t="str">
        <f>IF(G$3="","",IF(COUNTIFS(BD!$A$3:$A$5001,G$3,BD!$B$3:$B$5001,$A$66,BD!$AA$3:$AA$5001,"&lt;&gt;")=0,"",SUMIFS(BD!$AA$3:$AA$5001,BD!$A$3:$A$5001,G$3,BD!$B$3:$B$5001,$A$66)))</f>
        <v/>
      </c>
      <c r="H81" s="206" t="str">
        <f>IF(H$3="","",IF(COUNTIFS(BD!$A$3:$A$5001,H$3,BD!$B$3:$B$5001,$A$66,BD!$AA$3:$AA$5001,"&lt;&gt;")=0,"",SUMIFS(BD!$AA$3:$AA$5001,BD!$A$3:$A$5001,H$3,BD!$B$3:$B$5001,$A$66)))</f>
        <v/>
      </c>
      <c r="I81" s="206" t="str">
        <f>IF(I$3="","",IF(COUNTIFS(BD!$A$3:$A$5001,I$3,BD!$B$3:$B$5001,$A$66,BD!$AA$3:$AA$5001,"&lt;&gt;")=0,"",SUMIFS(BD!$AA$3:$AA$5001,BD!$A$3:$A$5001,I$3,BD!$B$3:$B$5001,$A$66)))</f>
        <v/>
      </c>
      <c r="J81" s="206" t="str">
        <f>IF(J$3="","",IF(COUNTIFS(BD!$A$3:$A$5001,J$3,BD!$B$3:$B$5001,$A$66,BD!$AA$3:$AA$5001,"&lt;&gt;")=0,"",SUMIFS(BD!$AA$3:$AA$5001,BD!$A$3:$A$5001,J$3,BD!$B$3:$B$5001,$A$66)))</f>
        <v/>
      </c>
      <c r="K81" s="206" t="str">
        <f>IF(K$3="","",IF(COUNTIFS(BD!$A$3:$A$5001,K$3,BD!$B$3:$B$5001,$A$66,BD!$AA$3:$AA$5001,"&lt;&gt;")=0,"",SUMIFS(BD!$AA$3:$AA$5001,BD!$A$3:$A$5001,K$3,BD!$B$3:$B$5001,$A$66)))</f>
        <v/>
      </c>
      <c r="L81" s="206" t="str">
        <f>IF(L$3="","",IF(COUNTIFS(BD!$A$3:$A$5001,L$3,BD!$B$3:$B$5001,$A$66,BD!$AA$3:$AA$5001,"&lt;&gt;")=0,"",SUMIFS(BD!$AA$3:$AA$5001,BD!$A$3:$A$5001,L$3,BD!$B$3:$B$5001,$A$66)))</f>
        <v/>
      </c>
      <c r="M81" s="206" t="str">
        <f>IF(M$3="","",IF(COUNTIFS(BD!$A$3:$A$5001,M$3,BD!$B$3:$B$5001,$A$66,BD!$AA$3:$AA$5001,"&lt;&gt;")=0,"",SUMIFS(BD!$AA$3:$AA$5001,BD!$A$3:$A$5001,M$3,BD!$B$3:$B$5001,$A$66)))</f>
        <v/>
      </c>
      <c r="N81" s="206" t="str">
        <f>IF(N$3="","",IF(COUNTIFS(BD!$A$3:$A$5001,N$3,BD!$B$3:$B$5001,$A$66,BD!$AA$3:$AA$5001,"&lt;&gt;")=0,"",SUMIFS(BD!$AA$3:$AA$5001,BD!$A$3:$A$5001,N$3,BD!$B$3:$B$5001,$A$66)))</f>
        <v/>
      </c>
      <c r="O81" s="206" t="str">
        <f>IF(O$3="","",IF(COUNTIFS(BD!$A$3:$A$5001,O$3,BD!$B$3:$B$5001,$A$66,BD!$AA$3:$AA$5001,"&lt;&gt;")=0,"",SUMIFS(BD!$AA$3:$AA$5001,BD!$A$3:$A$5001,O$3,BD!$B$3:$B$5001,$A$66)))</f>
        <v/>
      </c>
      <c r="P81" s="206" t="str">
        <f>IF(P$3="","",IF(COUNTIFS(BD!$A$3:$A$5001,P$3,BD!$B$3:$B$5001,$A$66,BD!$AA$3:$AA$5001,"&lt;&gt;")=0,"",SUMIFS(BD!$AA$3:$AA$5001,BD!$A$3:$A$5001,P$3,BD!$B$3:$B$5001,$A$66)))</f>
        <v/>
      </c>
      <c r="Q81" s="206" t="str">
        <f>IF(Q$3="","",IF(COUNTIFS(BD!$A$3:$A$5001,Q$3,BD!$B$3:$B$5001,$A$66,BD!$AA$3:$AA$5001,"&lt;&gt;")=0,"",SUMIFS(BD!$AA$3:$AA$5001,BD!$A$3:$A$5001,Q$3,BD!$B$3:$B$5001,$A$66)))</f>
        <v/>
      </c>
      <c r="R81" s="206" t="str">
        <f>IF(R$3="","",IF(COUNTIFS(BD!$A$3:$A$5001,R$3,BD!$B$3:$B$5001,$A$66,BD!$AA$3:$AA$5001,"&lt;&gt;")=0,"",SUMIFS(BD!$AA$3:$AA$5001,BD!$A$3:$A$5001,R$3,BD!$B$3:$B$5001,$A$66)))</f>
        <v/>
      </c>
      <c r="S81" s="206" t="str">
        <f>IF(S$3="","",IF(COUNTIFS(BD!$A$3:$A$5001,S$3,BD!$B$3:$B$5001,$A$66,BD!$AA$3:$AA$5001,"&lt;&gt;")=0,"",SUMIFS(BD!$AA$3:$AA$5001,BD!$A$3:$A$5001,S$3,BD!$B$3:$B$5001,$A$66)))</f>
        <v/>
      </c>
      <c r="T81" s="206" t="str">
        <f>IF(T$3="","",IF(COUNTIFS(BD!$A$3:$A$5001,T$3,BD!$B$3:$B$5001,$A$66,BD!$AA$3:$AA$5001,"&lt;&gt;")=0,"",SUMIFS(BD!$AA$3:$AA$5001,BD!$A$3:$A$5001,T$3,BD!$B$3:$B$5001,$A$66)))</f>
        <v/>
      </c>
      <c r="U81" s="206" t="str">
        <f>IF(U$3="","",IF(COUNTIFS(BD!$A$3:$A$5001,U$3,BD!$B$3:$B$5001,$A$66,BD!$AA$3:$AA$5001,"&lt;&gt;")=0,"",SUMIFS(BD!$AA$3:$AA$5001,BD!$A$3:$A$5001,U$3,BD!$B$3:$B$5001,$A$66)))</f>
        <v/>
      </c>
      <c r="V81" s="206" t="str">
        <f>IF(V$3="","",IF(COUNTIFS(BD!$A$3:$A$5001,V$3,BD!$B$3:$B$5001,$A$66,BD!$AA$3:$AA$5001,"&lt;&gt;")=0,"",SUMIFS(BD!$AA$3:$AA$5001,BD!$A$3:$A$5001,V$3,BD!$B$3:$B$5001,$A$66)))</f>
        <v/>
      </c>
      <c r="W81" s="206" t="str">
        <f>IF(W$3="","",IF(COUNTIFS(BD!$A$3:$A$5001,W$3,BD!$B$3:$B$5001,$A$66,BD!$AA$3:$AA$5001,"&lt;&gt;")=0,"",SUMIFS(BD!$AA$3:$AA$5001,BD!$A$3:$A$5001,W$3,BD!$B$3:$B$5001,$A$66)))</f>
        <v/>
      </c>
      <c r="X81" s="206" t="str">
        <f>IF(X$3="","",IF(COUNTIFS(BD!$A$3:$A$5001,X$3,BD!$B$3:$B$5001,$A$66,BD!$AA$3:$AA$5001,"&lt;&gt;")=0,"",SUMIFS(BD!$AA$3:$AA$5001,BD!$A$3:$A$5001,X$3,BD!$B$3:$B$5001,$A$66)))</f>
        <v/>
      </c>
      <c r="Y81" s="206" t="str">
        <f>IF(Y$3="","",IF(COUNTIFS(BD!$A$3:$A$5001,Y$3,BD!$B$3:$B$5001,$A$66,BD!$AA$3:$AA$5001,"&lt;&gt;")=0,"",SUMIFS(BD!$AA$3:$AA$5001,BD!$A$3:$A$5001,Y$3,BD!$B$3:$B$5001,$A$66)))</f>
        <v/>
      </c>
      <c r="Z81" s="206" t="str">
        <f>IF(Z$3="","",IF(COUNTIFS(BD!$A$3:$A$5001,Z$3,BD!$B$3:$B$5001,$A$66,BD!$AA$3:$AA$5001,"&lt;&gt;")=0,"",SUMIFS(BD!$AA$3:$AA$5001,BD!$A$3:$A$5001,Z$3,BD!$B$3:$B$5001,$A$66)))</f>
        <v/>
      </c>
      <c r="AA81" s="206" t="str">
        <f>IF(AA$3="","",IF(COUNTIFS(BD!$A$3:$A$5001,AA$3,BD!$B$3:$B$5001,$A$66,BD!$AA$3:$AA$5001,"&lt;&gt;")=0,"",SUMIFS(BD!$AA$3:$AA$5001,BD!$A$3:$A$5001,AA$3,BD!$B$3:$B$5001,$A$66)))</f>
        <v/>
      </c>
      <c r="AB81" s="206" t="str">
        <f>IF(AB$3="","",IF(COUNTIFS(BD!$A$3:$A$5001,AB$3,BD!$B$3:$B$5001,$A$66,BD!$AA$3:$AA$5001,"&lt;&gt;")=0,"",SUMIFS(BD!$AA$3:$AA$5001,BD!$A$3:$A$5001,AB$3,BD!$B$3:$B$5001,$A$66)))</f>
        <v/>
      </c>
      <c r="AC81" s="206" t="str">
        <f>IF(AC$3="","",IF(COUNTIFS(BD!$A$3:$A$5001,AC$3,BD!$B$3:$B$5001,$A$66,BD!$AA$3:$AA$5001,"&lt;&gt;")=0,"",SUMIFS(BD!$AA$3:$AA$5001,BD!$A$3:$A$5001,AC$3,BD!$B$3:$B$5001,$A$66)))</f>
        <v/>
      </c>
      <c r="AD81" s="206" t="str">
        <f>IF(AD$3="","",IF(COUNTIFS(BD!$A$3:$A$5001,AD$3,BD!$B$3:$B$5001,$A$66,BD!$AA$3:$AA$5001,"&lt;&gt;")=0,"",SUMIFS(BD!$AA$3:$AA$5001,BD!$A$3:$A$5001,AD$3,BD!$B$3:$B$5001,$A$66)))</f>
        <v/>
      </c>
      <c r="AE81" s="206" t="str">
        <f>IF(AE$3="","",IF(COUNTIFS(BD!$A$3:$A$5001,AE$3,BD!$B$3:$B$5001,$A$66,BD!$AA$3:$AA$5001,"&lt;&gt;")=0,"",SUMIFS(BD!$AA$3:$AA$5001,BD!$A$3:$A$5001,AE$3,BD!$B$3:$B$5001,$A$66)))</f>
        <v/>
      </c>
      <c r="AF81" s="206" t="str">
        <f>IF(AF$3="","",IF(COUNTIFS(BD!$A$3:$A$5001,AF$3,BD!$B$3:$B$5001,$A$66,BD!$AA$3:$AA$5001,"&lt;&gt;")=0,"",SUMIFS(BD!$AA$3:$AA$5001,BD!$A$3:$A$5001,AF$3,BD!$B$3:$B$5001,$A$66)))</f>
        <v/>
      </c>
      <c r="AG81" s="206" t="str">
        <f>IF(AG$3="","",IF(COUNTIFS(BD!$A$3:$A$5001,AG$3,BD!$B$3:$B$5001,$A$66,BD!$AA$3:$AA$5001,"&lt;&gt;")=0,"",SUMIFS(BD!$AA$3:$AA$5001,BD!$A$3:$A$5001,AG$3,BD!$B$3:$B$5001,$A$66)))</f>
        <v/>
      </c>
      <c r="AH81" s="206" t="str">
        <f>IF(AH$3="","",IF(COUNTIFS(BD!$A$3:$A$5001,AH$3,BD!$B$3:$B$5001,$A$66,BD!$AA$3:$AA$5001,"&lt;&gt;")=0,"",SUMIFS(BD!$AA$3:$AA$5001,BD!$A$3:$A$5001,AH$3,BD!$B$3:$B$5001,$A$66)))</f>
        <v/>
      </c>
      <c r="AI81" s="206" t="str">
        <f>IF(AI$3="","",IF(COUNTIFS(BD!$A$3:$A$5001,AI$3,BD!$B$3:$B$5001,$A$66,BD!$AA$3:$AA$5001,"&lt;&gt;")=0,"",SUMIFS(BD!$AA$3:$AA$5001,BD!$A$3:$A$5001,AI$3,BD!$B$3:$B$5001,$A$66)))</f>
        <v/>
      </c>
      <c r="AJ81" s="207" t="str">
        <f>IF(AJ$3="","",IF(COUNTIFS(BD!$A$3:$A$5001,AJ$3,BD!$B$3:$B$5001,$A$66,BD!$AA$3:$AA$5001,"&lt;&gt;")=0,"",SUMIFS(BD!$AA$3:$AA$5001,BD!$A$3:$A$5001,AJ$3,BD!$B$3:$B$5001,$A$66)))</f>
        <v/>
      </c>
      <c r="AK81" s="208" t="str">
        <f>IF(COUNT(F81:AJ81)=0,"",SUM(F81:AJ81))</f>
        <v/>
      </c>
    </row>
    <row r="82" ht="15.75" customHeight="1">
      <c r="A82" s="227"/>
      <c r="B82" s="224"/>
      <c r="C82" s="202" t="inlineStr">
        <is>
          <t xml:space="preserve">Folga</t>
        </is>
      </c>
      <c r="D82" s="203" t="str">
        <f>IFERROR(1/(1/INDEX(BD!$AK$49:$AT$49,MATCH($A$66,BD!$AK$22:$AT$22,0))),"")</f>
        <v/>
      </c>
      <c r="E82" s="204"/>
      <c r="F82" s="205" t="str">
        <f>IF(F$3="","",IF(COUNTIFS(BD!$A$3:$A$5001,F$3,BD!$B$3:$B$5001,$A$66,BD!$AB$3:$AB$5001,"&lt;&gt;")=0,"",SUMIFS(BD!$AB$3:$AB$5001,BD!$A$3:$A$5001,F$3,BD!$B$3:$B$5001,$A$66)))</f>
        <v/>
      </c>
      <c r="G82" s="206" t="str">
        <f>IF(G$3="","",IF(COUNTIFS(BD!$A$3:$A$5001,G$3,BD!$B$3:$B$5001,$A$66,BD!$AB$3:$AB$5001,"&lt;&gt;")=0,"",SUMIFS(BD!$AB$3:$AB$5001,BD!$A$3:$A$5001,G$3,BD!$B$3:$B$5001,$A$66)))</f>
        <v/>
      </c>
      <c r="H82" s="206" t="str">
        <f>IF(H$3="","",IF(COUNTIFS(BD!$A$3:$A$5001,H$3,BD!$B$3:$B$5001,$A$66,BD!$AB$3:$AB$5001,"&lt;&gt;")=0,"",SUMIFS(BD!$AB$3:$AB$5001,BD!$A$3:$A$5001,H$3,BD!$B$3:$B$5001,$A$66)))</f>
        <v/>
      </c>
      <c r="I82" s="206" t="str">
        <f>IF(I$3="","",IF(COUNTIFS(BD!$A$3:$A$5001,I$3,BD!$B$3:$B$5001,$A$66,BD!$AB$3:$AB$5001,"&lt;&gt;")=0,"",SUMIFS(BD!$AB$3:$AB$5001,BD!$A$3:$A$5001,I$3,BD!$B$3:$B$5001,$A$66)))</f>
        <v/>
      </c>
      <c r="J82" s="206" t="str">
        <f>IF(J$3="","",IF(COUNTIFS(BD!$A$3:$A$5001,J$3,BD!$B$3:$B$5001,$A$66,BD!$AB$3:$AB$5001,"&lt;&gt;")=0,"",SUMIFS(BD!$AB$3:$AB$5001,BD!$A$3:$A$5001,J$3,BD!$B$3:$B$5001,$A$66)))</f>
        <v/>
      </c>
      <c r="K82" s="206" t="str">
        <f>IF(K$3="","",IF(COUNTIFS(BD!$A$3:$A$5001,K$3,BD!$B$3:$B$5001,$A$66,BD!$AB$3:$AB$5001,"&lt;&gt;")=0,"",SUMIFS(BD!$AB$3:$AB$5001,BD!$A$3:$A$5001,K$3,BD!$B$3:$B$5001,$A$66)))</f>
        <v/>
      </c>
      <c r="L82" s="206" t="str">
        <f>IF(L$3="","",IF(COUNTIFS(BD!$A$3:$A$5001,L$3,BD!$B$3:$B$5001,$A$66,BD!$AB$3:$AB$5001,"&lt;&gt;")=0,"",SUMIFS(BD!$AB$3:$AB$5001,BD!$A$3:$A$5001,L$3,BD!$B$3:$B$5001,$A$66)))</f>
        <v/>
      </c>
      <c r="M82" s="206" t="str">
        <f>IF(M$3="","",IF(COUNTIFS(BD!$A$3:$A$5001,M$3,BD!$B$3:$B$5001,$A$66,BD!$AB$3:$AB$5001,"&lt;&gt;")=0,"",SUMIFS(BD!$AB$3:$AB$5001,BD!$A$3:$A$5001,M$3,BD!$B$3:$B$5001,$A$66)))</f>
        <v/>
      </c>
      <c r="N82" s="206" t="str">
        <f>IF(N$3="","",IF(COUNTIFS(BD!$A$3:$A$5001,N$3,BD!$B$3:$B$5001,$A$66,BD!$AB$3:$AB$5001,"&lt;&gt;")=0,"",SUMIFS(BD!$AB$3:$AB$5001,BD!$A$3:$A$5001,N$3,BD!$B$3:$B$5001,$A$66)))</f>
        <v/>
      </c>
      <c r="O82" s="206" t="str">
        <f>IF(O$3="","",IF(COUNTIFS(BD!$A$3:$A$5001,O$3,BD!$B$3:$B$5001,$A$66,BD!$AB$3:$AB$5001,"&lt;&gt;")=0,"",SUMIFS(BD!$AB$3:$AB$5001,BD!$A$3:$A$5001,O$3,BD!$B$3:$B$5001,$A$66)))</f>
        <v/>
      </c>
      <c r="P82" s="206" t="str">
        <f>IF(P$3="","",IF(COUNTIFS(BD!$A$3:$A$5001,P$3,BD!$B$3:$B$5001,$A$66,BD!$AB$3:$AB$5001,"&lt;&gt;")=0,"",SUMIFS(BD!$AB$3:$AB$5001,BD!$A$3:$A$5001,P$3,BD!$B$3:$B$5001,$A$66)))</f>
        <v/>
      </c>
      <c r="Q82" s="206" t="str">
        <f>IF(Q$3="","",IF(COUNTIFS(BD!$A$3:$A$5001,Q$3,BD!$B$3:$B$5001,$A$66,BD!$AB$3:$AB$5001,"&lt;&gt;")=0,"",SUMIFS(BD!$AB$3:$AB$5001,BD!$A$3:$A$5001,Q$3,BD!$B$3:$B$5001,$A$66)))</f>
        <v/>
      </c>
      <c r="R82" s="206" t="str">
        <f>IF(R$3="","",IF(COUNTIFS(BD!$A$3:$A$5001,R$3,BD!$B$3:$B$5001,$A$66,BD!$AB$3:$AB$5001,"&lt;&gt;")=0,"",SUMIFS(BD!$AB$3:$AB$5001,BD!$A$3:$A$5001,R$3,BD!$B$3:$B$5001,$A$66)))</f>
        <v/>
      </c>
      <c r="S82" s="206" t="str">
        <f>IF(S$3="","",IF(COUNTIFS(BD!$A$3:$A$5001,S$3,BD!$B$3:$B$5001,$A$66,BD!$AB$3:$AB$5001,"&lt;&gt;")=0,"",SUMIFS(BD!$AB$3:$AB$5001,BD!$A$3:$A$5001,S$3,BD!$B$3:$B$5001,$A$66)))</f>
        <v/>
      </c>
      <c r="T82" s="206" t="str">
        <f>IF(T$3="","",IF(COUNTIFS(BD!$A$3:$A$5001,T$3,BD!$B$3:$B$5001,$A$66,BD!$AB$3:$AB$5001,"&lt;&gt;")=0,"",SUMIFS(BD!$AB$3:$AB$5001,BD!$A$3:$A$5001,T$3,BD!$B$3:$B$5001,$A$66)))</f>
        <v/>
      </c>
      <c r="U82" s="206" t="str">
        <f>IF(U$3="","",IF(COUNTIFS(BD!$A$3:$A$5001,U$3,BD!$B$3:$B$5001,$A$66,BD!$AB$3:$AB$5001,"&lt;&gt;")=0,"",SUMIFS(BD!$AB$3:$AB$5001,BD!$A$3:$A$5001,U$3,BD!$B$3:$B$5001,$A$66)))</f>
        <v/>
      </c>
      <c r="V82" s="206" t="str">
        <f>IF(V$3="","",IF(COUNTIFS(BD!$A$3:$A$5001,V$3,BD!$B$3:$B$5001,$A$66,BD!$AB$3:$AB$5001,"&lt;&gt;")=0,"",SUMIFS(BD!$AB$3:$AB$5001,BD!$A$3:$A$5001,V$3,BD!$B$3:$B$5001,$A$66)))</f>
        <v/>
      </c>
      <c r="W82" s="206" t="str">
        <f>IF(W$3="","",IF(COUNTIFS(BD!$A$3:$A$5001,W$3,BD!$B$3:$B$5001,$A$66,BD!$AB$3:$AB$5001,"&lt;&gt;")=0,"",SUMIFS(BD!$AB$3:$AB$5001,BD!$A$3:$A$5001,W$3,BD!$B$3:$B$5001,$A$66)))</f>
        <v/>
      </c>
      <c r="X82" s="206" t="str">
        <f>IF(X$3="","",IF(COUNTIFS(BD!$A$3:$A$5001,X$3,BD!$B$3:$B$5001,$A$66,BD!$AB$3:$AB$5001,"&lt;&gt;")=0,"",SUMIFS(BD!$AB$3:$AB$5001,BD!$A$3:$A$5001,X$3,BD!$B$3:$B$5001,$A$66)))</f>
        <v/>
      </c>
      <c r="Y82" s="206" t="str">
        <f>IF(Y$3="","",IF(COUNTIFS(BD!$A$3:$A$5001,Y$3,BD!$B$3:$B$5001,$A$66,BD!$AB$3:$AB$5001,"&lt;&gt;")=0,"",SUMIFS(BD!$AB$3:$AB$5001,BD!$A$3:$A$5001,Y$3,BD!$B$3:$B$5001,$A$66)))</f>
        <v/>
      </c>
      <c r="Z82" s="206" t="str">
        <f>IF(Z$3="","",IF(COUNTIFS(BD!$A$3:$A$5001,Z$3,BD!$B$3:$B$5001,$A$66,BD!$AB$3:$AB$5001,"&lt;&gt;")=0,"",SUMIFS(BD!$AB$3:$AB$5001,BD!$A$3:$A$5001,Z$3,BD!$B$3:$B$5001,$A$66)))</f>
        <v/>
      </c>
      <c r="AA82" s="206" t="str">
        <f>IF(AA$3="","",IF(COUNTIFS(BD!$A$3:$A$5001,AA$3,BD!$B$3:$B$5001,$A$66,BD!$AB$3:$AB$5001,"&lt;&gt;")=0,"",SUMIFS(BD!$AB$3:$AB$5001,BD!$A$3:$A$5001,AA$3,BD!$B$3:$B$5001,$A$66)))</f>
        <v/>
      </c>
      <c r="AB82" s="206" t="str">
        <f>IF(AB$3="","",IF(COUNTIFS(BD!$A$3:$A$5001,AB$3,BD!$B$3:$B$5001,$A$66,BD!$AB$3:$AB$5001,"&lt;&gt;")=0,"",SUMIFS(BD!$AB$3:$AB$5001,BD!$A$3:$A$5001,AB$3,BD!$B$3:$B$5001,$A$66)))</f>
        <v/>
      </c>
      <c r="AC82" s="206" t="str">
        <f>IF(AC$3="","",IF(COUNTIFS(BD!$A$3:$A$5001,AC$3,BD!$B$3:$B$5001,$A$66,BD!$AB$3:$AB$5001,"&lt;&gt;")=0,"",SUMIFS(BD!$AB$3:$AB$5001,BD!$A$3:$A$5001,AC$3,BD!$B$3:$B$5001,$A$66)))</f>
        <v/>
      </c>
      <c r="AD82" s="206" t="str">
        <f>IF(AD$3="","",IF(COUNTIFS(BD!$A$3:$A$5001,AD$3,BD!$B$3:$B$5001,$A$66,BD!$AB$3:$AB$5001,"&lt;&gt;")=0,"",SUMIFS(BD!$AB$3:$AB$5001,BD!$A$3:$A$5001,AD$3,BD!$B$3:$B$5001,$A$66)))</f>
        <v/>
      </c>
      <c r="AE82" s="206" t="str">
        <f>IF(AE$3="","",IF(COUNTIFS(BD!$A$3:$A$5001,AE$3,BD!$B$3:$B$5001,$A$66,BD!$AB$3:$AB$5001,"&lt;&gt;")=0,"",SUMIFS(BD!$AB$3:$AB$5001,BD!$A$3:$A$5001,AE$3,BD!$B$3:$B$5001,$A$66)))</f>
        <v/>
      </c>
      <c r="AF82" s="206" t="str">
        <f>IF(AF$3="","",IF(COUNTIFS(BD!$A$3:$A$5001,AF$3,BD!$B$3:$B$5001,$A$66,BD!$AB$3:$AB$5001,"&lt;&gt;")=0,"",SUMIFS(BD!$AB$3:$AB$5001,BD!$A$3:$A$5001,AF$3,BD!$B$3:$B$5001,$A$66)))</f>
        <v/>
      </c>
      <c r="AG82" s="206" t="str">
        <f>IF(AG$3="","",IF(COUNTIFS(BD!$A$3:$A$5001,AG$3,BD!$B$3:$B$5001,$A$66,BD!$AB$3:$AB$5001,"&lt;&gt;")=0,"",SUMIFS(BD!$AB$3:$AB$5001,BD!$A$3:$A$5001,AG$3,BD!$B$3:$B$5001,$A$66)))</f>
        <v/>
      </c>
      <c r="AH82" s="206" t="str">
        <f>IF(AH$3="","",IF(COUNTIFS(BD!$A$3:$A$5001,AH$3,BD!$B$3:$B$5001,$A$66,BD!$AB$3:$AB$5001,"&lt;&gt;")=0,"",SUMIFS(BD!$AB$3:$AB$5001,BD!$A$3:$A$5001,AH$3,BD!$B$3:$B$5001,$A$66)))</f>
        <v/>
      </c>
      <c r="AI82" s="206" t="str">
        <f>IF(AI$3="","",IF(COUNTIFS(BD!$A$3:$A$5001,AI$3,BD!$B$3:$B$5001,$A$66,BD!$AB$3:$AB$5001,"&lt;&gt;")=0,"",SUMIFS(BD!$AB$3:$AB$5001,BD!$A$3:$A$5001,AI$3,BD!$B$3:$B$5001,$A$66)))</f>
        <v/>
      </c>
      <c r="AJ82" s="207" t="str">
        <f>IF(AJ$3="","",IF(COUNTIFS(BD!$A$3:$A$5001,AJ$3,BD!$B$3:$B$5001,$A$66,BD!$AB$3:$AB$5001,"&lt;&gt;")=0,"",SUMIFS(BD!$AB$3:$AB$5001,BD!$A$3:$A$5001,AJ$3,BD!$B$3:$B$5001,$A$66)))</f>
        <v/>
      </c>
      <c r="AK82" s="208" t="str">
        <f>IF(COUNT(F82:AJ82)=0,"",SUM(F82:AJ82))</f>
        <v/>
      </c>
    </row>
    <row r="83" ht="15.75" customHeight="1">
      <c r="A83" s="227"/>
      <c r="B83" s="224"/>
      <c r="C83" s="202" t="inlineStr">
        <is>
          <t xml:space="preserve">Férias</t>
        </is>
      </c>
      <c r="D83" s="203" t="str">
        <f>IFERROR(1/(1/INDEX(BD!$AK$50:$AT$50,MATCH($A$66,BD!$AK$22:$AT$22,0))),"")</f>
        <v/>
      </c>
      <c r="E83" s="204"/>
      <c r="F83" s="205" t="str">
        <f>IF(F$3="","",IF(COUNTIFS(BD!$A$3:$A$5001,F$3,BD!$B$3:$B$5001,$A$66,BD!$AC$3:$AC$5001,"&lt;&gt;")=0,"",SUMIFS(BD!$AC$3:$AC$5001,BD!$A$3:$A$5001,F$3,BD!$B$3:$B$5001,$A$66)))</f>
        <v/>
      </c>
      <c r="G83" s="206" t="str">
        <f>IF(G$3="","",IF(COUNTIFS(BD!$A$3:$A$5001,G$3,BD!$B$3:$B$5001,$A$66,BD!$AC$3:$AC$5001,"&lt;&gt;")=0,"",SUMIFS(BD!$AC$3:$AC$5001,BD!$A$3:$A$5001,G$3,BD!$B$3:$B$5001,$A$66)))</f>
        <v/>
      </c>
      <c r="H83" s="206" t="str">
        <f>IF(H$3="","",IF(COUNTIFS(BD!$A$3:$A$5001,H$3,BD!$B$3:$B$5001,$A$66,BD!$AC$3:$AC$5001,"&lt;&gt;")=0,"",SUMIFS(BD!$AC$3:$AC$5001,BD!$A$3:$A$5001,H$3,BD!$B$3:$B$5001,$A$66)))</f>
        <v/>
      </c>
      <c r="I83" s="206" t="str">
        <f>IF(I$3="","",IF(COUNTIFS(BD!$A$3:$A$5001,I$3,BD!$B$3:$B$5001,$A$66,BD!$AC$3:$AC$5001,"&lt;&gt;")=0,"",SUMIFS(BD!$AC$3:$AC$5001,BD!$A$3:$A$5001,I$3,BD!$B$3:$B$5001,$A$66)))</f>
        <v/>
      </c>
      <c r="J83" s="206" t="str">
        <f>IF(J$3="","",IF(COUNTIFS(BD!$A$3:$A$5001,J$3,BD!$B$3:$B$5001,$A$66,BD!$AC$3:$AC$5001,"&lt;&gt;")=0,"",SUMIFS(BD!$AC$3:$AC$5001,BD!$A$3:$A$5001,J$3,BD!$B$3:$B$5001,$A$66)))</f>
        <v/>
      </c>
      <c r="K83" s="206" t="str">
        <f>IF(K$3="","",IF(COUNTIFS(BD!$A$3:$A$5001,K$3,BD!$B$3:$B$5001,$A$66,BD!$AC$3:$AC$5001,"&lt;&gt;")=0,"",SUMIFS(BD!$AC$3:$AC$5001,BD!$A$3:$A$5001,K$3,BD!$B$3:$B$5001,$A$66)))</f>
        <v/>
      </c>
      <c r="L83" s="206" t="str">
        <f>IF(L$3="","",IF(COUNTIFS(BD!$A$3:$A$5001,L$3,BD!$B$3:$B$5001,$A$66,BD!$AC$3:$AC$5001,"&lt;&gt;")=0,"",SUMIFS(BD!$AC$3:$AC$5001,BD!$A$3:$A$5001,L$3,BD!$B$3:$B$5001,$A$66)))</f>
        <v/>
      </c>
      <c r="M83" s="206" t="str">
        <f>IF(M$3="","",IF(COUNTIFS(BD!$A$3:$A$5001,M$3,BD!$B$3:$B$5001,$A$66,BD!$AC$3:$AC$5001,"&lt;&gt;")=0,"",SUMIFS(BD!$AC$3:$AC$5001,BD!$A$3:$A$5001,M$3,BD!$B$3:$B$5001,$A$66)))</f>
        <v/>
      </c>
      <c r="N83" s="206" t="str">
        <f>IF(N$3="","",IF(COUNTIFS(BD!$A$3:$A$5001,N$3,BD!$B$3:$B$5001,$A$66,BD!$AC$3:$AC$5001,"&lt;&gt;")=0,"",SUMIFS(BD!$AC$3:$AC$5001,BD!$A$3:$A$5001,N$3,BD!$B$3:$B$5001,$A$66)))</f>
        <v/>
      </c>
      <c r="O83" s="206" t="str">
        <f>IF(O$3="","",IF(COUNTIFS(BD!$A$3:$A$5001,O$3,BD!$B$3:$B$5001,$A$66,BD!$AC$3:$AC$5001,"&lt;&gt;")=0,"",SUMIFS(BD!$AC$3:$AC$5001,BD!$A$3:$A$5001,O$3,BD!$B$3:$B$5001,$A$66)))</f>
        <v/>
      </c>
      <c r="P83" s="206" t="str">
        <f>IF(P$3="","",IF(COUNTIFS(BD!$A$3:$A$5001,P$3,BD!$B$3:$B$5001,$A$66,BD!$AC$3:$AC$5001,"&lt;&gt;")=0,"",SUMIFS(BD!$AC$3:$AC$5001,BD!$A$3:$A$5001,P$3,BD!$B$3:$B$5001,$A$66)))</f>
        <v/>
      </c>
      <c r="Q83" s="206" t="str">
        <f>IF(Q$3="","",IF(COUNTIFS(BD!$A$3:$A$5001,Q$3,BD!$B$3:$B$5001,$A$66,BD!$AC$3:$AC$5001,"&lt;&gt;")=0,"",SUMIFS(BD!$AC$3:$AC$5001,BD!$A$3:$A$5001,Q$3,BD!$B$3:$B$5001,$A$66)))</f>
        <v/>
      </c>
      <c r="R83" s="206" t="str">
        <f>IF(R$3="","",IF(COUNTIFS(BD!$A$3:$A$5001,R$3,BD!$B$3:$B$5001,$A$66,BD!$AC$3:$AC$5001,"&lt;&gt;")=0,"",SUMIFS(BD!$AC$3:$AC$5001,BD!$A$3:$A$5001,R$3,BD!$B$3:$B$5001,$A$66)))</f>
        <v/>
      </c>
      <c r="S83" s="206" t="str">
        <f>IF(S$3="","",IF(COUNTIFS(BD!$A$3:$A$5001,S$3,BD!$B$3:$B$5001,$A$66,BD!$AC$3:$AC$5001,"&lt;&gt;")=0,"",SUMIFS(BD!$AC$3:$AC$5001,BD!$A$3:$A$5001,S$3,BD!$B$3:$B$5001,$A$66)))</f>
        <v/>
      </c>
      <c r="T83" s="206" t="str">
        <f>IF(T$3="","",IF(COUNTIFS(BD!$A$3:$A$5001,T$3,BD!$B$3:$B$5001,$A$66,BD!$AC$3:$AC$5001,"&lt;&gt;")=0,"",SUMIFS(BD!$AC$3:$AC$5001,BD!$A$3:$A$5001,T$3,BD!$B$3:$B$5001,$A$66)))</f>
        <v/>
      </c>
      <c r="U83" s="206" t="str">
        <f>IF(U$3="","",IF(COUNTIFS(BD!$A$3:$A$5001,U$3,BD!$B$3:$B$5001,$A$66,BD!$AC$3:$AC$5001,"&lt;&gt;")=0,"",SUMIFS(BD!$AC$3:$AC$5001,BD!$A$3:$A$5001,U$3,BD!$B$3:$B$5001,$A$66)))</f>
        <v/>
      </c>
      <c r="V83" s="206" t="str">
        <f>IF(V$3="","",IF(COUNTIFS(BD!$A$3:$A$5001,V$3,BD!$B$3:$B$5001,$A$66,BD!$AC$3:$AC$5001,"&lt;&gt;")=0,"",SUMIFS(BD!$AC$3:$AC$5001,BD!$A$3:$A$5001,V$3,BD!$B$3:$B$5001,$A$66)))</f>
        <v/>
      </c>
      <c r="W83" s="206" t="str">
        <f>IF(W$3="","",IF(COUNTIFS(BD!$A$3:$A$5001,W$3,BD!$B$3:$B$5001,$A$66,BD!$AC$3:$AC$5001,"&lt;&gt;")=0,"",SUMIFS(BD!$AC$3:$AC$5001,BD!$A$3:$A$5001,W$3,BD!$B$3:$B$5001,$A$66)))</f>
        <v/>
      </c>
      <c r="X83" s="206" t="str">
        <f>IF(X$3="","",IF(COUNTIFS(BD!$A$3:$A$5001,X$3,BD!$B$3:$B$5001,$A$66,BD!$AC$3:$AC$5001,"&lt;&gt;")=0,"",SUMIFS(BD!$AC$3:$AC$5001,BD!$A$3:$A$5001,X$3,BD!$B$3:$B$5001,$A$66)))</f>
        <v/>
      </c>
      <c r="Y83" s="206" t="str">
        <f>IF(Y$3="","",IF(COUNTIFS(BD!$A$3:$A$5001,Y$3,BD!$B$3:$B$5001,$A$66,BD!$AC$3:$AC$5001,"&lt;&gt;")=0,"",SUMIFS(BD!$AC$3:$AC$5001,BD!$A$3:$A$5001,Y$3,BD!$B$3:$B$5001,$A$66)))</f>
        <v/>
      </c>
      <c r="Z83" s="206" t="str">
        <f>IF(Z$3="","",IF(COUNTIFS(BD!$A$3:$A$5001,Z$3,BD!$B$3:$B$5001,$A$66,BD!$AC$3:$AC$5001,"&lt;&gt;")=0,"",SUMIFS(BD!$AC$3:$AC$5001,BD!$A$3:$A$5001,Z$3,BD!$B$3:$B$5001,$A$66)))</f>
        <v/>
      </c>
      <c r="AA83" s="206" t="str">
        <f>IF(AA$3="","",IF(COUNTIFS(BD!$A$3:$A$5001,AA$3,BD!$B$3:$B$5001,$A$66,BD!$AC$3:$AC$5001,"&lt;&gt;")=0,"",SUMIFS(BD!$AC$3:$AC$5001,BD!$A$3:$A$5001,AA$3,BD!$B$3:$B$5001,$A$66)))</f>
        <v/>
      </c>
      <c r="AB83" s="206" t="str">
        <f>IF(AB$3="","",IF(COUNTIFS(BD!$A$3:$A$5001,AB$3,BD!$B$3:$B$5001,$A$66,BD!$AC$3:$AC$5001,"&lt;&gt;")=0,"",SUMIFS(BD!$AC$3:$AC$5001,BD!$A$3:$A$5001,AB$3,BD!$B$3:$B$5001,$A$66)))</f>
        <v/>
      </c>
      <c r="AC83" s="206" t="str">
        <f>IF(AC$3="","",IF(COUNTIFS(BD!$A$3:$A$5001,AC$3,BD!$B$3:$B$5001,$A$66,BD!$AC$3:$AC$5001,"&lt;&gt;")=0,"",SUMIFS(BD!$AC$3:$AC$5001,BD!$A$3:$A$5001,AC$3,BD!$B$3:$B$5001,$A$66)))</f>
        <v/>
      </c>
      <c r="AD83" s="206" t="str">
        <f>IF(AD$3="","",IF(COUNTIFS(BD!$A$3:$A$5001,AD$3,BD!$B$3:$B$5001,$A$66,BD!$AC$3:$AC$5001,"&lt;&gt;")=0,"",SUMIFS(BD!$AC$3:$AC$5001,BD!$A$3:$A$5001,AD$3,BD!$B$3:$B$5001,$A$66)))</f>
        <v/>
      </c>
      <c r="AE83" s="206" t="str">
        <f>IF(AE$3="","",IF(COUNTIFS(BD!$A$3:$A$5001,AE$3,BD!$B$3:$B$5001,$A$66,BD!$AC$3:$AC$5001,"&lt;&gt;")=0,"",SUMIFS(BD!$AC$3:$AC$5001,BD!$A$3:$A$5001,AE$3,BD!$B$3:$B$5001,$A$66)))</f>
        <v/>
      </c>
      <c r="AF83" s="206" t="str">
        <f>IF(AF$3="","",IF(COUNTIFS(BD!$A$3:$A$5001,AF$3,BD!$B$3:$B$5001,$A$66,BD!$AC$3:$AC$5001,"&lt;&gt;")=0,"",SUMIFS(BD!$AC$3:$AC$5001,BD!$A$3:$A$5001,AF$3,BD!$B$3:$B$5001,$A$66)))</f>
        <v/>
      </c>
      <c r="AG83" s="206" t="str">
        <f>IF(AG$3="","",IF(COUNTIFS(BD!$A$3:$A$5001,AG$3,BD!$B$3:$B$5001,$A$66,BD!$AC$3:$AC$5001,"&lt;&gt;")=0,"",SUMIFS(BD!$AC$3:$AC$5001,BD!$A$3:$A$5001,AG$3,BD!$B$3:$B$5001,$A$66)))</f>
        <v/>
      </c>
      <c r="AH83" s="206" t="str">
        <f>IF(AH$3="","",IF(COUNTIFS(BD!$A$3:$A$5001,AH$3,BD!$B$3:$B$5001,$A$66,BD!$AC$3:$AC$5001,"&lt;&gt;")=0,"",SUMIFS(BD!$AC$3:$AC$5001,BD!$A$3:$A$5001,AH$3,BD!$B$3:$B$5001,$A$66)))</f>
        <v/>
      </c>
      <c r="AI83" s="206" t="str">
        <f>IF(AI$3="","",IF(COUNTIFS(BD!$A$3:$A$5001,AI$3,BD!$B$3:$B$5001,$A$66,BD!$AC$3:$AC$5001,"&lt;&gt;")=0,"",SUMIFS(BD!$AC$3:$AC$5001,BD!$A$3:$A$5001,AI$3,BD!$B$3:$B$5001,$A$66)))</f>
        <v/>
      </c>
      <c r="AJ83" s="207" t="str">
        <f>IF(AJ$3="","",IF(COUNTIFS(BD!$A$3:$A$5001,AJ$3,BD!$B$3:$B$5001,$A$66,BD!$AC$3:$AC$5001,"&lt;&gt;")=0,"",SUMIFS(BD!$AC$3:$AC$5001,BD!$A$3:$A$5001,AJ$3,BD!$B$3:$B$5001,$A$66)))</f>
        <v/>
      </c>
      <c r="AK83" s="208" t="str">
        <f>IF(COUNT(F83:AJ83)=0,"",SUM(F83:AJ83))</f>
        <v/>
      </c>
    </row>
    <row r="84" ht="15.75" customHeight="1">
      <c r="A84" s="227"/>
      <c r="B84" s="224"/>
      <c r="C84" s="202" t="inlineStr">
        <is>
          <t xml:space="preserve">Desligamento</t>
        </is>
      </c>
      <c r="D84" s="203" t="str">
        <f>IFERROR(1/(1/INDEX(BD!$AK$51:$AT$51,MATCH($A$66,BD!$AK$22:$AT$22,0))),"")</f>
        <v/>
      </c>
      <c r="E84" s="204"/>
      <c r="F84" s="205" t="str">
        <f>IF(F$3="","",IF(COUNTIFS(BD!$A$3:$A$5001,F$3,BD!$B$3:$B$5001,$A$66,BD!$AD$3:$AD$5001,"&lt;&gt;")=0,"",SUMIFS(BD!$AD$3:$AD$5001,BD!$A$3:$A$5001,F$3,BD!$B$3:$B$5001,$A$66)))</f>
        <v/>
      </c>
      <c r="G84" s="206" t="str">
        <f>IF(G$3="","",IF(COUNTIFS(BD!$A$3:$A$5001,G$3,BD!$B$3:$B$5001,$A$66,BD!$AD$3:$AD$5001,"&lt;&gt;")=0,"",SUMIFS(BD!$AD$3:$AD$5001,BD!$A$3:$A$5001,G$3,BD!$B$3:$B$5001,$A$66)))</f>
        <v/>
      </c>
      <c r="H84" s="206" t="str">
        <f>IF(H$3="","",IF(COUNTIFS(BD!$A$3:$A$5001,H$3,BD!$B$3:$B$5001,$A$66,BD!$AD$3:$AD$5001,"&lt;&gt;")=0,"",SUMIFS(BD!$AD$3:$AD$5001,BD!$A$3:$A$5001,H$3,BD!$B$3:$B$5001,$A$66)))</f>
        <v/>
      </c>
      <c r="I84" s="206" t="str">
        <f>IF(I$3="","",IF(COUNTIFS(BD!$A$3:$A$5001,I$3,BD!$B$3:$B$5001,$A$66,BD!$AD$3:$AD$5001,"&lt;&gt;")=0,"",SUMIFS(BD!$AD$3:$AD$5001,BD!$A$3:$A$5001,I$3,BD!$B$3:$B$5001,$A$66)))</f>
        <v/>
      </c>
      <c r="J84" s="206" t="str">
        <f>IF(J$3="","",IF(COUNTIFS(BD!$A$3:$A$5001,J$3,BD!$B$3:$B$5001,$A$66,BD!$AD$3:$AD$5001,"&lt;&gt;")=0,"",SUMIFS(BD!$AD$3:$AD$5001,BD!$A$3:$A$5001,J$3,BD!$B$3:$B$5001,$A$66)))</f>
        <v/>
      </c>
      <c r="K84" s="206" t="str">
        <f>IF(K$3="","",IF(COUNTIFS(BD!$A$3:$A$5001,K$3,BD!$B$3:$B$5001,$A$66,BD!$AD$3:$AD$5001,"&lt;&gt;")=0,"",SUMIFS(BD!$AD$3:$AD$5001,BD!$A$3:$A$5001,K$3,BD!$B$3:$B$5001,$A$66)))</f>
        <v/>
      </c>
      <c r="L84" s="206" t="str">
        <f>IF(L$3="","",IF(COUNTIFS(BD!$A$3:$A$5001,L$3,BD!$B$3:$B$5001,$A$66,BD!$AD$3:$AD$5001,"&lt;&gt;")=0,"",SUMIFS(BD!$AD$3:$AD$5001,BD!$A$3:$A$5001,L$3,BD!$B$3:$B$5001,$A$66)))</f>
        <v/>
      </c>
      <c r="M84" s="206" t="str">
        <f>IF(M$3="","",IF(COUNTIFS(BD!$A$3:$A$5001,M$3,BD!$B$3:$B$5001,$A$66,BD!$AD$3:$AD$5001,"&lt;&gt;")=0,"",SUMIFS(BD!$AD$3:$AD$5001,BD!$A$3:$A$5001,M$3,BD!$B$3:$B$5001,$A$66)))</f>
        <v/>
      </c>
      <c r="N84" s="206" t="str">
        <f>IF(N$3="","",IF(COUNTIFS(BD!$A$3:$A$5001,N$3,BD!$B$3:$B$5001,$A$66,BD!$AD$3:$AD$5001,"&lt;&gt;")=0,"",SUMIFS(BD!$AD$3:$AD$5001,BD!$A$3:$A$5001,N$3,BD!$B$3:$B$5001,$A$66)))</f>
        <v/>
      </c>
      <c r="O84" s="206" t="str">
        <f>IF(O$3="","",IF(COUNTIFS(BD!$A$3:$A$5001,O$3,BD!$B$3:$B$5001,$A$66,BD!$AD$3:$AD$5001,"&lt;&gt;")=0,"",SUMIFS(BD!$AD$3:$AD$5001,BD!$A$3:$A$5001,O$3,BD!$B$3:$B$5001,$A$66)))</f>
        <v/>
      </c>
      <c r="P84" s="206" t="str">
        <f>IF(P$3="","",IF(COUNTIFS(BD!$A$3:$A$5001,P$3,BD!$B$3:$B$5001,$A$66,BD!$AD$3:$AD$5001,"&lt;&gt;")=0,"",SUMIFS(BD!$AD$3:$AD$5001,BD!$A$3:$A$5001,P$3,BD!$B$3:$B$5001,$A$66)))</f>
        <v/>
      </c>
      <c r="Q84" s="206" t="str">
        <f>IF(Q$3="","",IF(COUNTIFS(BD!$A$3:$A$5001,Q$3,BD!$B$3:$B$5001,$A$66,BD!$AD$3:$AD$5001,"&lt;&gt;")=0,"",SUMIFS(BD!$AD$3:$AD$5001,BD!$A$3:$A$5001,Q$3,BD!$B$3:$B$5001,$A$66)))</f>
        <v/>
      </c>
      <c r="R84" s="206" t="str">
        <f>IF(R$3="","",IF(COUNTIFS(BD!$A$3:$A$5001,R$3,BD!$B$3:$B$5001,$A$66,BD!$AD$3:$AD$5001,"&lt;&gt;")=0,"",SUMIFS(BD!$AD$3:$AD$5001,BD!$A$3:$A$5001,R$3,BD!$B$3:$B$5001,$A$66)))</f>
        <v/>
      </c>
      <c r="S84" s="206" t="str">
        <f>IF(S$3="","",IF(COUNTIFS(BD!$A$3:$A$5001,S$3,BD!$B$3:$B$5001,$A$66,BD!$AD$3:$AD$5001,"&lt;&gt;")=0,"",SUMIFS(BD!$AD$3:$AD$5001,BD!$A$3:$A$5001,S$3,BD!$B$3:$B$5001,$A$66)))</f>
        <v/>
      </c>
      <c r="T84" s="206" t="str">
        <f>IF(T$3="","",IF(COUNTIFS(BD!$A$3:$A$5001,T$3,BD!$B$3:$B$5001,$A$66,BD!$AD$3:$AD$5001,"&lt;&gt;")=0,"",SUMIFS(BD!$AD$3:$AD$5001,BD!$A$3:$A$5001,T$3,BD!$B$3:$B$5001,$A$66)))</f>
        <v/>
      </c>
      <c r="U84" s="206" t="str">
        <f>IF(U$3="","",IF(COUNTIFS(BD!$A$3:$A$5001,U$3,BD!$B$3:$B$5001,$A$66,BD!$AD$3:$AD$5001,"&lt;&gt;")=0,"",SUMIFS(BD!$AD$3:$AD$5001,BD!$A$3:$A$5001,U$3,BD!$B$3:$B$5001,$A$66)))</f>
        <v/>
      </c>
      <c r="V84" s="206" t="str">
        <f>IF(V$3="","",IF(COUNTIFS(BD!$A$3:$A$5001,V$3,BD!$B$3:$B$5001,$A$66,BD!$AD$3:$AD$5001,"&lt;&gt;")=0,"",SUMIFS(BD!$AD$3:$AD$5001,BD!$A$3:$A$5001,V$3,BD!$B$3:$B$5001,$A$66)))</f>
        <v/>
      </c>
      <c r="W84" s="206" t="str">
        <f>IF(W$3="","",IF(COUNTIFS(BD!$A$3:$A$5001,W$3,BD!$B$3:$B$5001,$A$66,BD!$AD$3:$AD$5001,"&lt;&gt;")=0,"",SUMIFS(BD!$AD$3:$AD$5001,BD!$A$3:$A$5001,W$3,BD!$B$3:$B$5001,$A$66)))</f>
        <v/>
      </c>
      <c r="X84" s="206" t="str">
        <f>IF(X$3="","",IF(COUNTIFS(BD!$A$3:$A$5001,X$3,BD!$B$3:$B$5001,$A$66,BD!$AD$3:$AD$5001,"&lt;&gt;")=0,"",SUMIFS(BD!$AD$3:$AD$5001,BD!$A$3:$A$5001,X$3,BD!$B$3:$B$5001,$A$66)))</f>
        <v/>
      </c>
      <c r="Y84" s="206" t="str">
        <f>IF(Y$3="","",IF(COUNTIFS(BD!$A$3:$A$5001,Y$3,BD!$B$3:$B$5001,$A$66,BD!$AD$3:$AD$5001,"&lt;&gt;")=0,"",SUMIFS(BD!$AD$3:$AD$5001,BD!$A$3:$A$5001,Y$3,BD!$B$3:$B$5001,$A$66)))</f>
        <v/>
      </c>
      <c r="Z84" s="206" t="str">
        <f>IF(Z$3="","",IF(COUNTIFS(BD!$A$3:$A$5001,Z$3,BD!$B$3:$B$5001,$A$66,BD!$AD$3:$AD$5001,"&lt;&gt;")=0,"",SUMIFS(BD!$AD$3:$AD$5001,BD!$A$3:$A$5001,Z$3,BD!$B$3:$B$5001,$A$66)))</f>
        <v/>
      </c>
      <c r="AA84" s="206" t="str">
        <f>IF(AA$3="","",IF(COUNTIFS(BD!$A$3:$A$5001,AA$3,BD!$B$3:$B$5001,$A$66,BD!$AD$3:$AD$5001,"&lt;&gt;")=0,"",SUMIFS(BD!$AD$3:$AD$5001,BD!$A$3:$A$5001,AA$3,BD!$B$3:$B$5001,$A$66)))</f>
        <v/>
      </c>
      <c r="AB84" s="206" t="str">
        <f>IF(AB$3="","",IF(COUNTIFS(BD!$A$3:$A$5001,AB$3,BD!$B$3:$B$5001,$A$66,BD!$AD$3:$AD$5001,"&lt;&gt;")=0,"",SUMIFS(BD!$AD$3:$AD$5001,BD!$A$3:$A$5001,AB$3,BD!$B$3:$B$5001,$A$66)))</f>
        <v/>
      </c>
      <c r="AC84" s="206" t="str">
        <f>IF(AC$3="","",IF(COUNTIFS(BD!$A$3:$A$5001,AC$3,BD!$B$3:$B$5001,$A$66,BD!$AD$3:$AD$5001,"&lt;&gt;")=0,"",SUMIFS(BD!$AD$3:$AD$5001,BD!$A$3:$A$5001,AC$3,BD!$B$3:$B$5001,$A$66)))</f>
        <v/>
      </c>
      <c r="AD84" s="206" t="str">
        <f>IF(AD$3="","",IF(COUNTIFS(BD!$A$3:$A$5001,AD$3,BD!$B$3:$B$5001,$A$66,BD!$AD$3:$AD$5001,"&lt;&gt;")=0,"",SUMIFS(BD!$AD$3:$AD$5001,BD!$A$3:$A$5001,AD$3,BD!$B$3:$B$5001,$A$66)))</f>
        <v/>
      </c>
      <c r="AE84" s="206" t="str">
        <f>IF(AE$3="","",IF(COUNTIFS(BD!$A$3:$A$5001,AE$3,BD!$B$3:$B$5001,$A$66,BD!$AD$3:$AD$5001,"&lt;&gt;")=0,"",SUMIFS(BD!$AD$3:$AD$5001,BD!$A$3:$A$5001,AE$3,BD!$B$3:$B$5001,$A$66)))</f>
        <v/>
      </c>
      <c r="AF84" s="206" t="str">
        <f>IF(AF$3="","",IF(COUNTIFS(BD!$A$3:$A$5001,AF$3,BD!$B$3:$B$5001,$A$66,BD!$AD$3:$AD$5001,"&lt;&gt;")=0,"",SUMIFS(BD!$AD$3:$AD$5001,BD!$A$3:$A$5001,AF$3,BD!$B$3:$B$5001,$A$66)))</f>
        <v/>
      </c>
      <c r="AG84" s="206" t="str">
        <f>IF(AG$3="","",IF(COUNTIFS(BD!$A$3:$A$5001,AG$3,BD!$B$3:$B$5001,$A$66,BD!$AD$3:$AD$5001,"&lt;&gt;")=0,"",SUMIFS(BD!$AD$3:$AD$5001,BD!$A$3:$A$5001,AG$3,BD!$B$3:$B$5001,$A$66)))</f>
        <v/>
      </c>
      <c r="AH84" s="206" t="str">
        <f>IF(AH$3="","",IF(COUNTIFS(BD!$A$3:$A$5001,AH$3,BD!$B$3:$B$5001,$A$66,BD!$AD$3:$AD$5001,"&lt;&gt;")=0,"",SUMIFS(BD!$AD$3:$AD$5001,BD!$A$3:$A$5001,AH$3,BD!$B$3:$B$5001,$A$66)))</f>
        <v/>
      </c>
      <c r="AI84" s="206" t="str">
        <f>IF(AI$3="","",IF(COUNTIFS(BD!$A$3:$A$5001,AI$3,BD!$B$3:$B$5001,$A$66,BD!$AD$3:$AD$5001,"&lt;&gt;")=0,"",SUMIFS(BD!$AD$3:$AD$5001,BD!$A$3:$A$5001,AI$3,BD!$B$3:$B$5001,$A$66)))</f>
        <v/>
      </c>
      <c r="AJ84" s="207" t="str">
        <f>IF(AJ$3="","",IF(COUNTIFS(BD!$A$3:$A$5001,AJ$3,BD!$B$3:$B$5001,$A$66,BD!$AD$3:$AD$5001,"&lt;&gt;")=0,"",SUMIFS(BD!$AD$3:$AD$5001,BD!$A$3:$A$5001,AJ$3,BD!$B$3:$B$5001,$A$66)))</f>
        <v/>
      </c>
      <c r="AK84" s="208" t="str">
        <f>IF(COUNT(F84:AJ84)=0,"",SUM(F84:AJ84))</f>
        <v/>
      </c>
    </row>
    <row r="85" ht="15.75" customHeight="1">
      <c r="A85" s="227"/>
      <c r="B85" s="224"/>
      <c r="C85" s="202" t="inlineStr">
        <is>
          <t xml:space="preserve">Desvios Comportamentais</t>
        </is>
      </c>
      <c r="D85" s="203" t="str">
        <f>IFERROR(1/(1/INDEX(BD!$AK$52:$AT$52,MATCH($A$66,BD!$AK$22:$AT$22,0))),"")</f>
        <v/>
      </c>
      <c r="E85" s="204"/>
      <c r="F85" s="205" t="str">
        <f>IF(F$3="","",IF(COUNTIFS(BD!$A$3:$A$5001,F$3,BD!$B$3:$B$5001,$A$66,BD!$AE$3:$AE$5001,"&lt;&gt;")=0,"",SUMIFS(BD!$AE$3:$AE$5001,BD!$A$3:$A$5001,F$3,BD!$B$3:$B$5001,$A$66)))</f>
        <v/>
      </c>
      <c r="G85" s="206" t="str">
        <f>IF(G$3="","",IF(COUNTIFS(BD!$A$3:$A$5001,G$3,BD!$B$3:$B$5001,$A$66,BD!$AE$3:$AE$5001,"&lt;&gt;")=0,"",SUMIFS(BD!$AE$3:$AE$5001,BD!$A$3:$A$5001,G$3,BD!$B$3:$B$5001,$A$66)))</f>
        <v/>
      </c>
      <c r="H85" s="206" t="str">
        <f>IF(H$3="","",IF(COUNTIFS(BD!$A$3:$A$5001,H$3,BD!$B$3:$B$5001,$A$66,BD!$AE$3:$AE$5001,"&lt;&gt;")=0,"",SUMIFS(BD!$AE$3:$AE$5001,BD!$A$3:$A$5001,H$3,BD!$B$3:$B$5001,$A$66)))</f>
        <v/>
      </c>
      <c r="I85" s="206" t="str">
        <f>IF(I$3="","",IF(COUNTIFS(BD!$A$3:$A$5001,I$3,BD!$B$3:$B$5001,$A$66,BD!$AE$3:$AE$5001,"&lt;&gt;")=0,"",SUMIFS(BD!$AE$3:$AE$5001,BD!$A$3:$A$5001,I$3,BD!$B$3:$B$5001,$A$66)))</f>
        <v/>
      </c>
      <c r="J85" s="206" t="str">
        <f>IF(J$3="","",IF(COUNTIFS(BD!$A$3:$A$5001,J$3,BD!$B$3:$B$5001,$A$66,BD!$AE$3:$AE$5001,"&lt;&gt;")=0,"",SUMIFS(BD!$AE$3:$AE$5001,BD!$A$3:$A$5001,J$3,BD!$B$3:$B$5001,$A$66)))</f>
        <v/>
      </c>
      <c r="K85" s="206" t="str">
        <f>IF(K$3="","",IF(COUNTIFS(BD!$A$3:$A$5001,K$3,BD!$B$3:$B$5001,$A$66,BD!$AE$3:$AE$5001,"&lt;&gt;")=0,"",SUMIFS(BD!$AE$3:$AE$5001,BD!$A$3:$A$5001,K$3,BD!$B$3:$B$5001,$A$66)))</f>
        <v/>
      </c>
      <c r="L85" s="206" t="str">
        <f>IF(L$3="","",IF(COUNTIFS(BD!$A$3:$A$5001,L$3,BD!$B$3:$B$5001,$A$66,BD!$AE$3:$AE$5001,"&lt;&gt;")=0,"",SUMIFS(BD!$AE$3:$AE$5001,BD!$A$3:$A$5001,L$3,BD!$B$3:$B$5001,$A$66)))</f>
        <v/>
      </c>
      <c r="M85" s="206" t="str">
        <f>IF(M$3="","",IF(COUNTIFS(BD!$A$3:$A$5001,M$3,BD!$B$3:$B$5001,$A$66,BD!$AE$3:$AE$5001,"&lt;&gt;")=0,"",SUMIFS(BD!$AE$3:$AE$5001,BD!$A$3:$A$5001,M$3,BD!$B$3:$B$5001,$A$66)))</f>
        <v/>
      </c>
      <c r="N85" s="206" t="str">
        <f>IF(N$3="","",IF(COUNTIFS(BD!$A$3:$A$5001,N$3,BD!$B$3:$B$5001,$A$66,BD!$AE$3:$AE$5001,"&lt;&gt;")=0,"",SUMIFS(BD!$AE$3:$AE$5001,BD!$A$3:$A$5001,N$3,BD!$B$3:$B$5001,$A$66)))</f>
        <v/>
      </c>
      <c r="O85" s="206" t="str">
        <f>IF(O$3="","",IF(COUNTIFS(BD!$A$3:$A$5001,O$3,BD!$B$3:$B$5001,$A$66,BD!$AE$3:$AE$5001,"&lt;&gt;")=0,"",SUMIFS(BD!$AE$3:$AE$5001,BD!$A$3:$A$5001,O$3,BD!$B$3:$B$5001,$A$66)))</f>
        <v/>
      </c>
      <c r="P85" s="206" t="str">
        <f>IF(P$3="","",IF(COUNTIFS(BD!$A$3:$A$5001,P$3,BD!$B$3:$B$5001,$A$66,BD!$AE$3:$AE$5001,"&lt;&gt;")=0,"",SUMIFS(BD!$AE$3:$AE$5001,BD!$A$3:$A$5001,P$3,BD!$B$3:$B$5001,$A$66)))</f>
        <v/>
      </c>
      <c r="Q85" s="206" t="str">
        <f>IF(Q$3="","",IF(COUNTIFS(BD!$A$3:$A$5001,Q$3,BD!$B$3:$B$5001,$A$66,BD!$AE$3:$AE$5001,"&lt;&gt;")=0,"",SUMIFS(BD!$AE$3:$AE$5001,BD!$A$3:$A$5001,Q$3,BD!$B$3:$B$5001,$A$66)))</f>
        <v/>
      </c>
      <c r="R85" s="206" t="str">
        <f>IF(R$3="","",IF(COUNTIFS(BD!$A$3:$A$5001,R$3,BD!$B$3:$B$5001,$A$66,BD!$AE$3:$AE$5001,"&lt;&gt;")=0,"",SUMIFS(BD!$AE$3:$AE$5001,BD!$A$3:$A$5001,R$3,BD!$B$3:$B$5001,$A$66)))</f>
        <v/>
      </c>
      <c r="S85" s="206" t="str">
        <f>IF(S$3="","",IF(COUNTIFS(BD!$A$3:$A$5001,S$3,BD!$B$3:$B$5001,$A$66,BD!$AE$3:$AE$5001,"&lt;&gt;")=0,"",SUMIFS(BD!$AE$3:$AE$5001,BD!$A$3:$A$5001,S$3,BD!$B$3:$B$5001,$A$66)))</f>
        <v/>
      </c>
      <c r="T85" s="206" t="str">
        <f>IF(T$3="","",IF(COUNTIFS(BD!$A$3:$A$5001,T$3,BD!$B$3:$B$5001,$A$66,BD!$AE$3:$AE$5001,"&lt;&gt;")=0,"",SUMIFS(BD!$AE$3:$AE$5001,BD!$A$3:$A$5001,T$3,BD!$B$3:$B$5001,$A$66)))</f>
        <v/>
      </c>
      <c r="U85" s="206" t="str">
        <f>IF(U$3="","",IF(COUNTIFS(BD!$A$3:$A$5001,U$3,BD!$B$3:$B$5001,$A$66,BD!$AE$3:$AE$5001,"&lt;&gt;")=0,"",SUMIFS(BD!$AE$3:$AE$5001,BD!$A$3:$A$5001,U$3,BD!$B$3:$B$5001,$A$66)))</f>
        <v/>
      </c>
      <c r="V85" s="206" t="str">
        <f>IF(V$3="","",IF(COUNTIFS(BD!$A$3:$A$5001,V$3,BD!$B$3:$B$5001,$A$66,BD!$AE$3:$AE$5001,"&lt;&gt;")=0,"",SUMIFS(BD!$AE$3:$AE$5001,BD!$A$3:$A$5001,V$3,BD!$B$3:$B$5001,$A$66)))</f>
        <v/>
      </c>
      <c r="W85" s="206" t="str">
        <f>IF(W$3="","",IF(COUNTIFS(BD!$A$3:$A$5001,W$3,BD!$B$3:$B$5001,$A$66,BD!$AE$3:$AE$5001,"&lt;&gt;")=0,"",SUMIFS(BD!$AE$3:$AE$5001,BD!$A$3:$A$5001,W$3,BD!$B$3:$B$5001,$A$66)))</f>
        <v/>
      </c>
      <c r="X85" s="206" t="str">
        <f>IF(X$3="","",IF(COUNTIFS(BD!$A$3:$A$5001,X$3,BD!$B$3:$B$5001,$A$66,BD!$AE$3:$AE$5001,"&lt;&gt;")=0,"",SUMIFS(BD!$AE$3:$AE$5001,BD!$A$3:$A$5001,X$3,BD!$B$3:$B$5001,$A$66)))</f>
        <v/>
      </c>
      <c r="Y85" s="206" t="str">
        <f>IF(Y$3="","",IF(COUNTIFS(BD!$A$3:$A$5001,Y$3,BD!$B$3:$B$5001,$A$66,BD!$AE$3:$AE$5001,"&lt;&gt;")=0,"",SUMIFS(BD!$AE$3:$AE$5001,BD!$A$3:$A$5001,Y$3,BD!$B$3:$B$5001,$A$66)))</f>
        <v/>
      </c>
      <c r="Z85" s="206" t="str">
        <f>IF(Z$3="","",IF(COUNTIFS(BD!$A$3:$A$5001,Z$3,BD!$B$3:$B$5001,$A$66,BD!$AE$3:$AE$5001,"&lt;&gt;")=0,"",SUMIFS(BD!$AE$3:$AE$5001,BD!$A$3:$A$5001,Z$3,BD!$B$3:$B$5001,$A$66)))</f>
        <v/>
      </c>
      <c r="AA85" s="206" t="str">
        <f>IF(AA$3="","",IF(COUNTIFS(BD!$A$3:$A$5001,AA$3,BD!$B$3:$B$5001,$A$66,BD!$AE$3:$AE$5001,"&lt;&gt;")=0,"",SUMIFS(BD!$AE$3:$AE$5001,BD!$A$3:$A$5001,AA$3,BD!$B$3:$B$5001,$A$66)))</f>
        <v/>
      </c>
      <c r="AB85" s="206" t="str">
        <f>IF(AB$3="","",IF(COUNTIFS(BD!$A$3:$A$5001,AB$3,BD!$B$3:$B$5001,$A$66,BD!$AE$3:$AE$5001,"&lt;&gt;")=0,"",SUMIFS(BD!$AE$3:$AE$5001,BD!$A$3:$A$5001,AB$3,BD!$B$3:$B$5001,$A$66)))</f>
        <v/>
      </c>
      <c r="AC85" s="206" t="str">
        <f>IF(AC$3="","",IF(COUNTIFS(BD!$A$3:$A$5001,AC$3,BD!$B$3:$B$5001,$A$66,BD!$AE$3:$AE$5001,"&lt;&gt;")=0,"",SUMIFS(BD!$AE$3:$AE$5001,BD!$A$3:$A$5001,AC$3,BD!$B$3:$B$5001,$A$66)))</f>
        <v/>
      </c>
      <c r="AD85" s="206" t="str">
        <f>IF(AD$3="","",IF(COUNTIFS(BD!$A$3:$A$5001,AD$3,BD!$B$3:$B$5001,$A$66,BD!$AE$3:$AE$5001,"&lt;&gt;")=0,"",SUMIFS(BD!$AE$3:$AE$5001,BD!$A$3:$A$5001,AD$3,BD!$B$3:$B$5001,$A$66)))</f>
        <v/>
      </c>
      <c r="AE85" s="206" t="str">
        <f>IF(AE$3="","",IF(COUNTIFS(BD!$A$3:$A$5001,AE$3,BD!$B$3:$B$5001,$A$66,BD!$AE$3:$AE$5001,"&lt;&gt;")=0,"",SUMIFS(BD!$AE$3:$AE$5001,BD!$A$3:$A$5001,AE$3,BD!$B$3:$B$5001,$A$66)))</f>
        <v/>
      </c>
      <c r="AF85" s="206" t="str">
        <f>IF(AF$3="","",IF(COUNTIFS(BD!$A$3:$A$5001,AF$3,BD!$B$3:$B$5001,$A$66,BD!$AE$3:$AE$5001,"&lt;&gt;")=0,"",SUMIFS(BD!$AE$3:$AE$5001,BD!$A$3:$A$5001,AF$3,BD!$B$3:$B$5001,$A$66)))</f>
        <v/>
      </c>
      <c r="AG85" s="206" t="str">
        <f>IF(AG$3="","",IF(COUNTIFS(BD!$A$3:$A$5001,AG$3,BD!$B$3:$B$5001,$A$66,BD!$AE$3:$AE$5001,"&lt;&gt;")=0,"",SUMIFS(BD!$AE$3:$AE$5001,BD!$A$3:$A$5001,AG$3,BD!$B$3:$B$5001,$A$66)))</f>
        <v/>
      </c>
      <c r="AH85" s="206" t="str">
        <f>IF(AH$3="","",IF(COUNTIFS(BD!$A$3:$A$5001,AH$3,BD!$B$3:$B$5001,$A$66,BD!$AE$3:$AE$5001,"&lt;&gt;")=0,"",SUMIFS(BD!$AE$3:$AE$5001,BD!$A$3:$A$5001,AH$3,BD!$B$3:$B$5001,$A$66)))</f>
        <v/>
      </c>
      <c r="AI85" s="206" t="str">
        <f>IF(AI$3="","",IF(COUNTIFS(BD!$A$3:$A$5001,AI$3,BD!$B$3:$B$5001,$A$66,BD!$AE$3:$AE$5001,"&lt;&gt;")=0,"",SUMIFS(BD!$AE$3:$AE$5001,BD!$A$3:$A$5001,AI$3,BD!$B$3:$B$5001,$A$66)))</f>
        <v/>
      </c>
      <c r="AJ85" s="207" t="str">
        <f>IF(AJ$3="","",IF(COUNTIFS(BD!$A$3:$A$5001,AJ$3,BD!$B$3:$B$5001,$A$66,BD!$AE$3:$AE$5001,"&lt;&gt;")=0,"",SUMIFS(BD!$AE$3:$AE$5001,BD!$A$3:$A$5001,AJ$3,BD!$B$3:$B$5001,$A$66)))</f>
        <v/>
      </c>
      <c r="AK85" s="208" t="str">
        <f>IF(COUNT(F85:AJ85)=0,"",SUM(F85:AJ85))</f>
        <v/>
      </c>
    </row>
    <row r="86" ht="15.75" customHeight="1">
      <c r="A86" s="227"/>
      <c r="B86" s="224"/>
      <c r="C86" s="202" t="inlineStr">
        <is>
          <t xml:space="preserve">Acidentes CAF</t>
        </is>
      </c>
      <c r="D86" s="203" t="str">
        <f>IFERROR(1/(1/INDEX(BD!$AK$53:$AT$53,MATCH($A$66,BD!$AK$22:$AT$22,0))),"")</f>
        <v/>
      </c>
      <c r="E86" s="204"/>
      <c r="F86" s="205" t="str">
        <f>IF(F$3="","",IF(COUNTIFS(BD!$A$3:$A$5001,F$3,BD!$B$3:$B$5001,$A$66,BD!$AF$3:$AF$5001,"&lt;&gt;")=0,"",SUMIFS(BD!$AF$3:$AF$5001,BD!$A$3:$A$5001,F$3,BD!$B$3:$B$5001,$A$66)))</f>
        <v/>
      </c>
      <c r="G86" s="206" t="str">
        <f>IF(G$3="","",IF(COUNTIFS(BD!$A$3:$A$5001,G$3,BD!$B$3:$B$5001,$A$66,BD!$AF$3:$AF$5001,"&lt;&gt;")=0,"",SUMIFS(BD!$AF$3:$AF$5001,BD!$A$3:$A$5001,G$3,BD!$B$3:$B$5001,$A$66)))</f>
        <v/>
      </c>
      <c r="H86" s="206" t="str">
        <f>IF(H$3="","",IF(COUNTIFS(BD!$A$3:$A$5001,H$3,BD!$B$3:$B$5001,$A$66,BD!$AF$3:$AF$5001,"&lt;&gt;")=0,"",SUMIFS(BD!$AF$3:$AF$5001,BD!$A$3:$A$5001,H$3,BD!$B$3:$B$5001,$A$66)))</f>
        <v/>
      </c>
      <c r="I86" s="206" t="str">
        <f>IF(I$3="","",IF(COUNTIFS(BD!$A$3:$A$5001,I$3,BD!$B$3:$B$5001,$A$66,BD!$AF$3:$AF$5001,"&lt;&gt;")=0,"",SUMIFS(BD!$AF$3:$AF$5001,BD!$A$3:$A$5001,I$3,BD!$B$3:$B$5001,$A$66)))</f>
        <v/>
      </c>
      <c r="J86" s="206" t="str">
        <f>IF(J$3="","",IF(COUNTIFS(BD!$A$3:$A$5001,J$3,BD!$B$3:$B$5001,$A$66,BD!$AF$3:$AF$5001,"&lt;&gt;")=0,"",SUMIFS(BD!$AF$3:$AF$5001,BD!$A$3:$A$5001,J$3,BD!$B$3:$B$5001,$A$66)))</f>
        <v/>
      </c>
      <c r="K86" s="206" t="str">
        <f>IF(K$3="","",IF(COUNTIFS(BD!$A$3:$A$5001,K$3,BD!$B$3:$B$5001,$A$66,BD!$AF$3:$AF$5001,"&lt;&gt;")=0,"",SUMIFS(BD!$AF$3:$AF$5001,BD!$A$3:$A$5001,K$3,BD!$B$3:$B$5001,$A$66)))</f>
        <v/>
      </c>
      <c r="L86" s="206" t="str">
        <f>IF(L$3="","",IF(COUNTIFS(BD!$A$3:$A$5001,L$3,BD!$B$3:$B$5001,$A$66,BD!$AF$3:$AF$5001,"&lt;&gt;")=0,"",SUMIFS(BD!$AF$3:$AF$5001,BD!$A$3:$A$5001,L$3,BD!$B$3:$B$5001,$A$66)))</f>
        <v/>
      </c>
      <c r="M86" s="206" t="str">
        <f>IF(M$3="","",IF(COUNTIFS(BD!$A$3:$A$5001,M$3,BD!$B$3:$B$5001,$A$66,BD!$AF$3:$AF$5001,"&lt;&gt;")=0,"",SUMIFS(BD!$AF$3:$AF$5001,BD!$A$3:$A$5001,M$3,BD!$B$3:$B$5001,$A$66)))</f>
        <v/>
      </c>
      <c r="N86" s="206" t="str">
        <f>IF(N$3="","",IF(COUNTIFS(BD!$A$3:$A$5001,N$3,BD!$B$3:$B$5001,$A$66,BD!$AF$3:$AF$5001,"&lt;&gt;")=0,"",SUMIFS(BD!$AF$3:$AF$5001,BD!$A$3:$A$5001,N$3,BD!$B$3:$B$5001,$A$66)))</f>
        <v/>
      </c>
      <c r="O86" s="206" t="str">
        <f>IF(O$3="","",IF(COUNTIFS(BD!$A$3:$A$5001,O$3,BD!$B$3:$B$5001,$A$66,BD!$AF$3:$AF$5001,"&lt;&gt;")=0,"",SUMIFS(BD!$AF$3:$AF$5001,BD!$A$3:$A$5001,O$3,BD!$B$3:$B$5001,$A$66)))</f>
        <v/>
      </c>
      <c r="P86" s="206" t="str">
        <f>IF(P$3="","",IF(COUNTIFS(BD!$A$3:$A$5001,P$3,BD!$B$3:$B$5001,$A$66,BD!$AF$3:$AF$5001,"&lt;&gt;")=0,"",SUMIFS(BD!$AF$3:$AF$5001,BD!$A$3:$A$5001,P$3,BD!$B$3:$B$5001,$A$66)))</f>
        <v/>
      </c>
      <c r="Q86" s="206" t="str">
        <f>IF(Q$3="","",IF(COUNTIFS(BD!$A$3:$A$5001,Q$3,BD!$B$3:$B$5001,$A$66,BD!$AF$3:$AF$5001,"&lt;&gt;")=0,"",SUMIFS(BD!$AF$3:$AF$5001,BD!$A$3:$A$5001,Q$3,BD!$B$3:$B$5001,$A$66)))</f>
        <v/>
      </c>
      <c r="R86" s="206" t="str">
        <f>IF(R$3="","",IF(COUNTIFS(BD!$A$3:$A$5001,R$3,BD!$B$3:$B$5001,$A$66,BD!$AF$3:$AF$5001,"&lt;&gt;")=0,"",SUMIFS(BD!$AF$3:$AF$5001,BD!$A$3:$A$5001,R$3,BD!$B$3:$B$5001,$A$66)))</f>
        <v/>
      </c>
      <c r="S86" s="206" t="str">
        <f>IF(S$3="","",IF(COUNTIFS(BD!$A$3:$A$5001,S$3,BD!$B$3:$B$5001,$A$66,BD!$AF$3:$AF$5001,"&lt;&gt;")=0,"",SUMIFS(BD!$AF$3:$AF$5001,BD!$A$3:$A$5001,S$3,BD!$B$3:$B$5001,$A$66)))</f>
        <v/>
      </c>
      <c r="T86" s="206" t="str">
        <f>IF(T$3="","",IF(COUNTIFS(BD!$A$3:$A$5001,T$3,BD!$B$3:$B$5001,$A$66,BD!$AF$3:$AF$5001,"&lt;&gt;")=0,"",SUMIFS(BD!$AF$3:$AF$5001,BD!$A$3:$A$5001,T$3,BD!$B$3:$B$5001,$A$66)))</f>
        <v/>
      </c>
      <c r="U86" s="206" t="str">
        <f>IF(U$3="","",IF(COUNTIFS(BD!$A$3:$A$5001,U$3,BD!$B$3:$B$5001,$A$66,BD!$AF$3:$AF$5001,"&lt;&gt;")=0,"",SUMIFS(BD!$AF$3:$AF$5001,BD!$A$3:$A$5001,U$3,BD!$B$3:$B$5001,$A$66)))</f>
        <v/>
      </c>
      <c r="V86" s="206" t="str">
        <f>IF(V$3="","",IF(COUNTIFS(BD!$A$3:$A$5001,V$3,BD!$B$3:$B$5001,$A$66,BD!$AF$3:$AF$5001,"&lt;&gt;")=0,"",SUMIFS(BD!$AF$3:$AF$5001,BD!$A$3:$A$5001,V$3,BD!$B$3:$B$5001,$A$66)))</f>
        <v/>
      </c>
      <c r="W86" s="206" t="str">
        <f>IF(W$3="","",IF(COUNTIFS(BD!$A$3:$A$5001,W$3,BD!$B$3:$B$5001,$A$66,BD!$AF$3:$AF$5001,"&lt;&gt;")=0,"",SUMIFS(BD!$AF$3:$AF$5001,BD!$A$3:$A$5001,W$3,BD!$B$3:$B$5001,$A$66)))</f>
        <v/>
      </c>
      <c r="X86" s="206" t="str">
        <f>IF(X$3="","",IF(COUNTIFS(BD!$A$3:$A$5001,X$3,BD!$B$3:$B$5001,$A$66,BD!$AF$3:$AF$5001,"&lt;&gt;")=0,"",SUMIFS(BD!$AF$3:$AF$5001,BD!$A$3:$A$5001,X$3,BD!$B$3:$B$5001,$A$66)))</f>
        <v/>
      </c>
      <c r="Y86" s="206" t="str">
        <f>IF(Y$3="","",IF(COUNTIFS(BD!$A$3:$A$5001,Y$3,BD!$B$3:$B$5001,$A$66,BD!$AF$3:$AF$5001,"&lt;&gt;")=0,"",SUMIFS(BD!$AF$3:$AF$5001,BD!$A$3:$A$5001,Y$3,BD!$B$3:$B$5001,$A$66)))</f>
        <v/>
      </c>
      <c r="Z86" s="206" t="str">
        <f>IF(Z$3="","",IF(COUNTIFS(BD!$A$3:$A$5001,Z$3,BD!$B$3:$B$5001,$A$66,BD!$AF$3:$AF$5001,"&lt;&gt;")=0,"",SUMIFS(BD!$AF$3:$AF$5001,BD!$A$3:$A$5001,Z$3,BD!$B$3:$B$5001,$A$66)))</f>
        <v/>
      </c>
      <c r="AA86" s="206" t="str">
        <f>IF(AA$3="","",IF(COUNTIFS(BD!$A$3:$A$5001,AA$3,BD!$B$3:$B$5001,$A$66,BD!$AF$3:$AF$5001,"&lt;&gt;")=0,"",SUMIFS(BD!$AF$3:$AF$5001,BD!$A$3:$A$5001,AA$3,BD!$B$3:$B$5001,$A$66)))</f>
        <v/>
      </c>
      <c r="AB86" s="206" t="str">
        <f>IF(AB$3="","",IF(COUNTIFS(BD!$A$3:$A$5001,AB$3,BD!$B$3:$B$5001,$A$66,BD!$AF$3:$AF$5001,"&lt;&gt;")=0,"",SUMIFS(BD!$AF$3:$AF$5001,BD!$A$3:$A$5001,AB$3,BD!$B$3:$B$5001,$A$66)))</f>
        <v/>
      </c>
      <c r="AC86" s="206" t="str">
        <f>IF(AC$3="","",IF(COUNTIFS(BD!$A$3:$A$5001,AC$3,BD!$B$3:$B$5001,$A$66,BD!$AF$3:$AF$5001,"&lt;&gt;")=0,"",SUMIFS(BD!$AF$3:$AF$5001,BD!$A$3:$A$5001,AC$3,BD!$B$3:$B$5001,$A$66)))</f>
        <v/>
      </c>
      <c r="AD86" s="206" t="str">
        <f>IF(AD$3="","",IF(COUNTIFS(BD!$A$3:$A$5001,AD$3,BD!$B$3:$B$5001,$A$66,BD!$AF$3:$AF$5001,"&lt;&gt;")=0,"",SUMIFS(BD!$AF$3:$AF$5001,BD!$A$3:$A$5001,AD$3,BD!$B$3:$B$5001,$A$66)))</f>
        <v/>
      </c>
      <c r="AE86" s="206" t="str">
        <f>IF(AE$3="","",IF(COUNTIFS(BD!$A$3:$A$5001,AE$3,BD!$B$3:$B$5001,$A$66,BD!$AF$3:$AF$5001,"&lt;&gt;")=0,"",SUMIFS(BD!$AF$3:$AF$5001,BD!$A$3:$A$5001,AE$3,BD!$B$3:$B$5001,$A$66)))</f>
        <v/>
      </c>
      <c r="AF86" s="206" t="str">
        <f>IF(AF$3="","",IF(COUNTIFS(BD!$A$3:$A$5001,AF$3,BD!$B$3:$B$5001,$A$66,BD!$AF$3:$AF$5001,"&lt;&gt;")=0,"",SUMIFS(BD!$AF$3:$AF$5001,BD!$A$3:$A$5001,AF$3,BD!$B$3:$B$5001,$A$66)))</f>
        <v/>
      </c>
      <c r="AG86" s="206" t="str">
        <f>IF(AG$3="","",IF(COUNTIFS(BD!$A$3:$A$5001,AG$3,BD!$B$3:$B$5001,$A$66,BD!$AF$3:$AF$5001,"&lt;&gt;")=0,"",SUMIFS(BD!$AF$3:$AF$5001,BD!$A$3:$A$5001,AG$3,BD!$B$3:$B$5001,$A$66)))</f>
        <v/>
      </c>
      <c r="AH86" s="206" t="str">
        <f>IF(AH$3="","",IF(COUNTIFS(BD!$A$3:$A$5001,AH$3,BD!$B$3:$B$5001,$A$66,BD!$AF$3:$AF$5001,"&lt;&gt;")=0,"",SUMIFS(BD!$AF$3:$AF$5001,BD!$A$3:$A$5001,AH$3,BD!$B$3:$B$5001,$A$66)))</f>
        <v/>
      </c>
      <c r="AI86" s="206" t="str">
        <f>IF(AI$3="","",IF(COUNTIFS(BD!$A$3:$A$5001,AI$3,BD!$B$3:$B$5001,$A$66,BD!$AF$3:$AF$5001,"&lt;&gt;")=0,"",SUMIFS(BD!$AF$3:$AF$5001,BD!$A$3:$A$5001,AI$3,BD!$B$3:$B$5001,$A$66)))</f>
        <v/>
      </c>
      <c r="AJ86" s="207" t="str">
        <f>IF(AJ$3="","",IF(COUNTIFS(BD!$A$3:$A$5001,AJ$3,BD!$B$3:$B$5001,$A$66,BD!$AF$3:$AF$5001,"&lt;&gt;")=0,"",SUMIFS(BD!$AF$3:$AF$5001,BD!$A$3:$A$5001,AJ$3,BD!$B$3:$B$5001,$A$66)))</f>
        <v/>
      </c>
      <c r="AK86" s="208" t="str">
        <f>IF(COUNT(F86:AJ86)=0,"",SUM(F86:AJ86))</f>
        <v/>
      </c>
    </row>
    <row r="87" ht="15.75" customHeight="1">
      <c r="A87" s="228"/>
      <c r="B87" s="225"/>
      <c r="C87" s="209" t="inlineStr">
        <is>
          <t xml:space="preserve">Acidentes SAF</t>
        </is>
      </c>
      <c r="D87" s="210" t="str">
        <f>IFERROR(1/(1/INDEX(BD!$AK$54:$AT$54,MATCH($A$66,BD!$AK$22:$AT$22,0))),"")</f>
        <v/>
      </c>
      <c r="E87" s="211"/>
      <c r="F87" s="212" t="str">
        <f>IF(F$3="","",IF(COUNTIFS(BD!$A$3:$A$5001,F$3,BD!$B$3:$B$5001,$A$66,BD!$AG$3:$AG$5001,"&lt;&gt;")=0,"",SUMIFS(BD!$AG$3:$AG$5001,BD!$A$3:$A$5001,F$3,BD!$B$3:$B$5001,$A$66)))</f>
        <v/>
      </c>
      <c r="G87" s="213" t="str">
        <f>IF(G$3="","",IF(COUNTIFS(BD!$A$3:$A$5001,G$3,BD!$B$3:$B$5001,$A$66,BD!$AG$3:$AG$5001,"&lt;&gt;")=0,"",SUMIFS(BD!$AG$3:$AG$5001,BD!$A$3:$A$5001,G$3,BD!$B$3:$B$5001,$A$66)))</f>
        <v/>
      </c>
      <c r="H87" s="213" t="str">
        <f>IF(H$3="","",IF(COUNTIFS(BD!$A$3:$A$5001,H$3,BD!$B$3:$B$5001,$A$66,BD!$AG$3:$AG$5001,"&lt;&gt;")=0,"",SUMIFS(BD!$AG$3:$AG$5001,BD!$A$3:$A$5001,H$3,BD!$B$3:$B$5001,$A$66)))</f>
        <v/>
      </c>
      <c r="I87" s="213" t="str">
        <f>IF(I$3="","",IF(COUNTIFS(BD!$A$3:$A$5001,I$3,BD!$B$3:$B$5001,$A$66,BD!$AG$3:$AG$5001,"&lt;&gt;")=0,"",SUMIFS(BD!$AG$3:$AG$5001,BD!$A$3:$A$5001,I$3,BD!$B$3:$B$5001,$A$66)))</f>
        <v/>
      </c>
      <c r="J87" s="213" t="str">
        <f>IF(J$3="","",IF(COUNTIFS(BD!$A$3:$A$5001,J$3,BD!$B$3:$B$5001,$A$66,BD!$AG$3:$AG$5001,"&lt;&gt;")=0,"",SUMIFS(BD!$AG$3:$AG$5001,BD!$A$3:$A$5001,J$3,BD!$B$3:$B$5001,$A$66)))</f>
        <v/>
      </c>
      <c r="K87" s="213" t="str">
        <f>IF(K$3="","",IF(COUNTIFS(BD!$A$3:$A$5001,K$3,BD!$B$3:$B$5001,$A$66,BD!$AG$3:$AG$5001,"&lt;&gt;")=0,"",SUMIFS(BD!$AG$3:$AG$5001,BD!$A$3:$A$5001,K$3,BD!$B$3:$B$5001,$A$66)))</f>
        <v/>
      </c>
      <c r="L87" s="213" t="str">
        <f>IF(L$3="","",IF(COUNTIFS(BD!$A$3:$A$5001,L$3,BD!$B$3:$B$5001,$A$66,BD!$AG$3:$AG$5001,"&lt;&gt;")=0,"",SUMIFS(BD!$AG$3:$AG$5001,BD!$A$3:$A$5001,L$3,BD!$B$3:$B$5001,$A$66)))</f>
        <v/>
      </c>
      <c r="M87" s="213" t="str">
        <f>IF(M$3="","",IF(COUNTIFS(BD!$A$3:$A$5001,M$3,BD!$B$3:$B$5001,$A$66,BD!$AG$3:$AG$5001,"&lt;&gt;")=0,"",SUMIFS(BD!$AG$3:$AG$5001,BD!$A$3:$A$5001,M$3,BD!$B$3:$B$5001,$A$66)))</f>
        <v/>
      </c>
      <c r="N87" s="213" t="str">
        <f>IF(N$3="","",IF(COUNTIFS(BD!$A$3:$A$5001,N$3,BD!$B$3:$B$5001,$A$66,BD!$AG$3:$AG$5001,"&lt;&gt;")=0,"",SUMIFS(BD!$AG$3:$AG$5001,BD!$A$3:$A$5001,N$3,BD!$B$3:$B$5001,$A$66)))</f>
        <v/>
      </c>
      <c r="O87" s="213" t="str">
        <f>IF(O$3="","",IF(COUNTIFS(BD!$A$3:$A$5001,O$3,BD!$B$3:$B$5001,$A$66,BD!$AG$3:$AG$5001,"&lt;&gt;")=0,"",SUMIFS(BD!$AG$3:$AG$5001,BD!$A$3:$A$5001,O$3,BD!$B$3:$B$5001,$A$66)))</f>
        <v/>
      </c>
      <c r="P87" s="213" t="str">
        <f>IF(P$3="","",IF(COUNTIFS(BD!$A$3:$A$5001,P$3,BD!$B$3:$B$5001,$A$66,BD!$AG$3:$AG$5001,"&lt;&gt;")=0,"",SUMIFS(BD!$AG$3:$AG$5001,BD!$A$3:$A$5001,P$3,BD!$B$3:$B$5001,$A$66)))</f>
        <v/>
      </c>
      <c r="Q87" s="213" t="str">
        <f>IF(Q$3="","",IF(COUNTIFS(BD!$A$3:$A$5001,Q$3,BD!$B$3:$B$5001,$A$66,BD!$AG$3:$AG$5001,"&lt;&gt;")=0,"",SUMIFS(BD!$AG$3:$AG$5001,BD!$A$3:$A$5001,Q$3,BD!$B$3:$B$5001,$A$66)))</f>
        <v/>
      </c>
      <c r="R87" s="213" t="str">
        <f>IF(R$3="","",IF(COUNTIFS(BD!$A$3:$A$5001,R$3,BD!$B$3:$B$5001,$A$66,BD!$AG$3:$AG$5001,"&lt;&gt;")=0,"",SUMIFS(BD!$AG$3:$AG$5001,BD!$A$3:$A$5001,R$3,BD!$B$3:$B$5001,$A$66)))</f>
        <v/>
      </c>
      <c r="S87" s="213" t="str">
        <f>IF(S$3="","",IF(COUNTIFS(BD!$A$3:$A$5001,S$3,BD!$B$3:$B$5001,$A$66,BD!$AG$3:$AG$5001,"&lt;&gt;")=0,"",SUMIFS(BD!$AG$3:$AG$5001,BD!$A$3:$A$5001,S$3,BD!$B$3:$B$5001,$A$66)))</f>
        <v/>
      </c>
      <c r="T87" s="213" t="str">
        <f>IF(T$3="","",IF(COUNTIFS(BD!$A$3:$A$5001,T$3,BD!$B$3:$B$5001,$A$66,BD!$AG$3:$AG$5001,"&lt;&gt;")=0,"",SUMIFS(BD!$AG$3:$AG$5001,BD!$A$3:$A$5001,T$3,BD!$B$3:$B$5001,$A$66)))</f>
        <v/>
      </c>
      <c r="U87" s="213" t="str">
        <f>IF(U$3="","",IF(COUNTIFS(BD!$A$3:$A$5001,U$3,BD!$B$3:$B$5001,$A$66,BD!$AG$3:$AG$5001,"&lt;&gt;")=0,"",SUMIFS(BD!$AG$3:$AG$5001,BD!$A$3:$A$5001,U$3,BD!$B$3:$B$5001,$A$66)))</f>
        <v/>
      </c>
      <c r="V87" s="213" t="str">
        <f>IF(V$3="","",IF(COUNTIFS(BD!$A$3:$A$5001,V$3,BD!$B$3:$B$5001,$A$66,BD!$AG$3:$AG$5001,"&lt;&gt;")=0,"",SUMIFS(BD!$AG$3:$AG$5001,BD!$A$3:$A$5001,V$3,BD!$B$3:$B$5001,$A$66)))</f>
        <v/>
      </c>
      <c r="W87" s="213" t="str">
        <f>IF(W$3="","",IF(COUNTIFS(BD!$A$3:$A$5001,W$3,BD!$B$3:$B$5001,$A$66,BD!$AG$3:$AG$5001,"&lt;&gt;")=0,"",SUMIFS(BD!$AG$3:$AG$5001,BD!$A$3:$A$5001,W$3,BD!$B$3:$B$5001,$A$66)))</f>
        <v/>
      </c>
      <c r="X87" s="213" t="str">
        <f>IF(X$3="","",IF(COUNTIFS(BD!$A$3:$A$5001,X$3,BD!$B$3:$B$5001,$A$66,BD!$AG$3:$AG$5001,"&lt;&gt;")=0,"",SUMIFS(BD!$AG$3:$AG$5001,BD!$A$3:$A$5001,X$3,BD!$B$3:$B$5001,$A$66)))</f>
        <v/>
      </c>
      <c r="Y87" s="213" t="str">
        <f>IF(Y$3="","",IF(COUNTIFS(BD!$A$3:$A$5001,Y$3,BD!$B$3:$B$5001,$A$66,BD!$AG$3:$AG$5001,"&lt;&gt;")=0,"",SUMIFS(BD!$AG$3:$AG$5001,BD!$A$3:$A$5001,Y$3,BD!$B$3:$B$5001,$A$66)))</f>
        <v/>
      </c>
      <c r="Z87" s="213" t="str">
        <f>IF(Z$3="","",IF(COUNTIFS(BD!$A$3:$A$5001,Z$3,BD!$B$3:$B$5001,$A$66,BD!$AG$3:$AG$5001,"&lt;&gt;")=0,"",SUMIFS(BD!$AG$3:$AG$5001,BD!$A$3:$A$5001,Z$3,BD!$B$3:$B$5001,$A$66)))</f>
        <v/>
      </c>
      <c r="AA87" s="213" t="str">
        <f>IF(AA$3="","",IF(COUNTIFS(BD!$A$3:$A$5001,AA$3,BD!$B$3:$B$5001,$A$66,BD!$AG$3:$AG$5001,"&lt;&gt;")=0,"",SUMIFS(BD!$AG$3:$AG$5001,BD!$A$3:$A$5001,AA$3,BD!$B$3:$B$5001,$A$66)))</f>
        <v/>
      </c>
      <c r="AB87" s="213" t="str">
        <f>IF(AB$3="","",IF(COUNTIFS(BD!$A$3:$A$5001,AB$3,BD!$B$3:$B$5001,$A$66,BD!$AG$3:$AG$5001,"&lt;&gt;")=0,"",SUMIFS(BD!$AG$3:$AG$5001,BD!$A$3:$A$5001,AB$3,BD!$B$3:$B$5001,$A$66)))</f>
        <v/>
      </c>
      <c r="AC87" s="213" t="str">
        <f>IF(AC$3="","",IF(COUNTIFS(BD!$A$3:$A$5001,AC$3,BD!$B$3:$B$5001,$A$66,BD!$AG$3:$AG$5001,"&lt;&gt;")=0,"",SUMIFS(BD!$AG$3:$AG$5001,BD!$A$3:$A$5001,AC$3,BD!$B$3:$B$5001,$A$66)))</f>
        <v/>
      </c>
      <c r="AD87" s="213" t="str">
        <f>IF(AD$3="","",IF(COUNTIFS(BD!$A$3:$A$5001,AD$3,BD!$B$3:$B$5001,$A$66,BD!$AG$3:$AG$5001,"&lt;&gt;")=0,"",SUMIFS(BD!$AG$3:$AG$5001,BD!$A$3:$A$5001,AD$3,BD!$B$3:$B$5001,$A$66)))</f>
        <v/>
      </c>
      <c r="AE87" s="213" t="str">
        <f>IF(AE$3="","",IF(COUNTIFS(BD!$A$3:$A$5001,AE$3,BD!$B$3:$B$5001,$A$66,BD!$AG$3:$AG$5001,"&lt;&gt;")=0,"",SUMIFS(BD!$AG$3:$AG$5001,BD!$A$3:$A$5001,AE$3,BD!$B$3:$B$5001,$A$66)))</f>
        <v/>
      </c>
      <c r="AF87" s="213" t="str">
        <f>IF(AF$3="","",IF(COUNTIFS(BD!$A$3:$A$5001,AF$3,BD!$B$3:$B$5001,$A$66,BD!$AG$3:$AG$5001,"&lt;&gt;")=0,"",SUMIFS(BD!$AG$3:$AG$5001,BD!$A$3:$A$5001,AF$3,BD!$B$3:$B$5001,$A$66)))</f>
        <v/>
      </c>
      <c r="AG87" s="213" t="str">
        <f>IF(AG$3="","",IF(COUNTIFS(BD!$A$3:$A$5001,AG$3,BD!$B$3:$B$5001,$A$66,BD!$AG$3:$AG$5001,"&lt;&gt;")=0,"",SUMIFS(BD!$AG$3:$AG$5001,BD!$A$3:$A$5001,AG$3,BD!$B$3:$B$5001,$A$66)))</f>
        <v/>
      </c>
      <c r="AH87" s="213" t="str">
        <f>IF(AH$3="","",IF(COUNTIFS(BD!$A$3:$A$5001,AH$3,BD!$B$3:$B$5001,$A$66,BD!$AG$3:$AG$5001,"&lt;&gt;")=0,"",SUMIFS(BD!$AG$3:$AG$5001,BD!$A$3:$A$5001,AH$3,BD!$B$3:$B$5001,$A$66)))</f>
        <v/>
      </c>
      <c r="AI87" s="213" t="str">
        <f>IF(AI$3="","",IF(COUNTIFS(BD!$A$3:$A$5001,AI$3,BD!$B$3:$B$5001,$A$66,BD!$AG$3:$AG$5001,"&lt;&gt;")=0,"",SUMIFS(BD!$AG$3:$AG$5001,BD!$A$3:$A$5001,AI$3,BD!$B$3:$B$5001,$A$66)))</f>
        <v/>
      </c>
      <c r="AJ87" s="214" t="str">
        <f>IF(AJ$3="","",IF(COUNTIFS(BD!$A$3:$A$5001,AJ$3,BD!$B$3:$B$5001,$A$66,BD!$AG$3:$AG$5001,"&lt;&gt;")=0,"",SUMIFS(BD!$AG$3:$AG$5001,BD!$A$3:$A$5001,AJ$3,BD!$B$3:$B$5001,$A$66)))</f>
        <v/>
      </c>
      <c r="AK87" s="210" t="str">
        <f>IF(COUNT(F87:AJ87)=0,"",SUM(F87:AJ87))</f>
        <v/>
      </c>
    </row>
    <row r="89" ht="15.75" customHeight="1">
      <c r="A89" s="226" t="inlineStr">
        <is>
          <t xml:space="preserve">GE Vernova</t>
        </is>
      </c>
      <c r="B89" s="215" t="inlineStr">
        <is>
          <t xml:space="preserve">IN</t>
        </is>
      </c>
      <c r="C89" s="138" t="inlineStr">
        <is>
          <t xml:space="preserve">Veículos Recebidos</t>
        </is>
      </c>
      <c r="D89" s="139" t="str">
        <f>IFERROR(1/(1/INDEX(BD!$AK$23:$AT$23,MATCH($A$89,BD!$AK$22:$AT$22,0))),"")</f>
        <v/>
      </c>
      <c r="E89" s="140"/>
      <c r="F89" s="141" t="str">
        <f>IF(F$3="","",IF(COUNTIFS(BD!$A$3:$A$5001,F$3,BD!$B$3:$B$5001,$A$89,BD!$C$3:$C$5001,"&lt;&gt;")=0,"",SUMIFS(BD!$C$3:$C$5001,BD!$A$3:$A$5001,F$3,BD!$B$3:$B$5001,$A$89)))</f>
        <v/>
      </c>
      <c r="G89" s="142" t="str">
        <f>IF(G$3="","",IF(COUNTIFS(BD!$A$3:$A$5001,G$3,BD!$B$3:$B$5001,$A$89,BD!$C$3:$C$5001,"&lt;&gt;")=0,"",SUMIFS(BD!$C$3:$C$5001,BD!$A$3:$A$5001,G$3,BD!$B$3:$B$5001,$A$89)))</f>
        <v/>
      </c>
      <c r="H89" s="142" t="str">
        <f>IF(H$3="","",IF(COUNTIFS(BD!$A$3:$A$5001,H$3,BD!$B$3:$B$5001,$A$89,BD!$C$3:$C$5001,"&lt;&gt;")=0,"",SUMIFS(BD!$C$3:$C$5001,BD!$A$3:$A$5001,H$3,BD!$B$3:$B$5001,$A$89)))</f>
        <v/>
      </c>
      <c r="I89" s="142" t="str">
        <f>IF(I$3="","",IF(COUNTIFS(BD!$A$3:$A$5001,I$3,BD!$B$3:$B$5001,$A$89,BD!$C$3:$C$5001,"&lt;&gt;")=0,"",SUMIFS(BD!$C$3:$C$5001,BD!$A$3:$A$5001,I$3,BD!$B$3:$B$5001,$A$89)))</f>
        <v/>
      </c>
      <c r="J89" s="142" t="str">
        <f>IF(J$3="","",IF(COUNTIFS(BD!$A$3:$A$5001,J$3,BD!$B$3:$B$5001,$A$89,BD!$C$3:$C$5001,"&lt;&gt;")=0,"",SUMIFS(BD!$C$3:$C$5001,BD!$A$3:$A$5001,J$3,BD!$B$3:$B$5001,$A$89)))</f>
        <v/>
      </c>
      <c r="K89" s="142" t="str">
        <f>IF(K$3="","",IF(COUNTIFS(BD!$A$3:$A$5001,K$3,BD!$B$3:$B$5001,$A$89,BD!$C$3:$C$5001,"&lt;&gt;")=0,"",SUMIFS(BD!$C$3:$C$5001,BD!$A$3:$A$5001,K$3,BD!$B$3:$B$5001,$A$89)))</f>
        <v/>
      </c>
      <c r="L89" s="142" t="str">
        <f>IF(L$3="","",IF(COUNTIFS(BD!$A$3:$A$5001,L$3,BD!$B$3:$B$5001,$A$89,BD!$C$3:$C$5001,"&lt;&gt;")=0,"",SUMIFS(BD!$C$3:$C$5001,BD!$A$3:$A$5001,L$3,BD!$B$3:$B$5001,$A$89)))</f>
        <v/>
      </c>
      <c r="M89" s="142" t="str">
        <f>IF(M$3="","",IF(COUNTIFS(BD!$A$3:$A$5001,M$3,BD!$B$3:$B$5001,$A$89,BD!$C$3:$C$5001,"&lt;&gt;")=0,"",SUMIFS(BD!$C$3:$C$5001,BD!$A$3:$A$5001,M$3,BD!$B$3:$B$5001,$A$89)))</f>
        <v/>
      </c>
      <c r="N89" s="142" t="str">
        <f>IF(N$3="","",IF(COUNTIFS(BD!$A$3:$A$5001,N$3,BD!$B$3:$B$5001,$A$89,BD!$C$3:$C$5001,"&lt;&gt;")=0,"",SUMIFS(BD!$C$3:$C$5001,BD!$A$3:$A$5001,N$3,BD!$B$3:$B$5001,$A$89)))</f>
        <v/>
      </c>
      <c r="O89" s="142" t="str">
        <f>IF(O$3="","",IF(COUNTIFS(BD!$A$3:$A$5001,O$3,BD!$B$3:$B$5001,$A$89,BD!$C$3:$C$5001,"&lt;&gt;")=0,"",SUMIFS(BD!$C$3:$C$5001,BD!$A$3:$A$5001,O$3,BD!$B$3:$B$5001,$A$89)))</f>
        <v/>
      </c>
      <c r="P89" s="142" t="str">
        <f>IF(P$3="","",IF(COUNTIFS(BD!$A$3:$A$5001,P$3,BD!$B$3:$B$5001,$A$89,BD!$C$3:$C$5001,"&lt;&gt;")=0,"",SUMIFS(BD!$C$3:$C$5001,BD!$A$3:$A$5001,P$3,BD!$B$3:$B$5001,$A$89)))</f>
        <v/>
      </c>
      <c r="Q89" s="142" t="str">
        <f>IF(Q$3="","",IF(COUNTIFS(BD!$A$3:$A$5001,Q$3,BD!$B$3:$B$5001,$A$89,BD!$C$3:$C$5001,"&lt;&gt;")=0,"",SUMIFS(BD!$C$3:$C$5001,BD!$A$3:$A$5001,Q$3,BD!$B$3:$B$5001,$A$89)))</f>
        <v/>
      </c>
      <c r="R89" s="142" t="str">
        <f>IF(R$3="","",IF(COUNTIFS(BD!$A$3:$A$5001,R$3,BD!$B$3:$B$5001,$A$89,BD!$C$3:$C$5001,"&lt;&gt;")=0,"",SUMIFS(BD!$C$3:$C$5001,BD!$A$3:$A$5001,R$3,BD!$B$3:$B$5001,$A$89)))</f>
        <v/>
      </c>
      <c r="S89" s="142" t="str">
        <f>IF(S$3="","",IF(COUNTIFS(BD!$A$3:$A$5001,S$3,BD!$B$3:$B$5001,$A$89,BD!$C$3:$C$5001,"&lt;&gt;")=0,"",SUMIFS(BD!$C$3:$C$5001,BD!$A$3:$A$5001,S$3,BD!$B$3:$B$5001,$A$89)))</f>
        <v/>
      </c>
      <c r="T89" s="142" t="str">
        <f>IF(T$3="","",IF(COUNTIFS(BD!$A$3:$A$5001,T$3,BD!$B$3:$B$5001,$A$89,BD!$C$3:$C$5001,"&lt;&gt;")=0,"",SUMIFS(BD!$C$3:$C$5001,BD!$A$3:$A$5001,T$3,BD!$B$3:$B$5001,$A$89)))</f>
        <v/>
      </c>
      <c r="U89" s="142" t="str">
        <f>IF(U$3="","",IF(COUNTIFS(BD!$A$3:$A$5001,U$3,BD!$B$3:$B$5001,$A$89,BD!$C$3:$C$5001,"&lt;&gt;")=0,"",SUMIFS(BD!$C$3:$C$5001,BD!$A$3:$A$5001,U$3,BD!$B$3:$B$5001,$A$89)))</f>
        <v/>
      </c>
      <c r="V89" s="142" t="str">
        <f>IF(V$3="","",IF(COUNTIFS(BD!$A$3:$A$5001,V$3,BD!$B$3:$B$5001,$A$89,BD!$C$3:$C$5001,"&lt;&gt;")=0,"",SUMIFS(BD!$C$3:$C$5001,BD!$A$3:$A$5001,V$3,BD!$B$3:$B$5001,$A$89)))</f>
        <v/>
      </c>
      <c r="W89" s="142" t="str">
        <f>IF(W$3="","",IF(COUNTIFS(BD!$A$3:$A$5001,W$3,BD!$B$3:$B$5001,$A$89,BD!$C$3:$C$5001,"&lt;&gt;")=0,"",SUMIFS(BD!$C$3:$C$5001,BD!$A$3:$A$5001,W$3,BD!$B$3:$B$5001,$A$89)))</f>
        <v/>
      </c>
      <c r="X89" s="142" t="str">
        <f>IF(X$3="","",IF(COUNTIFS(BD!$A$3:$A$5001,X$3,BD!$B$3:$B$5001,$A$89,BD!$C$3:$C$5001,"&lt;&gt;")=0,"",SUMIFS(BD!$C$3:$C$5001,BD!$A$3:$A$5001,X$3,BD!$B$3:$B$5001,$A$89)))</f>
        <v/>
      </c>
      <c r="Y89" s="142" t="str">
        <f>IF(Y$3="","",IF(COUNTIFS(BD!$A$3:$A$5001,Y$3,BD!$B$3:$B$5001,$A$89,BD!$C$3:$C$5001,"&lt;&gt;")=0,"",SUMIFS(BD!$C$3:$C$5001,BD!$A$3:$A$5001,Y$3,BD!$B$3:$B$5001,$A$89)))</f>
        <v/>
      </c>
      <c r="Z89" s="142" t="str">
        <f>IF(Z$3="","",IF(COUNTIFS(BD!$A$3:$A$5001,Z$3,BD!$B$3:$B$5001,$A$89,BD!$C$3:$C$5001,"&lt;&gt;")=0,"",SUMIFS(BD!$C$3:$C$5001,BD!$A$3:$A$5001,Z$3,BD!$B$3:$B$5001,$A$89)))</f>
        <v/>
      </c>
      <c r="AA89" s="142" t="str">
        <f>IF(AA$3="","",IF(COUNTIFS(BD!$A$3:$A$5001,AA$3,BD!$B$3:$B$5001,$A$89,BD!$C$3:$C$5001,"&lt;&gt;")=0,"",SUMIFS(BD!$C$3:$C$5001,BD!$A$3:$A$5001,AA$3,BD!$B$3:$B$5001,$A$89)))</f>
        <v/>
      </c>
      <c r="AB89" s="142" t="str">
        <f>IF(AB$3="","",IF(COUNTIFS(BD!$A$3:$A$5001,AB$3,BD!$B$3:$B$5001,$A$89,BD!$C$3:$C$5001,"&lt;&gt;")=0,"",SUMIFS(BD!$C$3:$C$5001,BD!$A$3:$A$5001,AB$3,BD!$B$3:$B$5001,$A$89)))</f>
        <v/>
      </c>
      <c r="AC89" s="142" t="str">
        <f>IF(AC$3="","",IF(COUNTIFS(BD!$A$3:$A$5001,AC$3,BD!$B$3:$B$5001,$A$89,BD!$C$3:$C$5001,"&lt;&gt;")=0,"",SUMIFS(BD!$C$3:$C$5001,BD!$A$3:$A$5001,AC$3,BD!$B$3:$B$5001,$A$89)))</f>
        <v/>
      </c>
      <c r="AD89" s="142" t="str">
        <f>IF(AD$3="","",IF(COUNTIFS(BD!$A$3:$A$5001,AD$3,BD!$B$3:$B$5001,$A$89,BD!$C$3:$C$5001,"&lt;&gt;")=0,"",SUMIFS(BD!$C$3:$C$5001,BD!$A$3:$A$5001,AD$3,BD!$B$3:$B$5001,$A$89)))</f>
        <v/>
      </c>
      <c r="AE89" s="142" t="str">
        <f>IF(AE$3="","",IF(COUNTIFS(BD!$A$3:$A$5001,AE$3,BD!$B$3:$B$5001,$A$89,BD!$C$3:$C$5001,"&lt;&gt;")=0,"",SUMIFS(BD!$C$3:$C$5001,BD!$A$3:$A$5001,AE$3,BD!$B$3:$B$5001,$A$89)))</f>
        <v/>
      </c>
      <c r="AF89" s="142" t="str">
        <f>IF(AF$3="","",IF(COUNTIFS(BD!$A$3:$A$5001,AF$3,BD!$B$3:$B$5001,$A$89,BD!$C$3:$C$5001,"&lt;&gt;")=0,"",SUMIFS(BD!$C$3:$C$5001,BD!$A$3:$A$5001,AF$3,BD!$B$3:$B$5001,$A$89)))</f>
        <v/>
      </c>
      <c r="AG89" s="142" t="str">
        <f>IF(AG$3="","",IF(COUNTIFS(BD!$A$3:$A$5001,AG$3,BD!$B$3:$B$5001,$A$89,BD!$C$3:$C$5001,"&lt;&gt;")=0,"",SUMIFS(BD!$C$3:$C$5001,BD!$A$3:$A$5001,AG$3,BD!$B$3:$B$5001,$A$89)))</f>
        <v/>
      </c>
      <c r="AH89" s="142" t="str">
        <f>IF(AH$3="","",IF(COUNTIFS(BD!$A$3:$A$5001,AH$3,BD!$B$3:$B$5001,$A$89,BD!$C$3:$C$5001,"&lt;&gt;")=0,"",SUMIFS(BD!$C$3:$C$5001,BD!$A$3:$A$5001,AH$3,BD!$B$3:$B$5001,$A$89)))</f>
        <v/>
      </c>
      <c r="AI89" s="142" t="str">
        <f>IF(AI$3="","",IF(COUNTIFS(BD!$A$3:$A$5001,AI$3,BD!$B$3:$B$5001,$A$89,BD!$C$3:$C$5001,"&lt;&gt;")=0,"",SUMIFS(BD!$C$3:$C$5001,BD!$A$3:$A$5001,AI$3,BD!$B$3:$B$5001,$A$89)))</f>
        <v/>
      </c>
      <c r="AJ89" s="143" t="str">
        <f>IF(AJ$3="","",IF(COUNTIFS(BD!$A$3:$A$5001,AJ$3,BD!$B$3:$B$5001,$A$89,BD!$C$3:$C$5001,"&lt;&gt;")=0,"",SUMIFS(BD!$C$3:$C$5001,BD!$A$3:$A$5001,AJ$3,BD!$B$3:$B$5001,$A$89)))</f>
        <v/>
      </c>
      <c r="AK89" s="144" t="str">
        <f>IF(COUNT(F89:AJ89)=0,"",SUM(F89:AJ89))</f>
        <v/>
      </c>
    </row>
    <row r="90" ht="15.75" customHeight="1">
      <c r="A90" s="227"/>
      <c r="B90" s="222"/>
      <c r="C90" s="184" t="inlineStr">
        <is>
          <t xml:space="preserve">Pallets Movimentados</t>
        </is>
      </c>
      <c r="D90" s="185" t="str">
        <f>IFERROR(1/(1/INDEX(BD!$AK$24:$AT$24,MATCH($A$89,BD!$AK$22:$AT$22,0))),"")</f>
        <v/>
      </c>
      <c r="E90" s="186"/>
      <c r="F90" s="187" t="str">
        <f>IF(F$3="","",IF(COUNTIFS(BD!$A$3:$A$5001,F$3,BD!$B$3:$B$5001,$A$89,BD!$D$3:$D$5001,"&lt;&gt;")=0,"",SUMIFS(BD!$D$3:$D$5001,BD!$A$3:$A$5001,F$3,BD!$B$3:$B$5001,$A$89)))</f>
        <v/>
      </c>
      <c r="G90" s="188" t="str">
        <f>IF(G$3="","",IF(COUNTIFS(BD!$A$3:$A$5001,G$3,BD!$B$3:$B$5001,$A$89,BD!$D$3:$D$5001,"&lt;&gt;")=0,"",SUMIFS(BD!$D$3:$D$5001,BD!$A$3:$A$5001,G$3,BD!$B$3:$B$5001,$A$89)))</f>
        <v/>
      </c>
      <c r="H90" s="188" t="str">
        <f>IF(H$3="","",IF(COUNTIFS(BD!$A$3:$A$5001,H$3,BD!$B$3:$B$5001,$A$89,BD!$D$3:$D$5001,"&lt;&gt;")=0,"",SUMIFS(BD!$D$3:$D$5001,BD!$A$3:$A$5001,H$3,BD!$B$3:$B$5001,$A$89)))</f>
        <v/>
      </c>
      <c r="I90" s="188" t="str">
        <f>IF(I$3="","",IF(COUNTIFS(BD!$A$3:$A$5001,I$3,BD!$B$3:$B$5001,$A$89,BD!$D$3:$D$5001,"&lt;&gt;")=0,"",SUMIFS(BD!$D$3:$D$5001,BD!$A$3:$A$5001,I$3,BD!$B$3:$B$5001,$A$89)))</f>
        <v/>
      </c>
      <c r="J90" s="188" t="str">
        <f>IF(J$3="","",IF(COUNTIFS(BD!$A$3:$A$5001,J$3,BD!$B$3:$B$5001,$A$89,BD!$D$3:$D$5001,"&lt;&gt;")=0,"",SUMIFS(BD!$D$3:$D$5001,BD!$A$3:$A$5001,J$3,BD!$B$3:$B$5001,$A$89)))</f>
        <v/>
      </c>
      <c r="K90" s="188" t="str">
        <f>IF(K$3="","",IF(COUNTIFS(BD!$A$3:$A$5001,K$3,BD!$B$3:$B$5001,$A$89,BD!$D$3:$D$5001,"&lt;&gt;")=0,"",SUMIFS(BD!$D$3:$D$5001,BD!$A$3:$A$5001,K$3,BD!$B$3:$B$5001,$A$89)))</f>
        <v/>
      </c>
      <c r="L90" s="188" t="str">
        <f>IF(L$3="","",IF(COUNTIFS(BD!$A$3:$A$5001,L$3,BD!$B$3:$B$5001,$A$89,BD!$D$3:$D$5001,"&lt;&gt;")=0,"",SUMIFS(BD!$D$3:$D$5001,BD!$A$3:$A$5001,L$3,BD!$B$3:$B$5001,$A$89)))</f>
        <v/>
      </c>
      <c r="M90" s="188" t="str">
        <f>IF(M$3="","",IF(COUNTIFS(BD!$A$3:$A$5001,M$3,BD!$B$3:$B$5001,$A$89,BD!$D$3:$D$5001,"&lt;&gt;")=0,"",SUMIFS(BD!$D$3:$D$5001,BD!$A$3:$A$5001,M$3,BD!$B$3:$B$5001,$A$89)))</f>
        <v/>
      </c>
      <c r="N90" s="188" t="str">
        <f>IF(N$3="","",IF(COUNTIFS(BD!$A$3:$A$5001,N$3,BD!$B$3:$B$5001,$A$89,BD!$D$3:$D$5001,"&lt;&gt;")=0,"",SUMIFS(BD!$D$3:$D$5001,BD!$A$3:$A$5001,N$3,BD!$B$3:$B$5001,$A$89)))</f>
        <v/>
      </c>
      <c r="O90" s="188" t="str">
        <f>IF(O$3="","",IF(COUNTIFS(BD!$A$3:$A$5001,O$3,BD!$B$3:$B$5001,$A$89,BD!$D$3:$D$5001,"&lt;&gt;")=0,"",SUMIFS(BD!$D$3:$D$5001,BD!$A$3:$A$5001,O$3,BD!$B$3:$B$5001,$A$89)))</f>
        <v/>
      </c>
      <c r="P90" s="188" t="str">
        <f>IF(P$3="","",IF(COUNTIFS(BD!$A$3:$A$5001,P$3,BD!$B$3:$B$5001,$A$89,BD!$D$3:$D$5001,"&lt;&gt;")=0,"",SUMIFS(BD!$D$3:$D$5001,BD!$A$3:$A$5001,P$3,BD!$B$3:$B$5001,$A$89)))</f>
        <v/>
      </c>
      <c r="Q90" s="188" t="str">
        <f>IF(Q$3="","",IF(COUNTIFS(BD!$A$3:$A$5001,Q$3,BD!$B$3:$B$5001,$A$89,BD!$D$3:$D$5001,"&lt;&gt;")=0,"",SUMIFS(BD!$D$3:$D$5001,BD!$A$3:$A$5001,Q$3,BD!$B$3:$B$5001,$A$89)))</f>
        <v/>
      </c>
      <c r="R90" s="188" t="str">
        <f>IF(R$3="","",IF(COUNTIFS(BD!$A$3:$A$5001,R$3,BD!$B$3:$B$5001,$A$89,BD!$D$3:$D$5001,"&lt;&gt;")=0,"",SUMIFS(BD!$D$3:$D$5001,BD!$A$3:$A$5001,R$3,BD!$B$3:$B$5001,$A$89)))</f>
        <v/>
      </c>
      <c r="S90" s="188" t="str">
        <f>IF(S$3="","",IF(COUNTIFS(BD!$A$3:$A$5001,S$3,BD!$B$3:$B$5001,$A$89,BD!$D$3:$D$5001,"&lt;&gt;")=0,"",SUMIFS(BD!$D$3:$D$5001,BD!$A$3:$A$5001,S$3,BD!$B$3:$B$5001,$A$89)))</f>
        <v/>
      </c>
      <c r="T90" s="188" t="str">
        <f>IF(T$3="","",IF(COUNTIFS(BD!$A$3:$A$5001,T$3,BD!$B$3:$B$5001,$A$89,BD!$D$3:$D$5001,"&lt;&gt;")=0,"",SUMIFS(BD!$D$3:$D$5001,BD!$A$3:$A$5001,T$3,BD!$B$3:$B$5001,$A$89)))</f>
        <v/>
      </c>
      <c r="U90" s="188" t="str">
        <f>IF(U$3="","",IF(COUNTIFS(BD!$A$3:$A$5001,U$3,BD!$B$3:$B$5001,$A$89,BD!$D$3:$D$5001,"&lt;&gt;")=0,"",SUMIFS(BD!$D$3:$D$5001,BD!$A$3:$A$5001,U$3,BD!$B$3:$B$5001,$A$89)))</f>
        <v/>
      </c>
      <c r="V90" s="188" t="str">
        <f>IF(V$3="","",IF(COUNTIFS(BD!$A$3:$A$5001,V$3,BD!$B$3:$B$5001,$A$89,BD!$D$3:$D$5001,"&lt;&gt;")=0,"",SUMIFS(BD!$D$3:$D$5001,BD!$A$3:$A$5001,V$3,BD!$B$3:$B$5001,$A$89)))</f>
        <v/>
      </c>
      <c r="W90" s="188" t="str">
        <f>IF(W$3="","",IF(COUNTIFS(BD!$A$3:$A$5001,W$3,BD!$B$3:$B$5001,$A$89,BD!$D$3:$D$5001,"&lt;&gt;")=0,"",SUMIFS(BD!$D$3:$D$5001,BD!$A$3:$A$5001,W$3,BD!$B$3:$B$5001,$A$89)))</f>
        <v/>
      </c>
      <c r="X90" s="188" t="str">
        <f>IF(X$3="","",IF(COUNTIFS(BD!$A$3:$A$5001,X$3,BD!$B$3:$B$5001,$A$89,BD!$D$3:$D$5001,"&lt;&gt;")=0,"",SUMIFS(BD!$D$3:$D$5001,BD!$A$3:$A$5001,X$3,BD!$B$3:$B$5001,$A$89)))</f>
        <v/>
      </c>
      <c r="Y90" s="188" t="str">
        <f>IF(Y$3="","",IF(COUNTIFS(BD!$A$3:$A$5001,Y$3,BD!$B$3:$B$5001,$A$89,BD!$D$3:$D$5001,"&lt;&gt;")=0,"",SUMIFS(BD!$D$3:$D$5001,BD!$A$3:$A$5001,Y$3,BD!$B$3:$B$5001,$A$89)))</f>
        <v/>
      </c>
      <c r="Z90" s="188" t="str">
        <f>IF(Z$3="","",IF(COUNTIFS(BD!$A$3:$A$5001,Z$3,BD!$B$3:$B$5001,$A$89,BD!$D$3:$D$5001,"&lt;&gt;")=0,"",SUMIFS(BD!$D$3:$D$5001,BD!$A$3:$A$5001,Z$3,BD!$B$3:$B$5001,$A$89)))</f>
        <v/>
      </c>
      <c r="AA90" s="188" t="str">
        <f>IF(AA$3="","",IF(COUNTIFS(BD!$A$3:$A$5001,AA$3,BD!$B$3:$B$5001,$A$89,BD!$D$3:$D$5001,"&lt;&gt;")=0,"",SUMIFS(BD!$D$3:$D$5001,BD!$A$3:$A$5001,AA$3,BD!$B$3:$B$5001,$A$89)))</f>
        <v/>
      </c>
      <c r="AB90" s="188" t="str">
        <f>IF(AB$3="","",IF(COUNTIFS(BD!$A$3:$A$5001,AB$3,BD!$B$3:$B$5001,$A$89,BD!$D$3:$D$5001,"&lt;&gt;")=0,"",SUMIFS(BD!$D$3:$D$5001,BD!$A$3:$A$5001,AB$3,BD!$B$3:$B$5001,$A$89)))</f>
        <v/>
      </c>
      <c r="AC90" s="188" t="str">
        <f>IF(AC$3="","",IF(COUNTIFS(BD!$A$3:$A$5001,AC$3,BD!$B$3:$B$5001,$A$89,BD!$D$3:$D$5001,"&lt;&gt;")=0,"",SUMIFS(BD!$D$3:$D$5001,BD!$A$3:$A$5001,AC$3,BD!$B$3:$B$5001,$A$89)))</f>
        <v/>
      </c>
      <c r="AD90" s="188" t="str">
        <f>IF(AD$3="","",IF(COUNTIFS(BD!$A$3:$A$5001,AD$3,BD!$B$3:$B$5001,$A$89,BD!$D$3:$D$5001,"&lt;&gt;")=0,"",SUMIFS(BD!$D$3:$D$5001,BD!$A$3:$A$5001,AD$3,BD!$B$3:$B$5001,$A$89)))</f>
        <v/>
      </c>
      <c r="AE90" s="188" t="str">
        <f>IF(AE$3="","",IF(COUNTIFS(BD!$A$3:$A$5001,AE$3,BD!$B$3:$B$5001,$A$89,BD!$D$3:$D$5001,"&lt;&gt;")=0,"",SUMIFS(BD!$D$3:$D$5001,BD!$A$3:$A$5001,AE$3,BD!$B$3:$B$5001,$A$89)))</f>
        <v/>
      </c>
      <c r="AF90" s="188" t="str">
        <f>IF(AF$3="","",IF(COUNTIFS(BD!$A$3:$A$5001,AF$3,BD!$B$3:$B$5001,$A$89,BD!$D$3:$D$5001,"&lt;&gt;")=0,"",SUMIFS(BD!$D$3:$D$5001,BD!$A$3:$A$5001,AF$3,BD!$B$3:$B$5001,$A$89)))</f>
        <v/>
      </c>
      <c r="AG90" s="188" t="str">
        <f>IF(AG$3="","",IF(COUNTIFS(BD!$A$3:$A$5001,AG$3,BD!$B$3:$B$5001,$A$89,BD!$D$3:$D$5001,"&lt;&gt;")=0,"",SUMIFS(BD!$D$3:$D$5001,BD!$A$3:$A$5001,AG$3,BD!$B$3:$B$5001,$A$89)))</f>
        <v/>
      </c>
      <c r="AH90" s="188" t="str">
        <f>IF(AH$3="","",IF(COUNTIFS(BD!$A$3:$A$5001,AH$3,BD!$B$3:$B$5001,$A$89,BD!$D$3:$D$5001,"&lt;&gt;")=0,"",SUMIFS(BD!$D$3:$D$5001,BD!$A$3:$A$5001,AH$3,BD!$B$3:$B$5001,$A$89)))</f>
        <v/>
      </c>
      <c r="AI90" s="188" t="str">
        <f>IF(AI$3="","",IF(COUNTIFS(BD!$A$3:$A$5001,AI$3,BD!$B$3:$B$5001,$A$89,BD!$D$3:$D$5001,"&lt;&gt;")=0,"",SUMIFS(BD!$D$3:$D$5001,BD!$A$3:$A$5001,AI$3,BD!$B$3:$B$5001,$A$89)))</f>
        <v/>
      </c>
      <c r="AJ90" s="189" t="str">
        <f>IF(AJ$3="","",IF(COUNTIFS(BD!$A$3:$A$5001,AJ$3,BD!$B$3:$B$5001,$A$89,BD!$D$3:$D$5001,"&lt;&gt;")=0,"",SUMIFS(BD!$D$3:$D$5001,BD!$A$3:$A$5001,AJ$3,BD!$B$3:$B$5001,$A$89)))</f>
        <v/>
      </c>
      <c r="AK90" s="190" t="str">
        <f>IF(COUNT(F90:AJ90)=0,"",SUM(F90:AJ90))</f>
        <v/>
      </c>
    </row>
    <row r="91" ht="15.75" customHeight="1">
      <c r="A91" s="227"/>
      <c r="B91" s="222"/>
      <c r="C91" s="184" t="inlineStr">
        <is>
          <t xml:space="preserve">Peças Movimentadas</t>
        </is>
      </c>
      <c r="D91" s="185" t="str">
        <f>IFERROR(1/(1/INDEX(BD!$AK$28:$AT$28,MATCH($A$89,BD!$AK$22:$AT$22,0))),"")</f>
        <v/>
      </c>
      <c r="E91" s="186"/>
      <c r="F91" s="187" t="str">
        <f>IF(F$3="","",IF(COUNTIFS(BD!$A$3:$A$5001,F$3,BD!$B$3:$B$5001,$A$89,BD!$H$3:$H$5001,"&lt;&gt;")=0,"",SUMIFS(BD!$H$3:$H$5001,BD!$A$3:$A$5001,F$3,BD!$B$3:$B$5001,$A$89)))</f>
        <v/>
      </c>
      <c r="G91" s="188" t="str">
        <f>IF(G$3="","",IF(COUNTIFS(BD!$A$3:$A$5001,G$3,BD!$B$3:$B$5001,$A$89,BD!$H$3:$H$5001,"&lt;&gt;")=0,"",SUMIFS(BD!$H$3:$H$5001,BD!$A$3:$A$5001,G$3,BD!$B$3:$B$5001,$A$89)))</f>
        <v/>
      </c>
      <c r="H91" s="188" t="str">
        <f>IF(H$3="","",IF(COUNTIFS(BD!$A$3:$A$5001,H$3,BD!$B$3:$B$5001,$A$89,BD!$H$3:$H$5001,"&lt;&gt;")=0,"",SUMIFS(BD!$H$3:$H$5001,BD!$A$3:$A$5001,H$3,BD!$B$3:$B$5001,$A$89)))</f>
        <v/>
      </c>
      <c r="I91" s="188" t="str">
        <f>IF(I$3="","",IF(COUNTIFS(BD!$A$3:$A$5001,I$3,BD!$B$3:$B$5001,$A$89,BD!$H$3:$H$5001,"&lt;&gt;")=0,"",SUMIFS(BD!$H$3:$H$5001,BD!$A$3:$A$5001,I$3,BD!$B$3:$B$5001,$A$89)))</f>
        <v/>
      </c>
      <c r="J91" s="188" t="str">
        <f>IF(J$3="","",IF(COUNTIFS(BD!$A$3:$A$5001,J$3,BD!$B$3:$B$5001,$A$89,BD!$H$3:$H$5001,"&lt;&gt;")=0,"",SUMIFS(BD!$H$3:$H$5001,BD!$A$3:$A$5001,J$3,BD!$B$3:$B$5001,$A$89)))</f>
        <v/>
      </c>
      <c r="K91" s="188" t="str">
        <f>IF(K$3="","",IF(COUNTIFS(BD!$A$3:$A$5001,K$3,BD!$B$3:$B$5001,$A$89,BD!$H$3:$H$5001,"&lt;&gt;")=0,"",SUMIFS(BD!$H$3:$H$5001,BD!$A$3:$A$5001,K$3,BD!$B$3:$B$5001,$A$89)))</f>
        <v/>
      </c>
      <c r="L91" s="188" t="str">
        <f>IF(L$3="","",IF(COUNTIFS(BD!$A$3:$A$5001,L$3,BD!$B$3:$B$5001,$A$89,BD!$H$3:$H$5001,"&lt;&gt;")=0,"",SUMIFS(BD!$H$3:$H$5001,BD!$A$3:$A$5001,L$3,BD!$B$3:$B$5001,$A$89)))</f>
        <v/>
      </c>
      <c r="M91" s="188" t="str">
        <f>IF(M$3="","",IF(COUNTIFS(BD!$A$3:$A$5001,M$3,BD!$B$3:$B$5001,$A$89,BD!$H$3:$H$5001,"&lt;&gt;")=0,"",SUMIFS(BD!$H$3:$H$5001,BD!$A$3:$A$5001,M$3,BD!$B$3:$B$5001,$A$89)))</f>
        <v/>
      </c>
      <c r="N91" s="188" t="str">
        <f>IF(N$3="","",IF(COUNTIFS(BD!$A$3:$A$5001,N$3,BD!$B$3:$B$5001,$A$89,BD!$H$3:$H$5001,"&lt;&gt;")=0,"",SUMIFS(BD!$H$3:$H$5001,BD!$A$3:$A$5001,N$3,BD!$B$3:$B$5001,$A$89)))</f>
        <v/>
      </c>
      <c r="O91" s="188" t="str">
        <f>IF(O$3="","",IF(COUNTIFS(BD!$A$3:$A$5001,O$3,BD!$B$3:$B$5001,$A$89,BD!$H$3:$H$5001,"&lt;&gt;")=0,"",SUMIFS(BD!$H$3:$H$5001,BD!$A$3:$A$5001,O$3,BD!$B$3:$B$5001,$A$89)))</f>
        <v/>
      </c>
      <c r="P91" s="188" t="str">
        <f>IF(P$3="","",IF(COUNTIFS(BD!$A$3:$A$5001,P$3,BD!$B$3:$B$5001,$A$89,BD!$H$3:$H$5001,"&lt;&gt;")=0,"",SUMIFS(BD!$H$3:$H$5001,BD!$A$3:$A$5001,P$3,BD!$B$3:$B$5001,$A$89)))</f>
        <v/>
      </c>
      <c r="Q91" s="188" t="str">
        <f>IF(Q$3="","",IF(COUNTIFS(BD!$A$3:$A$5001,Q$3,BD!$B$3:$B$5001,$A$89,BD!$H$3:$H$5001,"&lt;&gt;")=0,"",SUMIFS(BD!$H$3:$H$5001,BD!$A$3:$A$5001,Q$3,BD!$B$3:$B$5001,$A$89)))</f>
        <v/>
      </c>
      <c r="R91" s="188" t="str">
        <f>IF(R$3="","",IF(COUNTIFS(BD!$A$3:$A$5001,R$3,BD!$B$3:$B$5001,$A$89,BD!$H$3:$H$5001,"&lt;&gt;")=0,"",SUMIFS(BD!$H$3:$H$5001,BD!$A$3:$A$5001,R$3,BD!$B$3:$B$5001,$A$89)))</f>
        <v/>
      </c>
      <c r="S91" s="188" t="str">
        <f>IF(S$3="","",IF(COUNTIFS(BD!$A$3:$A$5001,S$3,BD!$B$3:$B$5001,$A$89,BD!$H$3:$H$5001,"&lt;&gt;")=0,"",SUMIFS(BD!$H$3:$H$5001,BD!$A$3:$A$5001,S$3,BD!$B$3:$B$5001,$A$89)))</f>
        <v/>
      </c>
      <c r="T91" s="188" t="str">
        <f>IF(T$3="","",IF(COUNTIFS(BD!$A$3:$A$5001,T$3,BD!$B$3:$B$5001,$A$89,BD!$H$3:$H$5001,"&lt;&gt;")=0,"",SUMIFS(BD!$H$3:$H$5001,BD!$A$3:$A$5001,T$3,BD!$B$3:$B$5001,$A$89)))</f>
        <v/>
      </c>
      <c r="U91" s="188" t="str">
        <f>IF(U$3="","",IF(COUNTIFS(BD!$A$3:$A$5001,U$3,BD!$B$3:$B$5001,$A$89,BD!$H$3:$H$5001,"&lt;&gt;")=0,"",SUMIFS(BD!$H$3:$H$5001,BD!$A$3:$A$5001,U$3,BD!$B$3:$B$5001,$A$89)))</f>
        <v/>
      </c>
      <c r="V91" s="188" t="str">
        <f>IF(V$3="","",IF(COUNTIFS(BD!$A$3:$A$5001,V$3,BD!$B$3:$B$5001,$A$89,BD!$H$3:$H$5001,"&lt;&gt;")=0,"",SUMIFS(BD!$H$3:$H$5001,BD!$A$3:$A$5001,V$3,BD!$B$3:$B$5001,$A$89)))</f>
        <v/>
      </c>
      <c r="W91" s="188" t="str">
        <f>IF(W$3="","",IF(COUNTIFS(BD!$A$3:$A$5001,W$3,BD!$B$3:$B$5001,$A$89,BD!$H$3:$H$5001,"&lt;&gt;")=0,"",SUMIFS(BD!$H$3:$H$5001,BD!$A$3:$A$5001,W$3,BD!$B$3:$B$5001,$A$89)))</f>
        <v/>
      </c>
      <c r="X91" s="188" t="str">
        <f>IF(X$3="","",IF(COUNTIFS(BD!$A$3:$A$5001,X$3,BD!$B$3:$B$5001,$A$89,BD!$H$3:$H$5001,"&lt;&gt;")=0,"",SUMIFS(BD!$H$3:$H$5001,BD!$A$3:$A$5001,X$3,BD!$B$3:$B$5001,$A$89)))</f>
        <v/>
      </c>
      <c r="Y91" s="188" t="str">
        <f>IF(Y$3="","",IF(COUNTIFS(BD!$A$3:$A$5001,Y$3,BD!$B$3:$B$5001,$A$89,BD!$H$3:$H$5001,"&lt;&gt;")=0,"",SUMIFS(BD!$H$3:$H$5001,BD!$A$3:$A$5001,Y$3,BD!$B$3:$B$5001,$A$89)))</f>
        <v/>
      </c>
      <c r="Z91" s="188" t="str">
        <f>IF(Z$3="","",IF(COUNTIFS(BD!$A$3:$A$5001,Z$3,BD!$B$3:$B$5001,$A$89,BD!$H$3:$H$5001,"&lt;&gt;")=0,"",SUMIFS(BD!$H$3:$H$5001,BD!$A$3:$A$5001,Z$3,BD!$B$3:$B$5001,$A$89)))</f>
        <v/>
      </c>
      <c r="AA91" s="188" t="str">
        <f>IF(AA$3="","",IF(COUNTIFS(BD!$A$3:$A$5001,AA$3,BD!$B$3:$B$5001,$A$89,BD!$H$3:$H$5001,"&lt;&gt;")=0,"",SUMIFS(BD!$H$3:$H$5001,BD!$A$3:$A$5001,AA$3,BD!$B$3:$B$5001,$A$89)))</f>
        <v/>
      </c>
      <c r="AB91" s="188" t="str">
        <f>IF(AB$3="","",IF(COUNTIFS(BD!$A$3:$A$5001,AB$3,BD!$B$3:$B$5001,$A$89,BD!$H$3:$H$5001,"&lt;&gt;")=0,"",SUMIFS(BD!$H$3:$H$5001,BD!$A$3:$A$5001,AB$3,BD!$B$3:$B$5001,$A$89)))</f>
        <v/>
      </c>
      <c r="AC91" s="188" t="str">
        <f>IF(AC$3="","",IF(COUNTIFS(BD!$A$3:$A$5001,AC$3,BD!$B$3:$B$5001,$A$89,BD!$H$3:$H$5001,"&lt;&gt;")=0,"",SUMIFS(BD!$H$3:$H$5001,BD!$A$3:$A$5001,AC$3,BD!$B$3:$B$5001,$A$89)))</f>
        <v/>
      </c>
      <c r="AD91" s="188" t="str">
        <f>IF(AD$3="","",IF(COUNTIFS(BD!$A$3:$A$5001,AD$3,BD!$B$3:$B$5001,$A$89,BD!$H$3:$H$5001,"&lt;&gt;")=0,"",SUMIFS(BD!$H$3:$H$5001,BD!$A$3:$A$5001,AD$3,BD!$B$3:$B$5001,$A$89)))</f>
        <v/>
      </c>
      <c r="AE91" s="188" t="str">
        <f>IF(AE$3="","",IF(COUNTIFS(BD!$A$3:$A$5001,AE$3,BD!$B$3:$B$5001,$A$89,BD!$H$3:$H$5001,"&lt;&gt;")=0,"",SUMIFS(BD!$H$3:$H$5001,BD!$A$3:$A$5001,AE$3,BD!$B$3:$B$5001,$A$89)))</f>
        <v/>
      </c>
      <c r="AF91" s="188" t="str">
        <f>IF(AF$3="","",IF(COUNTIFS(BD!$A$3:$A$5001,AF$3,BD!$B$3:$B$5001,$A$89,BD!$H$3:$H$5001,"&lt;&gt;")=0,"",SUMIFS(BD!$H$3:$H$5001,BD!$A$3:$A$5001,AF$3,BD!$B$3:$B$5001,$A$89)))</f>
        <v/>
      </c>
      <c r="AG91" s="188" t="str">
        <f>IF(AG$3="","",IF(COUNTIFS(BD!$A$3:$A$5001,AG$3,BD!$B$3:$B$5001,$A$89,BD!$H$3:$H$5001,"&lt;&gt;")=0,"",SUMIFS(BD!$H$3:$H$5001,BD!$A$3:$A$5001,AG$3,BD!$B$3:$B$5001,$A$89)))</f>
        <v/>
      </c>
      <c r="AH91" s="188" t="str">
        <f>IF(AH$3="","",IF(COUNTIFS(BD!$A$3:$A$5001,AH$3,BD!$B$3:$B$5001,$A$89,BD!$H$3:$H$5001,"&lt;&gt;")=0,"",SUMIFS(BD!$H$3:$H$5001,BD!$A$3:$A$5001,AH$3,BD!$B$3:$B$5001,$A$89)))</f>
        <v/>
      </c>
      <c r="AI91" s="188" t="str">
        <f>IF(AI$3="","",IF(COUNTIFS(BD!$A$3:$A$5001,AI$3,BD!$B$3:$B$5001,$A$89,BD!$H$3:$H$5001,"&lt;&gt;")=0,"",SUMIFS(BD!$H$3:$H$5001,BD!$A$3:$A$5001,AI$3,BD!$B$3:$B$5001,$A$89)))</f>
        <v/>
      </c>
      <c r="AJ91" s="189" t="str">
        <f>IF(AJ$3="","",IF(COUNTIFS(BD!$A$3:$A$5001,AJ$3,BD!$B$3:$B$5001,$A$89,BD!$H$3:$H$5001,"&lt;&gt;")=0,"",SUMIFS(BD!$H$3:$H$5001,BD!$A$3:$A$5001,AJ$3,BD!$B$3:$B$5001,$A$89)))</f>
        <v/>
      </c>
      <c r="AK91" s="190" t="str">
        <f>IF(COUNT(F91:AJ91)=0,"",SUM(F91:AJ91))</f>
        <v/>
      </c>
    </row>
    <row r="92" ht="15.75" customHeight="1">
      <c r="A92" s="227"/>
      <c r="B92" s="216"/>
      <c r="C92" s="145" t="inlineStr">
        <is>
          <t xml:space="preserve">Linhas NF</t>
        </is>
      </c>
      <c r="D92" s="146" t="str">
        <f>IFERROR(1/(1/INDEX(BD!$AK$26:$AT$26,MATCH($A$89,BD!$AK$22:$AT$22,0))),"")</f>
        <v/>
      </c>
      <c r="E92" s="147"/>
      <c r="F92" s="148" t="str">
        <f>IF(F$3="","",IF(COUNTIFS(BD!$A$3:$A$5001,F$3,BD!$B$3:$B$5001,$A$89,BD!$F$3:$F$5001,"&lt;&gt;")=0,"",SUMIFS(BD!$F$3:$F$5001,BD!$A$3:$A$5001,F$3,BD!$B$3:$B$5001,$A$89)))</f>
        <v/>
      </c>
      <c r="G92" s="149" t="str">
        <f>IF(G$3="","",IF(COUNTIFS(BD!$A$3:$A$5001,G$3,BD!$B$3:$B$5001,$A$89,BD!$F$3:$F$5001,"&lt;&gt;")=0,"",SUMIFS(BD!$F$3:$F$5001,BD!$A$3:$A$5001,G$3,BD!$B$3:$B$5001,$A$89)))</f>
        <v/>
      </c>
      <c r="H92" s="149" t="str">
        <f>IF(H$3="","",IF(COUNTIFS(BD!$A$3:$A$5001,H$3,BD!$B$3:$B$5001,$A$89,BD!$F$3:$F$5001,"&lt;&gt;")=0,"",SUMIFS(BD!$F$3:$F$5001,BD!$A$3:$A$5001,H$3,BD!$B$3:$B$5001,$A$89)))</f>
        <v/>
      </c>
      <c r="I92" s="149" t="str">
        <f>IF(I$3="","",IF(COUNTIFS(BD!$A$3:$A$5001,I$3,BD!$B$3:$B$5001,$A$89,BD!$F$3:$F$5001,"&lt;&gt;")=0,"",SUMIFS(BD!$F$3:$F$5001,BD!$A$3:$A$5001,I$3,BD!$B$3:$B$5001,$A$89)))</f>
        <v/>
      </c>
      <c r="J92" s="149" t="str">
        <f>IF(J$3="","",IF(COUNTIFS(BD!$A$3:$A$5001,J$3,BD!$B$3:$B$5001,$A$89,BD!$F$3:$F$5001,"&lt;&gt;")=0,"",SUMIFS(BD!$F$3:$F$5001,BD!$A$3:$A$5001,J$3,BD!$B$3:$B$5001,$A$89)))</f>
        <v/>
      </c>
      <c r="K92" s="149" t="str">
        <f>IF(K$3="","",IF(COUNTIFS(BD!$A$3:$A$5001,K$3,BD!$B$3:$B$5001,$A$89,BD!$F$3:$F$5001,"&lt;&gt;")=0,"",SUMIFS(BD!$F$3:$F$5001,BD!$A$3:$A$5001,K$3,BD!$B$3:$B$5001,$A$89)))</f>
        <v/>
      </c>
      <c r="L92" s="149" t="str">
        <f>IF(L$3="","",IF(COUNTIFS(BD!$A$3:$A$5001,L$3,BD!$B$3:$B$5001,$A$89,BD!$F$3:$F$5001,"&lt;&gt;")=0,"",SUMIFS(BD!$F$3:$F$5001,BD!$A$3:$A$5001,L$3,BD!$B$3:$B$5001,$A$89)))</f>
        <v/>
      </c>
      <c r="M92" s="149" t="str">
        <f>IF(M$3="","",IF(COUNTIFS(BD!$A$3:$A$5001,M$3,BD!$B$3:$B$5001,$A$89,BD!$F$3:$F$5001,"&lt;&gt;")=0,"",SUMIFS(BD!$F$3:$F$5001,BD!$A$3:$A$5001,M$3,BD!$B$3:$B$5001,$A$89)))</f>
        <v/>
      </c>
      <c r="N92" s="149" t="str">
        <f>IF(N$3="","",IF(COUNTIFS(BD!$A$3:$A$5001,N$3,BD!$B$3:$B$5001,$A$89,BD!$F$3:$F$5001,"&lt;&gt;")=0,"",SUMIFS(BD!$F$3:$F$5001,BD!$A$3:$A$5001,N$3,BD!$B$3:$B$5001,$A$89)))</f>
        <v/>
      </c>
      <c r="O92" s="149" t="str">
        <f>IF(O$3="","",IF(COUNTIFS(BD!$A$3:$A$5001,O$3,BD!$B$3:$B$5001,$A$89,BD!$F$3:$F$5001,"&lt;&gt;")=0,"",SUMIFS(BD!$F$3:$F$5001,BD!$A$3:$A$5001,O$3,BD!$B$3:$B$5001,$A$89)))</f>
        <v/>
      </c>
      <c r="P92" s="149" t="str">
        <f>IF(P$3="","",IF(COUNTIFS(BD!$A$3:$A$5001,P$3,BD!$B$3:$B$5001,$A$89,BD!$F$3:$F$5001,"&lt;&gt;")=0,"",SUMIFS(BD!$F$3:$F$5001,BD!$A$3:$A$5001,P$3,BD!$B$3:$B$5001,$A$89)))</f>
        <v/>
      </c>
      <c r="Q92" s="149" t="str">
        <f>IF(Q$3="","",IF(COUNTIFS(BD!$A$3:$A$5001,Q$3,BD!$B$3:$B$5001,$A$89,BD!$F$3:$F$5001,"&lt;&gt;")=0,"",SUMIFS(BD!$F$3:$F$5001,BD!$A$3:$A$5001,Q$3,BD!$B$3:$B$5001,$A$89)))</f>
        <v/>
      </c>
      <c r="R92" s="149" t="str">
        <f>IF(R$3="","",IF(COUNTIFS(BD!$A$3:$A$5001,R$3,BD!$B$3:$B$5001,$A$89,BD!$F$3:$F$5001,"&lt;&gt;")=0,"",SUMIFS(BD!$F$3:$F$5001,BD!$A$3:$A$5001,R$3,BD!$B$3:$B$5001,$A$89)))</f>
        <v/>
      </c>
      <c r="S92" s="149" t="str">
        <f>IF(S$3="","",IF(COUNTIFS(BD!$A$3:$A$5001,S$3,BD!$B$3:$B$5001,$A$89,BD!$F$3:$F$5001,"&lt;&gt;")=0,"",SUMIFS(BD!$F$3:$F$5001,BD!$A$3:$A$5001,S$3,BD!$B$3:$B$5001,$A$89)))</f>
        <v/>
      </c>
      <c r="T92" s="149" t="str">
        <f>IF(T$3="","",IF(COUNTIFS(BD!$A$3:$A$5001,T$3,BD!$B$3:$B$5001,$A$89,BD!$F$3:$F$5001,"&lt;&gt;")=0,"",SUMIFS(BD!$F$3:$F$5001,BD!$A$3:$A$5001,T$3,BD!$B$3:$B$5001,$A$89)))</f>
        <v/>
      </c>
      <c r="U92" s="149" t="str">
        <f>IF(U$3="","",IF(COUNTIFS(BD!$A$3:$A$5001,U$3,BD!$B$3:$B$5001,$A$89,BD!$F$3:$F$5001,"&lt;&gt;")=0,"",SUMIFS(BD!$F$3:$F$5001,BD!$A$3:$A$5001,U$3,BD!$B$3:$B$5001,$A$89)))</f>
        <v/>
      </c>
      <c r="V92" s="149" t="str">
        <f>IF(V$3="","",IF(COUNTIFS(BD!$A$3:$A$5001,V$3,BD!$B$3:$B$5001,$A$89,BD!$F$3:$F$5001,"&lt;&gt;")=0,"",SUMIFS(BD!$F$3:$F$5001,BD!$A$3:$A$5001,V$3,BD!$B$3:$B$5001,$A$89)))</f>
        <v/>
      </c>
      <c r="W92" s="149" t="str">
        <f>IF(W$3="","",IF(COUNTIFS(BD!$A$3:$A$5001,W$3,BD!$B$3:$B$5001,$A$89,BD!$F$3:$F$5001,"&lt;&gt;")=0,"",SUMIFS(BD!$F$3:$F$5001,BD!$A$3:$A$5001,W$3,BD!$B$3:$B$5001,$A$89)))</f>
        <v/>
      </c>
      <c r="X92" s="149" t="str">
        <f>IF(X$3="","",IF(COUNTIFS(BD!$A$3:$A$5001,X$3,BD!$B$3:$B$5001,$A$89,BD!$F$3:$F$5001,"&lt;&gt;")=0,"",SUMIFS(BD!$F$3:$F$5001,BD!$A$3:$A$5001,X$3,BD!$B$3:$B$5001,$A$89)))</f>
        <v/>
      </c>
      <c r="Y92" s="149" t="str">
        <f>IF(Y$3="","",IF(COUNTIFS(BD!$A$3:$A$5001,Y$3,BD!$B$3:$B$5001,$A$89,BD!$F$3:$F$5001,"&lt;&gt;")=0,"",SUMIFS(BD!$F$3:$F$5001,BD!$A$3:$A$5001,Y$3,BD!$B$3:$B$5001,$A$89)))</f>
        <v/>
      </c>
      <c r="Z92" s="149" t="str">
        <f>IF(Z$3="","",IF(COUNTIFS(BD!$A$3:$A$5001,Z$3,BD!$B$3:$B$5001,$A$89,BD!$F$3:$F$5001,"&lt;&gt;")=0,"",SUMIFS(BD!$F$3:$F$5001,BD!$A$3:$A$5001,Z$3,BD!$B$3:$B$5001,$A$89)))</f>
        <v/>
      </c>
      <c r="AA92" s="149" t="str">
        <f>IF(AA$3="","",IF(COUNTIFS(BD!$A$3:$A$5001,AA$3,BD!$B$3:$B$5001,$A$89,BD!$F$3:$F$5001,"&lt;&gt;")=0,"",SUMIFS(BD!$F$3:$F$5001,BD!$A$3:$A$5001,AA$3,BD!$B$3:$B$5001,$A$89)))</f>
        <v/>
      </c>
      <c r="AB92" s="149" t="str">
        <f>IF(AB$3="","",IF(COUNTIFS(BD!$A$3:$A$5001,AB$3,BD!$B$3:$B$5001,$A$89,BD!$F$3:$F$5001,"&lt;&gt;")=0,"",SUMIFS(BD!$F$3:$F$5001,BD!$A$3:$A$5001,AB$3,BD!$B$3:$B$5001,$A$89)))</f>
        <v/>
      </c>
      <c r="AC92" s="149" t="str">
        <f>IF(AC$3="","",IF(COUNTIFS(BD!$A$3:$A$5001,AC$3,BD!$B$3:$B$5001,$A$89,BD!$F$3:$F$5001,"&lt;&gt;")=0,"",SUMIFS(BD!$F$3:$F$5001,BD!$A$3:$A$5001,AC$3,BD!$B$3:$B$5001,$A$89)))</f>
        <v/>
      </c>
      <c r="AD92" s="149" t="str">
        <f>IF(AD$3="","",IF(COUNTIFS(BD!$A$3:$A$5001,AD$3,BD!$B$3:$B$5001,$A$89,BD!$F$3:$F$5001,"&lt;&gt;")=0,"",SUMIFS(BD!$F$3:$F$5001,BD!$A$3:$A$5001,AD$3,BD!$B$3:$B$5001,$A$89)))</f>
        <v/>
      </c>
      <c r="AE92" s="149" t="str">
        <f>IF(AE$3="","",IF(COUNTIFS(BD!$A$3:$A$5001,AE$3,BD!$B$3:$B$5001,$A$89,BD!$F$3:$F$5001,"&lt;&gt;")=0,"",SUMIFS(BD!$F$3:$F$5001,BD!$A$3:$A$5001,AE$3,BD!$B$3:$B$5001,$A$89)))</f>
        <v/>
      </c>
      <c r="AF92" s="149" t="str">
        <f>IF(AF$3="","",IF(COUNTIFS(BD!$A$3:$A$5001,AF$3,BD!$B$3:$B$5001,$A$89,BD!$F$3:$F$5001,"&lt;&gt;")=0,"",SUMIFS(BD!$F$3:$F$5001,BD!$A$3:$A$5001,AF$3,BD!$B$3:$B$5001,$A$89)))</f>
        <v/>
      </c>
      <c r="AG92" s="149" t="str">
        <f>IF(AG$3="","",IF(COUNTIFS(BD!$A$3:$A$5001,AG$3,BD!$B$3:$B$5001,$A$89,BD!$F$3:$F$5001,"&lt;&gt;")=0,"",SUMIFS(BD!$F$3:$F$5001,BD!$A$3:$A$5001,AG$3,BD!$B$3:$B$5001,$A$89)))</f>
        <v/>
      </c>
      <c r="AH92" s="149" t="str">
        <f>IF(AH$3="","",IF(COUNTIFS(BD!$A$3:$A$5001,AH$3,BD!$B$3:$B$5001,$A$89,BD!$F$3:$F$5001,"&lt;&gt;")=0,"",SUMIFS(BD!$F$3:$F$5001,BD!$A$3:$A$5001,AH$3,BD!$B$3:$B$5001,$A$89)))</f>
        <v/>
      </c>
      <c r="AI92" s="149" t="str">
        <f>IF(AI$3="","",IF(COUNTIFS(BD!$A$3:$A$5001,AI$3,BD!$B$3:$B$5001,$A$89,BD!$F$3:$F$5001,"&lt;&gt;")=0,"",SUMIFS(BD!$F$3:$F$5001,BD!$A$3:$A$5001,AI$3,BD!$B$3:$B$5001,$A$89)))</f>
        <v/>
      </c>
      <c r="AJ92" s="150" t="str">
        <f>IF(AJ$3="","",IF(COUNTIFS(BD!$A$3:$A$5001,AJ$3,BD!$B$3:$B$5001,$A$89,BD!$F$3:$F$5001,"&lt;&gt;")=0,"",SUMIFS(BD!$F$3:$F$5001,BD!$A$3:$A$5001,AJ$3,BD!$B$3:$B$5001,$A$89)))</f>
        <v/>
      </c>
      <c r="AK92" s="146" t="str">
        <f>IF(COUNT(F92:AJ92)=0,"",SUM(F92:AJ92))</f>
        <v/>
      </c>
    </row>
    <row r="93" ht="15.75" customHeight="1">
      <c r="A93" s="227"/>
      <c r="B93" s="217" t="inlineStr">
        <is>
          <t xml:space="preserve">OUT</t>
        </is>
      </c>
      <c r="C93" s="151" t="inlineStr">
        <is>
          <t xml:space="preserve">Veículos Expedidos</t>
        </is>
      </c>
      <c r="D93" s="152" t="str">
        <f>IFERROR(1/(1/INDEX(BD!$AK$32:$AT$32,MATCH($A$89,BD!$AK$22:$AT$22,0))),"")</f>
        <v/>
      </c>
      <c r="E93" s="153"/>
      <c r="F93" s="154" t="str">
        <f>IF(F$3="","",IF(COUNTIFS(BD!$A$3:$A$5001,F$3,BD!$B$3:$B$5001,$A$89,BD!$L$3:$L$5001,"&lt;&gt;")=0,"",SUMIFS(BD!$L$3:$L$5001,BD!$A$3:$A$5001,F$3,BD!$B$3:$B$5001,$A$89)))</f>
        <v/>
      </c>
      <c r="G93" s="155" t="str">
        <f>IF(G$3="","",IF(COUNTIFS(BD!$A$3:$A$5001,G$3,BD!$B$3:$B$5001,$A$89,BD!$L$3:$L$5001,"&lt;&gt;")=0,"",SUMIFS(BD!$L$3:$L$5001,BD!$A$3:$A$5001,G$3,BD!$B$3:$B$5001,$A$89)))</f>
        <v/>
      </c>
      <c r="H93" s="155" t="str">
        <f>IF(H$3="","",IF(COUNTIFS(BD!$A$3:$A$5001,H$3,BD!$B$3:$B$5001,$A$89,BD!$L$3:$L$5001,"&lt;&gt;")=0,"",SUMIFS(BD!$L$3:$L$5001,BD!$A$3:$A$5001,H$3,BD!$B$3:$B$5001,$A$89)))</f>
        <v/>
      </c>
      <c r="I93" s="155" t="str">
        <f>IF(I$3="","",IF(COUNTIFS(BD!$A$3:$A$5001,I$3,BD!$B$3:$B$5001,$A$89,BD!$L$3:$L$5001,"&lt;&gt;")=0,"",SUMIFS(BD!$L$3:$L$5001,BD!$A$3:$A$5001,I$3,BD!$B$3:$B$5001,$A$89)))</f>
        <v/>
      </c>
      <c r="J93" s="155" t="str">
        <f>IF(J$3="","",IF(COUNTIFS(BD!$A$3:$A$5001,J$3,BD!$B$3:$B$5001,$A$89,BD!$L$3:$L$5001,"&lt;&gt;")=0,"",SUMIFS(BD!$L$3:$L$5001,BD!$A$3:$A$5001,J$3,BD!$B$3:$B$5001,$A$89)))</f>
        <v/>
      </c>
      <c r="K93" s="155" t="str">
        <f>IF(K$3="","",IF(COUNTIFS(BD!$A$3:$A$5001,K$3,BD!$B$3:$B$5001,$A$89,BD!$L$3:$L$5001,"&lt;&gt;")=0,"",SUMIFS(BD!$L$3:$L$5001,BD!$A$3:$A$5001,K$3,BD!$B$3:$B$5001,$A$89)))</f>
        <v/>
      </c>
      <c r="L93" s="155" t="str">
        <f>IF(L$3="","",IF(COUNTIFS(BD!$A$3:$A$5001,L$3,BD!$B$3:$B$5001,$A$89,BD!$L$3:$L$5001,"&lt;&gt;")=0,"",SUMIFS(BD!$L$3:$L$5001,BD!$A$3:$A$5001,L$3,BD!$B$3:$B$5001,$A$89)))</f>
        <v/>
      </c>
      <c r="M93" s="155" t="str">
        <f>IF(M$3="","",IF(COUNTIFS(BD!$A$3:$A$5001,M$3,BD!$B$3:$B$5001,$A$89,BD!$L$3:$L$5001,"&lt;&gt;")=0,"",SUMIFS(BD!$L$3:$L$5001,BD!$A$3:$A$5001,M$3,BD!$B$3:$B$5001,$A$89)))</f>
        <v/>
      </c>
      <c r="N93" s="155" t="str">
        <f>IF(N$3="","",IF(COUNTIFS(BD!$A$3:$A$5001,N$3,BD!$B$3:$B$5001,$A$89,BD!$L$3:$L$5001,"&lt;&gt;")=0,"",SUMIFS(BD!$L$3:$L$5001,BD!$A$3:$A$5001,N$3,BD!$B$3:$B$5001,$A$89)))</f>
        <v/>
      </c>
      <c r="O93" s="155" t="str">
        <f>IF(O$3="","",IF(COUNTIFS(BD!$A$3:$A$5001,O$3,BD!$B$3:$B$5001,$A$89,BD!$L$3:$L$5001,"&lt;&gt;")=0,"",SUMIFS(BD!$L$3:$L$5001,BD!$A$3:$A$5001,O$3,BD!$B$3:$B$5001,$A$89)))</f>
        <v/>
      </c>
      <c r="P93" s="155" t="str">
        <f>IF(P$3="","",IF(COUNTIFS(BD!$A$3:$A$5001,P$3,BD!$B$3:$B$5001,$A$89,BD!$L$3:$L$5001,"&lt;&gt;")=0,"",SUMIFS(BD!$L$3:$L$5001,BD!$A$3:$A$5001,P$3,BD!$B$3:$B$5001,$A$89)))</f>
        <v/>
      </c>
      <c r="Q93" s="155" t="str">
        <f>IF(Q$3="","",IF(COUNTIFS(BD!$A$3:$A$5001,Q$3,BD!$B$3:$B$5001,$A$89,BD!$L$3:$L$5001,"&lt;&gt;")=0,"",SUMIFS(BD!$L$3:$L$5001,BD!$A$3:$A$5001,Q$3,BD!$B$3:$B$5001,$A$89)))</f>
        <v/>
      </c>
      <c r="R93" s="155" t="str">
        <f>IF(R$3="","",IF(COUNTIFS(BD!$A$3:$A$5001,R$3,BD!$B$3:$B$5001,$A$89,BD!$L$3:$L$5001,"&lt;&gt;")=0,"",SUMIFS(BD!$L$3:$L$5001,BD!$A$3:$A$5001,R$3,BD!$B$3:$B$5001,$A$89)))</f>
        <v/>
      </c>
      <c r="S93" s="155" t="str">
        <f>IF(S$3="","",IF(COUNTIFS(BD!$A$3:$A$5001,S$3,BD!$B$3:$B$5001,$A$89,BD!$L$3:$L$5001,"&lt;&gt;")=0,"",SUMIFS(BD!$L$3:$L$5001,BD!$A$3:$A$5001,S$3,BD!$B$3:$B$5001,$A$89)))</f>
        <v/>
      </c>
      <c r="T93" s="155" t="str">
        <f>IF(T$3="","",IF(COUNTIFS(BD!$A$3:$A$5001,T$3,BD!$B$3:$B$5001,$A$89,BD!$L$3:$L$5001,"&lt;&gt;")=0,"",SUMIFS(BD!$L$3:$L$5001,BD!$A$3:$A$5001,T$3,BD!$B$3:$B$5001,$A$89)))</f>
        <v/>
      </c>
      <c r="U93" s="155" t="str">
        <f>IF(U$3="","",IF(COUNTIFS(BD!$A$3:$A$5001,U$3,BD!$B$3:$B$5001,$A$89,BD!$L$3:$L$5001,"&lt;&gt;")=0,"",SUMIFS(BD!$L$3:$L$5001,BD!$A$3:$A$5001,U$3,BD!$B$3:$B$5001,$A$89)))</f>
        <v/>
      </c>
      <c r="V93" s="155" t="str">
        <f>IF(V$3="","",IF(COUNTIFS(BD!$A$3:$A$5001,V$3,BD!$B$3:$B$5001,$A$89,BD!$L$3:$L$5001,"&lt;&gt;")=0,"",SUMIFS(BD!$L$3:$L$5001,BD!$A$3:$A$5001,V$3,BD!$B$3:$B$5001,$A$89)))</f>
        <v/>
      </c>
      <c r="W93" s="155" t="str">
        <f>IF(W$3="","",IF(COUNTIFS(BD!$A$3:$A$5001,W$3,BD!$B$3:$B$5001,$A$89,BD!$L$3:$L$5001,"&lt;&gt;")=0,"",SUMIFS(BD!$L$3:$L$5001,BD!$A$3:$A$5001,W$3,BD!$B$3:$B$5001,$A$89)))</f>
        <v/>
      </c>
      <c r="X93" s="155" t="str">
        <f>IF(X$3="","",IF(COUNTIFS(BD!$A$3:$A$5001,X$3,BD!$B$3:$B$5001,$A$89,BD!$L$3:$L$5001,"&lt;&gt;")=0,"",SUMIFS(BD!$L$3:$L$5001,BD!$A$3:$A$5001,X$3,BD!$B$3:$B$5001,$A$89)))</f>
        <v/>
      </c>
      <c r="Y93" s="155" t="str">
        <f>IF(Y$3="","",IF(COUNTIFS(BD!$A$3:$A$5001,Y$3,BD!$B$3:$B$5001,$A$89,BD!$L$3:$L$5001,"&lt;&gt;")=0,"",SUMIFS(BD!$L$3:$L$5001,BD!$A$3:$A$5001,Y$3,BD!$B$3:$B$5001,$A$89)))</f>
        <v/>
      </c>
      <c r="Z93" s="155" t="str">
        <f>IF(Z$3="","",IF(COUNTIFS(BD!$A$3:$A$5001,Z$3,BD!$B$3:$B$5001,$A$89,BD!$L$3:$L$5001,"&lt;&gt;")=0,"",SUMIFS(BD!$L$3:$L$5001,BD!$A$3:$A$5001,Z$3,BD!$B$3:$B$5001,$A$89)))</f>
        <v/>
      </c>
      <c r="AA93" s="155" t="str">
        <f>IF(AA$3="","",IF(COUNTIFS(BD!$A$3:$A$5001,AA$3,BD!$B$3:$B$5001,$A$89,BD!$L$3:$L$5001,"&lt;&gt;")=0,"",SUMIFS(BD!$L$3:$L$5001,BD!$A$3:$A$5001,AA$3,BD!$B$3:$B$5001,$A$89)))</f>
        <v/>
      </c>
      <c r="AB93" s="155" t="str">
        <f>IF(AB$3="","",IF(COUNTIFS(BD!$A$3:$A$5001,AB$3,BD!$B$3:$B$5001,$A$89,BD!$L$3:$L$5001,"&lt;&gt;")=0,"",SUMIFS(BD!$L$3:$L$5001,BD!$A$3:$A$5001,AB$3,BD!$B$3:$B$5001,$A$89)))</f>
        <v/>
      </c>
      <c r="AC93" s="155" t="str">
        <f>IF(AC$3="","",IF(COUNTIFS(BD!$A$3:$A$5001,AC$3,BD!$B$3:$B$5001,$A$89,BD!$L$3:$L$5001,"&lt;&gt;")=0,"",SUMIFS(BD!$L$3:$L$5001,BD!$A$3:$A$5001,AC$3,BD!$B$3:$B$5001,$A$89)))</f>
        <v/>
      </c>
      <c r="AD93" s="155" t="str">
        <f>IF(AD$3="","",IF(COUNTIFS(BD!$A$3:$A$5001,AD$3,BD!$B$3:$B$5001,$A$89,BD!$L$3:$L$5001,"&lt;&gt;")=0,"",SUMIFS(BD!$L$3:$L$5001,BD!$A$3:$A$5001,AD$3,BD!$B$3:$B$5001,$A$89)))</f>
        <v/>
      </c>
      <c r="AE93" s="155" t="str">
        <f>IF(AE$3="","",IF(COUNTIFS(BD!$A$3:$A$5001,AE$3,BD!$B$3:$B$5001,$A$89,BD!$L$3:$L$5001,"&lt;&gt;")=0,"",SUMIFS(BD!$L$3:$L$5001,BD!$A$3:$A$5001,AE$3,BD!$B$3:$B$5001,$A$89)))</f>
        <v/>
      </c>
      <c r="AF93" s="155" t="str">
        <f>IF(AF$3="","",IF(COUNTIFS(BD!$A$3:$A$5001,AF$3,BD!$B$3:$B$5001,$A$89,BD!$L$3:$L$5001,"&lt;&gt;")=0,"",SUMIFS(BD!$L$3:$L$5001,BD!$A$3:$A$5001,AF$3,BD!$B$3:$B$5001,$A$89)))</f>
        <v/>
      </c>
      <c r="AG93" s="155" t="str">
        <f>IF(AG$3="","",IF(COUNTIFS(BD!$A$3:$A$5001,AG$3,BD!$B$3:$B$5001,$A$89,BD!$L$3:$L$5001,"&lt;&gt;")=0,"",SUMIFS(BD!$L$3:$L$5001,BD!$A$3:$A$5001,AG$3,BD!$B$3:$B$5001,$A$89)))</f>
        <v/>
      </c>
      <c r="AH93" s="155" t="str">
        <f>IF(AH$3="","",IF(COUNTIFS(BD!$A$3:$A$5001,AH$3,BD!$B$3:$B$5001,$A$89,BD!$L$3:$L$5001,"&lt;&gt;")=0,"",SUMIFS(BD!$L$3:$L$5001,BD!$A$3:$A$5001,AH$3,BD!$B$3:$B$5001,$A$89)))</f>
        <v/>
      </c>
      <c r="AI93" s="155" t="str">
        <f>IF(AI$3="","",IF(COUNTIFS(BD!$A$3:$A$5001,AI$3,BD!$B$3:$B$5001,$A$89,BD!$L$3:$L$5001,"&lt;&gt;")=0,"",SUMIFS(BD!$L$3:$L$5001,BD!$A$3:$A$5001,AI$3,BD!$B$3:$B$5001,$A$89)))</f>
        <v/>
      </c>
      <c r="AJ93" s="156" t="str">
        <f>IF(AJ$3="","",IF(COUNTIFS(BD!$A$3:$A$5001,AJ$3,BD!$B$3:$B$5001,$A$89,BD!$L$3:$L$5001,"&lt;&gt;")=0,"",SUMIFS(BD!$L$3:$L$5001,BD!$A$3:$A$5001,AJ$3,BD!$B$3:$B$5001,$A$89)))</f>
        <v/>
      </c>
      <c r="AK93" s="157" t="str">
        <f>IF(COUNT(F93:AJ93)=0,"",SUM(F93:AJ93))</f>
        <v/>
      </c>
    </row>
    <row r="94" ht="15.75" customHeight="1">
      <c r="A94" s="227"/>
      <c r="B94" s="244"/>
      <c r="C94" s="233" t="inlineStr">
        <is>
          <t xml:space="preserve">Pallets Movimentados</t>
        </is>
      </c>
      <c r="D94" s="234" t="str">
        <f>IFERROR(1/(1/INDEX(BD!$AK$39:$AT$39,MATCH($A$89,BD!$AK$22:$AT$22,0))),"")</f>
        <v/>
      </c>
      <c r="E94" s="235"/>
      <c r="F94" s="236" t="str">
        <f>IF(F$3="","",IF(COUNTIFS(BD!$A$3:$A$5001,F$3,BD!$B$3:$B$5001,$A$89,BD!$S$3:$S$5001,"&lt;&gt;")=0,"",SUMIFS(BD!$S$3:$S$5001,BD!$A$3:$A$5001,F$3,BD!$B$3:$B$5001,$A$89)))</f>
        <v/>
      </c>
      <c r="G94" s="237" t="str">
        <f>IF(G$3="","",IF(COUNTIFS(BD!$A$3:$A$5001,G$3,BD!$B$3:$B$5001,$A$89,BD!$S$3:$S$5001,"&lt;&gt;")=0,"",SUMIFS(BD!$S$3:$S$5001,BD!$A$3:$A$5001,G$3,BD!$B$3:$B$5001,$A$89)))</f>
        <v/>
      </c>
      <c r="H94" s="237" t="str">
        <f>IF(H$3="","",IF(COUNTIFS(BD!$A$3:$A$5001,H$3,BD!$B$3:$B$5001,$A$89,BD!$S$3:$S$5001,"&lt;&gt;")=0,"",SUMIFS(BD!$S$3:$S$5001,BD!$A$3:$A$5001,H$3,BD!$B$3:$B$5001,$A$89)))</f>
        <v/>
      </c>
      <c r="I94" s="237" t="str">
        <f>IF(I$3="","",IF(COUNTIFS(BD!$A$3:$A$5001,I$3,BD!$B$3:$B$5001,$A$89,BD!$S$3:$S$5001,"&lt;&gt;")=0,"",SUMIFS(BD!$S$3:$S$5001,BD!$A$3:$A$5001,I$3,BD!$B$3:$B$5001,$A$89)))</f>
        <v/>
      </c>
      <c r="J94" s="237" t="str">
        <f>IF(J$3="","",IF(COUNTIFS(BD!$A$3:$A$5001,J$3,BD!$B$3:$B$5001,$A$89,BD!$S$3:$S$5001,"&lt;&gt;")=0,"",SUMIFS(BD!$S$3:$S$5001,BD!$A$3:$A$5001,J$3,BD!$B$3:$B$5001,$A$89)))</f>
        <v/>
      </c>
      <c r="K94" s="237" t="str">
        <f>IF(K$3="","",IF(COUNTIFS(BD!$A$3:$A$5001,K$3,BD!$B$3:$B$5001,$A$89,BD!$S$3:$S$5001,"&lt;&gt;")=0,"",SUMIFS(BD!$S$3:$S$5001,BD!$A$3:$A$5001,K$3,BD!$B$3:$B$5001,$A$89)))</f>
        <v/>
      </c>
      <c r="L94" s="237" t="str">
        <f>IF(L$3="","",IF(COUNTIFS(BD!$A$3:$A$5001,L$3,BD!$B$3:$B$5001,$A$89,BD!$S$3:$S$5001,"&lt;&gt;")=0,"",SUMIFS(BD!$S$3:$S$5001,BD!$A$3:$A$5001,L$3,BD!$B$3:$B$5001,$A$89)))</f>
        <v/>
      </c>
      <c r="M94" s="237" t="str">
        <f>IF(M$3="","",IF(COUNTIFS(BD!$A$3:$A$5001,M$3,BD!$B$3:$B$5001,$A$89,BD!$S$3:$S$5001,"&lt;&gt;")=0,"",SUMIFS(BD!$S$3:$S$5001,BD!$A$3:$A$5001,M$3,BD!$B$3:$B$5001,$A$89)))</f>
        <v/>
      </c>
      <c r="N94" s="237" t="str">
        <f>IF(N$3="","",IF(COUNTIFS(BD!$A$3:$A$5001,N$3,BD!$B$3:$B$5001,$A$89,BD!$S$3:$S$5001,"&lt;&gt;")=0,"",SUMIFS(BD!$S$3:$S$5001,BD!$A$3:$A$5001,N$3,BD!$B$3:$B$5001,$A$89)))</f>
        <v/>
      </c>
      <c r="O94" s="237" t="str">
        <f>IF(O$3="","",IF(COUNTIFS(BD!$A$3:$A$5001,O$3,BD!$B$3:$B$5001,$A$89,BD!$S$3:$S$5001,"&lt;&gt;")=0,"",SUMIFS(BD!$S$3:$S$5001,BD!$A$3:$A$5001,O$3,BD!$B$3:$B$5001,$A$89)))</f>
        <v/>
      </c>
      <c r="P94" s="237" t="str">
        <f>IF(P$3="","",IF(COUNTIFS(BD!$A$3:$A$5001,P$3,BD!$B$3:$B$5001,$A$89,BD!$S$3:$S$5001,"&lt;&gt;")=0,"",SUMIFS(BD!$S$3:$S$5001,BD!$A$3:$A$5001,P$3,BD!$B$3:$B$5001,$A$89)))</f>
        <v/>
      </c>
      <c r="Q94" s="237" t="str">
        <f>IF(Q$3="","",IF(COUNTIFS(BD!$A$3:$A$5001,Q$3,BD!$B$3:$B$5001,$A$89,BD!$S$3:$S$5001,"&lt;&gt;")=0,"",SUMIFS(BD!$S$3:$S$5001,BD!$A$3:$A$5001,Q$3,BD!$B$3:$B$5001,$A$89)))</f>
        <v/>
      </c>
      <c r="R94" s="237" t="str">
        <f>IF(R$3="","",IF(COUNTIFS(BD!$A$3:$A$5001,R$3,BD!$B$3:$B$5001,$A$89,BD!$S$3:$S$5001,"&lt;&gt;")=0,"",SUMIFS(BD!$S$3:$S$5001,BD!$A$3:$A$5001,R$3,BD!$B$3:$B$5001,$A$89)))</f>
        <v/>
      </c>
      <c r="S94" s="237" t="str">
        <f>IF(S$3="","",IF(COUNTIFS(BD!$A$3:$A$5001,S$3,BD!$B$3:$B$5001,$A$89,BD!$S$3:$S$5001,"&lt;&gt;")=0,"",SUMIFS(BD!$S$3:$S$5001,BD!$A$3:$A$5001,S$3,BD!$B$3:$B$5001,$A$89)))</f>
        <v/>
      </c>
      <c r="T94" s="237" t="str">
        <f>IF(T$3="","",IF(COUNTIFS(BD!$A$3:$A$5001,T$3,BD!$B$3:$B$5001,$A$89,BD!$S$3:$S$5001,"&lt;&gt;")=0,"",SUMIFS(BD!$S$3:$S$5001,BD!$A$3:$A$5001,T$3,BD!$B$3:$B$5001,$A$89)))</f>
        <v/>
      </c>
      <c r="U94" s="237" t="str">
        <f>IF(U$3="","",IF(COUNTIFS(BD!$A$3:$A$5001,U$3,BD!$B$3:$B$5001,$A$89,BD!$S$3:$S$5001,"&lt;&gt;")=0,"",SUMIFS(BD!$S$3:$S$5001,BD!$A$3:$A$5001,U$3,BD!$B$3:$B$5001,$A$89)))</f>
        <v/>
      </c>
      <c r="V94" s="237" t="str">
        <f>IF(V$3="","",IF(COUNTIFS(BD!$A$3:$A$5001,V$3,BD!$B$3:$B$5001,$A$89,BD!$S$3:$S$5001,"&lt;&gt;")=0,"",SUMIFS(BD!$S$3:$S$5001,BD!$A$3:$A$5001,V$3,BD!$B$3:$B$5001,$A$89)))</f>
        <v/>
      </c>
      <c r="W94" s="237" t="str">
        <f>IF(W$3="","",IF(COUNTIFS(BD!$A$3:$A$5001,W$3,BD!$B$3:$B$5001,$A$89,BD!$S$3:$S$5001,"&lt;&gt;")=0,"",SUMIFS(BD!$S$3:$S$5001,BD!$A$3:$A$5001,W$3,BD!$B$3:$B$5001,$A$89)))</f>
        <v/>
      </c>
      <c r="X94" s="237" t="str">
        <f>IF(X$3="","",IF(COUNTIFS(BD!$A$3:$A$5001,X$3,BD!$B$3:$B$5001,$A$89,BD!$S$3:$S$5001,"&lt;&gt;")=0,"",SUMIFS(BD!$S$3:$S$5001,BD!$A$3:$A$5001,X$3,BD!$B$3:$B$5001,$A$89)))</f>
        <v/>
      </c>
      <c r="Y94" s="237" t="str">
        <f>IF(Y$3="","",IF(COUNTIFS(BD!$A$3:$A$5001,Y$3,BD!$B$3:$B$5001,$A$89,BD!$S$3:$S$5001,"&lt;&gt;")=0,"",SUMIFS(BD!$S$3:$S$5001,BD!$A$3:$A$5001,Y$3,BD!$B$3:$B$5001,$A$89)))</f>
        <v/>
      </c>
      <c r="Z94" s="237" t="str">
        <f>IF(Z$3="","",IF(COUNTIFS(BD!$A$3:$A$5001,Z$3,BD!$B$3:$B$5001,$A$89,BD!$S$3:$S$5001,"&lt;&gt;")=0,"",SUMIFS(BD!$S$3:$S$5001,BD!$A$3:$A$5001,Z$3,BD!$B$3:$B$5001,$A$89)))</f>
        <v/>
      </c>
      <c r="AA94" s="237" t="str">
        <f>IF(AA$3="","",IF(COUNTIFS(BD!$A$3:$A$5001,AA$3,BD!$B$3:$B$5001,$A$89,BD!$S$3:$S$5001,"&lt;&gt;")=0,"",SUMIFS(BD!$S$3:$S$5001,BD!$A$3:$A$5001,AA$3,BD!$B$3:$B$5001,$A$89)))</f>
        <v/>
      </c>
      <c r="AB94" s="237" t="str">
        <f>IF(AB$3="","",IF(COUNTIFS(BD!$A$3:$A$5001,AB$3,BD!$B$3:$B$5001,$A$89,BD!$S$3:$S$5001,"&lt;&gt;")=0,"",SUMIFS(BD!$S$3:$S$5001,BD!$A$3:$A$5001,AB$3,BD!$B$3:$B$5001,$A$89)))</f>
        <v/>
      </c>
      <c r="AC94" s="237" t="str">
        <f>IF(AC$3="","",IF(COUNTIFS(BD!$A$3:$A$5001,AC$3,BD!$B$3:$B$5001,$A$89,BD!$S$3:$S$5001,"&lt;&gt;")=0,"",SUMIFS(BD!$S$3:$S$5001,BD!$A$3:$A$5001,AC$3,BD!$B$3:$B$5001,$A$89)))</f>
        <v/>
      </c>
      <c r="AD94" s="237" t="str">
        <f>IF(AD$3="","",IF(COUNTIFS(BD!$A$3:$A$5001,AD$3,BD!$B$3:$B$5001,$A$89,BD!$S$3:$S$5001,"&lt;&gt;")=0,"",SUMIFS(BD!$S$3:$S$5001,BD!$A$3:$A$5001,AD$3,BD!$B$3:$B$5001,$A$89)))</f>
        <v/>
      </c>
      <c r="AE94" s="237" t="str">
        <f>IF(AE$3="","",IF(COUNTIFS(BD!$A$3:$A$5001,AE$3,BD!$B$3:$B$5001,$A$89,BD!$S$3:$S$5001,"&lt;&gt;")=0,"",SUMIFS(BD!$S$3:$S$5001,BD!$A$3:$A$5001,AE$3,BD!$B$3:$B$5001,$A$89)))</f>
        <v/>
      </c>
      <c r="AF94" s="237" t="str">
        <f>IF(AF$3="","",IF(COUNTIFS(BD!$A$3:$A$5001,AF$3,BD!$B$3:$B$5001,$A$89,BD!$S$3:$S$5001,"&lt;&gt;")=0,"",SUMIFS(BD!$S$3:$S$5001,BD!$A$3:$A$5001,AF$3,BD!$B$3:$B$5001,$A$89)))</f>
        <v/>
      </c>
      <c r="AG94" s="237" t="str">
        <f>IF(AG$3="","",IF(COUNTIFS(BD!$A$3:$A$5001,AG$3,BD!$B$3:$B$5001,$A$89,BD!$S$3:$S$5001,"&lt;&gt;")=0,"",SUMIFS(BD!$S$3:$S$5001,BD!$A$3:$A$5001,AG$3,BD!$B$3:$B$5001,$A$89)))</f>
        <v/>
      </c>
      <c r="AH94" s="237" t="str">
        <f>IF(AH$3="","",IF(COUNTIFS(BD!$A$3:$A$5001,AH$3,BD!$B$3:$B$5001,$A$89,BD!$S$3:$S$5001,"&lt;&gt;")=0,"",SUMIFS(BD!$S$3:$S$5001,BD!$A$3:$A$5001,AH$3,BD!$B$3:$B$5001,$A$89)))</f>
        <v/>
      </c>
      <c r="AI94" s="237" t="str">
        <f>IF(AI$3="","",IF(COUNTIFS(BD!$A$3:$A$5001,AI$3,BD!$B$3:$B$5001,$A$89,BD!$S$3:$S$5001,"&lt;&gt;")=0,"",SUMIFS(BD!$S$3:$S$5001,BD!$A$3:$A$5001,AI$3,BD!$B$3:$B$5001,$A$89)))</f>
        <v/>
      </c>
      <c r="AJ94" s="238" t="str">
        <f>IF(AJ$3="","",IF(COUNTIFS(BD!$A$3:$A$5001,AJ$3,BD!$B$3:$B$5001,$A$89,BD!$S$3:$S$5001,"&lt;&gt;")=0,"",SUMIFS(BD!$S$3:$S$5001,BD!$A$3:$A$5001,AJ$3,BD!$B$3:$B$5001,$A$89)))</f>
        <v/>
      </c>
      <c r="AK94" s="239" t="str">
        <f>IF(COUNT(F94:AJ94)=0,"",SUM(F94:AJ94))</f>
        <v/>
      </c>
    </row>
    <row r="95" ht="15.75" customHeight="1">
      <c r="A95" s="227"/>
      <c r="B95" s="244"/>
      <c r="C95" s="233" t="inlineStr">
        <is>
          <t xml:space="preserve">Peças Movimentadas</t>
        </is>
      </c>
      <c r="D95" s="234" t="str">
        <f>IFERROR(1/(1/INDEX(BD!$AK$36:$AT$36,MATCH($A$89,BD!$AK$22:$AT$22,0))),"")</f>
        <v/>
      </c>
      <c r="E95" s="235"/>
      <c r="F95" s="236" t="str">
        <f>IF(F$3="","",IF(COUNTIFS(BD!$A$3:$A$5001,F$3,BD!$B$3:$B$5001,$A$89,BD!$P$3:$P$5001,"&lt;&gt;")=0,"",SUMIFS(BD!$P$3:$P$5001,BD!$A$3:$A$5001,F$3,BD!$B$3:$B$5001,$A$89)))</f>
        <v/>
      </c>
      <c r="G95" s="237" t="str">
        <f>IF(G$3="","",IF(COUNTIFS(BD!$A$3:$A$5001,G$3,BD!$B$3:$B$5001,$A$89,BD!$P$3:$P$5001,"&lt;&gt;")=0,"",SUMIFS(BD!$P$3:$P$5001,BD!$A$3:$A$5001,G$3,BD!$B$3:$B$5001,$A$89)))</f>
        <v/>
      </c>
      <c r="H95" s="237" t="str">
        <f>IF(H$3="","",IF(COUNTIFS(BD!$A$3:$A$5001,H$3,BD!$B$3:$B$5001,$A$89,BD!$P$3:$P$5001,"&lt;&gt;")=0,"",SUMIFS(BD!$P$3:$P$5001,BD!$A$3:$A$5001,H$3,BD!$B$3:$B$5001,$A$89)))</f>
        <v/>
      </c>
      <c r="I95" s="237" t="str">
        <f>IF(I$3="","",IF(COUNTIFS(BD!$A$3:$A$5001,I$3,BD!$B$3:$B$5001,$A$89,BD!$P$3:$P$5001,"&lt;&gt;")=0,"",SUMIFS(BD!$P$3:$P$5001,BD!$A$3:$A$5001,I$3,BD!$B$3:$B$5001,$A$89)))</f>
        <v/>
      </c>
      <c r="J95" s="237" t="str">
        <f>IF(J$3="","",IF(COUNTIFS(BD!$A$3:$A$5001,J$3,BD!$B$3:$B$5001,$A$89,BD!$P$3:$P$5001,"&lt;&gt;")=0,"",SUMIFS(BD!$P$3:$P$5001,BD!$A$3:$A$5001,J$3,BD!$B$3:$B$5001,$A$89)))</f>
        <v/>
      </c>
      <c r="K95" s="237" t="str">
        <f>IF(K$3="","",IF(COUNTIFS(BD!$A$3:$A$5001,K$3,BD!$B$3:$B$5001,$A$89,BD!$P$3:$P$5001,"&lt;&gt;")=0,"",SUMIFS(BD!$P$3:$P$5001,BD!$A$3:$A$5001,K$3,BD!$B$3:$B$5001,$A$89)))</f>
        <v/>
      </c>
      <c r="L95" s="237" t="str">
        <f>IF(L$3="","",IF(COUNTIFS(BD!$A$3:$A$5001,L$3,BD!$B$3:$B$5001,$A$89,BD!$P$3:$P$5001,"&lt;&gt;")=0,"",SUMIFS(BD!$P$3:$P$5001,BD!$A$3:$A$5001,L$3,BD!$B$3:$B$5001,$A$89)))</f>
        <v/>
      </c>
      <c r="M95" s="237" t="str">
        <f>IF(M$3="","",IF(COUNTIFS(BD!$A$3:$A$5001,M$3,BD!$B$3:$B$5001,$A$89,BD!$P$3:$P$5001,"&lt;&gt;")=0,"",SUMIFS(BD!$P$3:$P$5001,BD!$A$3:$A$5001,M$3,BD!$B$3:$B$5001,$A$89)))</f>
        <v/>
      </c>
      <c r="N95" s="237" t="str">
        <f>IF(N$3="","",IF(COUNTIFS(BD!$A$3:$A$5001,N$3,BD!$B$3:$B$5001,$A$89,BD!$P$3:$P$5001,"&lt;&gt;")=0,"",SUMIFS(BD!$P$3:$P$5001,BD!$A$3:$A$5001,N$3,BD!$B$3:$B$5001,$A$89)))</f>
        <v/>
      </c>
      <c r="O95" s="237" t="str">
        <f>IF(O$3="","",IF(COUNTIFS(BD!$A$3:$A$5001,O$3,BD!$B$3:$B$5001,$A$89,BD!$P$3:$P$5001,"&lt;&gt;")=0,"",SUMIFS(BD!$P$3:$P$5001,BD!$A$3:$A$5001,O$3,BD!$B$3:$B$5001,$A$89)))</f>
        <v/>
      </c>
      <c r="P95" s="237" t="str">
        <f>IF(P$3="","",IF(COUNTIFS(BD!$A$3:$A$5001,P$3,BD!$B$3:$B$5001,$A$89,BD!$P$3:$P$5001,"&lt;&gt;")=0,"",SUMIFS(BD!$P$3:$P$5001,BD!$A$3:$A$5001,P$3,BD!$B$3:$B$5001,$A$89)))</f>
        <v/>
      </c>
      <c r="Q95" s="237" t="str">
        <f>IF(Q$3="","",IF(COUNTIFS(BD!$A$3:$A$5001,Q$3,BD!$B$3:$B$5001,$A$89,BD!$P$3:$P$5001,"&lt;&gt;")=0,"",SUMIFS(BD!$P$3:$P$5001,BD!$A$3:$A$5001,Q$3,BD!$B$3:$B$5001,$A$89)))</f>
        <v/>
      </c>
      <c r="R95" s="237" t="str">
        <f>IF(R$3="","",IF(COUNTIFS(BD!$A$3:$A$5001,R$3,BD!$B$3:$B$5001,$A$89,BD!$P$3:$P$5001,"&lt;&gt;")=0,"",SUMIFS(BD!$P$3:$P$5001,BD!$A$3:$A$5001,R$3,BD!$B$3:$B$5001,$A$89)))</f>
        <v/>
      </c>
      <c r="S95" s="237" t="str">
        <f>IF(S$3="","",IF(COUNTIFS(BD!$A$3:$A$5001,S$3,BD!$B$3:$B$5001,$A$89,BD!$P$3:$P$5001,"&lt;&gt;")=0,"",SUMIFS(BD!$P$3:$P$5001,BD!$A$3:$A$5001,S$3,BD!$B$3:$B$5001,$A$89)))</f>
        <v/>
      </c>
      <c r="T95" s="237" t="str">
        <f>IF(T$3="","",IF(COUNTIFS(BD!$A$3:$A$5001,T$3,BD!$B$3:$B$5001,$A$89,BD!$P$3:$P$5001,"&lt;&gt;")=0,"",SUMIFS(BD!$P$3:$P$5001,BD!$A$3:$A$5001,T$3,BD!$B$3:$B$5001,$A$89)))</f>
        <v/>
      </c>
      <c r="U95" s="237" t="str">
        <f>IF(U$3="","",IF(COUNTIFS(BD!$A$3:$A$5001,U$3,BD!$B$3:$B$5001,$A$89,BD!$P$3:$P$5001,"&lt;&gt;")=0,"",SUMIFS(BD!$P$3:$P$5001,BD!$A$3:$A$5001,U$3,BD!$B$3:$B$5001,$A$89)))</f>
        <v/>
      </c>
      <c r="V95" s="237" t="str">
        <f>IF(V$3="","",IF(COUNTIFS(BD!$A$3:$A$5001,V$3,BD!$B$3:$B$5001,$A$89,BD!$P$3:$P$5001,"&lt;&gt;")=0,"",SUMIFS(BD!$P$3:$P$5001,BD!$A$3:$A$5001,V$3,BD!$B$3:$B$5001,$A$89)))</f>
        <v/>
      </c>
      <c r="W95" s="237" t="str">
        <f>IF(W$3="","",IF(COUNTIFS(BD!$A$3:$A$5001,W$3,BD!$B$3:$B$5001,$A$89,BD!$P$3:$P$5001,"&lt;&gt;")=0,"",SUMIFS(BD!$P$3:$P$5001,BD!$A$3:$A$5001,W$3,BD!$B$3:$B$5001,$A$89)))</f>
        <v/>
      </c>
      <c r="X95" s="237" t="str">
        <f>IF(X$3="","",IF(COUNTIFS(BD!$A$3:$A$5001,X$3,BD!$B$3:$B$5001,$A$89,BD!$P$3:$P$5001,"&lt;&gt;")=0,"",SUMIFS(BD!$P$3:$P$5001,BD!$A$3:$A$5001,X$3,BD!$B$3:$B$5001,$A$89)))</f>
        <v/>
      </c>
      <c r="Y95" s="237" t="str">
        <f>IF(Y$3="","",IF(COUNTIFS(BD!$A$3:$A$5001,Y$3,BD!$B$3:$B$5001,$A$89,BD!$P$3:$P$5001,"&lt;&gt;")=0,"",SUMIFS(BD!$P$3:$P$5001,BD!$A$3:$A$5001,Y$3,BD!$B$3:$B$5001,$A$89)))</f>
        <v/>
      </c>
      <c r="Z95" s="237" t="str">
        <f>IF(Z$3="","",IF(COUNTIFS(BD!$A$3:$A$5001,Z$3,BD!$B$3:$B$5001,$A$89,BD!$P$3:$P$5001,"&lt;&gt;")=0,"",SUMIFS(BD!$P$3:$P$5001,BD!$A$3:$A$5001,Z$3,BD!$B$3:$B$5001,$A$89)))</f>
        <v/>
      </c>
      <c r="AA95" s="237" t="str">
        <f>IF(AA$3="","",IF(COUNTIFS(BD!$A$3:$A$5001,AA$3,BD!$B$3:$B$5001,$A$89,BD!$P$3:$P$5001,"&lt;&gt;")=0,"",SUMIFS(BD!$P$3:$P$5001,BD!$A$3:$A$5001,AA$3,BD!$B$3:$B$5001,$A$89)))</f>
        <v/>
      </c>
      <c r="AB95" s="237" t="str">
        <f>IF(AB$3="","",IF(COUNTIFS(BD!$A$3:$A$5001,AB$3,BD!$B$3:$B$5001,$A$89,BD!$P$3:$P$5001,"&lt;&gt;")=0,"",SUMIFS(BD!$P$3:$P$5001,BD!$A$3:$A$5001,AB$3,BD!$B$3:$B$5001,$A$89)))</f>
        <v/>
      </c>
      <c r="AC95" s="237" t="str">
        <f>IF(AC$3="","",IF(COUNTIFS(BD!$A$3:$A$5001,AC$3,BD!$B$3:$B$5001,$A$89,BD!$P$3:$P$5001,"&lt;&gt;")=0,"",SUMIFS(BD!$P$3:$P$5001,BD!$A$3:$A$5001,AC$3,BD!$B$3:$B$5001,$A$89)))</f>
        <v/>
      </c>
      <c r="AD95" s="237" t="str">
        <f>IF(AD$3="","",IF(COUNTIFS(BD!$A$3:$A$5001,AD$3,BD!$B$3:$B$5001,$A$89,BD!$P$3:$P$5001,"&lt;&gt;")=0,"",SUMIFS(BD!$P$3:$P$5001,BD!$A$3:$A$5001,AD$3,BD!$B$3:$B$5001,$A$89)))</f>
        <v/>
      </c>
      <c r="AE95" s="237" t="str">
        <f>IF(AE$3="","",IF(COUNTIFS(BD!$A$3:$A$5001,AE$3,BD!$B$3:$B$5001,$A$89,BD!$P$3:$P$5001,"&lt;&gt;")=0,"",SUMIFS(BD!$P$3:$P$5001,BD!$A$3:$A$5001,AE$3,BD!$B$3:$B$5001,$A$89)))</f>
        <v/>
      </c>
      <c r="AF95" s="237" t="str">
        <f>IF(AF$3="","",IF(COUNTIFS(BD!$A$3:$A$5001,AF$3,BD!$B$3:$B$5001,$A$89,BD!$P$3:$P$5001,"&lt;&gt;")=0,"",SUMIFS(BD!$P$3:$P$5001,BD!$A$3:$A$5001,AF$3,BD!$B$3:$B$5001,$A$89)))</f>
        <v/>
      </c>
      <c r="AG95" s="237" t="str">
        <f>IF(AG$3="","",IF(COUNTIFS(BD!$A$3:$A$5001,AG$3,BD!$B$3:$B$5001,$A$89,BD!$P$3:$P$5001,"&lt;&gt;")=0,"",SUMIFS(BD!$P$3:$P$5001,BD!$A$3:$A$5001,AG$3,BD!$B$3:$B$5001,$A$89)))</f>
        <v/>
      </c>
      <c r="AH95" s="237" t="str">
        <f>IF(AH$3="","",IF(COUNTIFS(BD!$A$3:$A$5001,AH$3,BD!$B$3:$B$5001,$A$89,BD!$P$3:$P$5001,"&lt;&gt;")=0,"",SUMIFS(BD!$P$3:$P$5001,BD!$A$3:$A$5001,AH$3,BD!$B$3:$B$5001,$A$89)))</f>
        <v/>
      </c>
      <c r="AI95" s="237" t="str">
        <f>IF(AI$3="","",IF(COUNTIFS(BD!$A$3:$A$5001,AI$3,BD!$B$3:$B$5001,$A$89,BD!$P$3:$P$5001,"&lt;&gt;")=0,"",SUMIFS(BD!$P$3:$P$5001,BD!$A$3:$A$5001,AI$3,BD!$B$3:$B$5001,$A$89)))</f>
        <v/>
      </c>
      <c r="AJ95" s="238" t="str">
        <f>IF(AJ$3="","",IF(COUNTIFS(BD!$A$3:$A$5001,AJ$3,BD!$B$3:$B$5001,$A$89,BD!$P$3:$P$5001,"&lt;&gt;")=0,"",SUMIFS(BD!$P$3:$P$5001,BD!$A$3:$A$5001,AJ$3,BD!$B$3:$B$5001,$A$89)))</f>
        <v/>
      </c>
      <c r="AK95" s="239" t="str">
        <f>IF(COUNT(F95:AJ95)=0,"",SUM(F95:AJ95))</f>
        <v/>
      </c>
    </row>
    <row r="96" ht="15.75" customHeight="1">
      <c r="A96" s="227"/>
      <c r="B96" s="218"/>
      <c r="C96" s="158" t="inlineStr">
        <is>
          <t xml:space="preserve">Linhas NF</t>
        </is>
      </c>
      <c r="D96" s="159" t="str">
        <f>IFERROR(1/(1/INDEX(BD!$AK$37:$AT$37,MATCH($A$89,BD!$AK$22:$AT$22,0))),"")</f>
        <v/>
      </c>
      <c r="E96" s="160"/>
      <c r="F96" s="161" t="str">
        <f>IF(F$3="","",IF(COUNTIFS(BD!$A$3:$A$5001,F$3,BD!$B$3:$B$5001,$A$89,BD!$Q$3:$Q$5001,"&lt;&gt;")=0,"",SUMIFS(BD!$Q$3:$Q$5001,BD!$A$3:$A$5001,F$3,BD!$B$3:$B$5001,$A$89)))</f>
        <v/>
      </c>
      <c r="G96" s="162" t="str">
        <f>IF(G$3="","",IF(COUNTIFS(BD!$A$3:$A$5001,G$3,BD!$B$3:$B$5001,$A$89,BD!$Q$3:$Q$5001,"&lt;&gt;")=0,"",SUMIFS(BD!$Q$3:$Q$5001,BD!$A$3:$A$5001,G$3,BD!$B$3:$B$5001,$A$89)))</f>
        <v/>
      </c>
      <c r="H96" s="162" t="str">
        <f>IF(H$3="","",IF(COUNTIFS(BD!$A$3:$A$5001,H$3,BD!$B$3:$B$5001,$A$89,BD!$Q$3:$Q$5001,"&lt;&gt;")=0,"",SUMIFS(BD!$Q$3:$Q$5001,BD!$A$3:$A$5001,H$3,BD!$B$3:$B$5001,$A$89)))</f>
        <v/>
      </c>
      <c r="I96" s="162" t="str">
        <f>IF(I$3="","",IF(COUNTIFS(BD!$A$3:$A$5001,I$3,BD!$B$3:$B$5001,$A$89,BD!$Q$3:$Q$5001,"&lt;&gt;")=0,"",SUMIFS(BD!$Q$3:$Q$5001,BD!$A$3:$A$5001,I$3,BD!$B$3:$B$5001,$A$89)))</f>
        <v/>
      </c>
      <c r="J96" s="162" t="str">
        <f>IF(J$3="","",IF(COUNTIFS(BD!$A$3:$A$5001,J$3,BD!$B$3:$B$5001,$A$89,BD!$Q$3:$Q$5001,"&lt;&gt;")=0,"",SUMIFS(BD!$Q$3:$Q$5001,BD!$A$3:$A$5001,J$3,BD!$B$3:$B$5001,$A$89)))</f>
        <v/>
      </c>
      <c r="K96" s="162" t="str">
        <f>IF(K$3="","",IF(COUNTIFS(BD!$A$3:$A$5001,K$3,BD!$B$3:$B$5001,$A$89,BD!$Q$3:$Q$5001,"&lt;&gt;")=0,"",SUMIFS(BD!$Q$3:$Q$5001,BD!$A$3:$A$5001,K$3,BD!$B$3:$B$5001,$A$89)))</f>
        <v/>
      </c>
      <c r="L96" s="162" t="str">
        <f>IF(L$3="","",IF(COUNTIFS(BD!$A$3:$A$5001,L$3,BD!$B$3:$B$5001,$A$89,BD!$Q$3:$Q$5001,"&lt;&gt;")=0,"",SUMIFS(BD!$Q$3:$Q$5001,BD!$A$3:$A$5001,L$3,BD!$B$3:$B$5001,$A$89)))</f>
        <v/>
      </c>
      <c r="M96" s="162" t="str">
        <f>IF(M$3="","",IF(COUNTIFS(BD!$A$3:$A$5001,M$3,BD!$B$3:$B$5001,$A$89,BD!$Q$3:$Q$5001,"&lt;&gt;")=0,"",SUMIFS(BD!$Q$3:$Q$5001,BD!$A$3:$A$5001,M$3,BD!$B$3:$B$5001,$A$89)))</f>
        <v/>
      </c>
      <c r="N96" s="162" t="str">
        <f>IF(N$3="","",IF(COUNTIFS(BD!$A$3:$A$5001,N$3,BD!$B$3:$B$5001,$A$89,BD!$Q$3:$Q$5001,"&lt;&gt;")=0,"",SUMIFS(BD!$Q$3:$Q$5001,BD!$A$3:$A$5001,N$3,BD!$B$3:$B$5001,$A$89)))</f>
        <v/>
      </c>
      <c r="O96" s="162" t="str">
        <f>IF(O$3="","",IF(COUNTIFS(BD!$A$3:$A$5001,O$3,BD!$B$3:$B$5001,$A$89,BD!$Q$3:$Q$5001,"&lt;&gt;")=0,"",SUMIFS(BD!$Q$3:$Q$5001,BD!$A$3:$A$5001,O$3,BD!$B$3:$B$5001,$A$89)))</f>
        <v/>
      </c>
      <c r="P96" s="162" t="str">
        <f>IF(P$3="","",IF(COUNTIFS(BD!$A$3:$A$5001,P$3,BD!$B$3:$B$5001,$A$89,BD!$Q$3:$Q$5001,"&lt;&gt;")=0,"",SUMIFS(BD!$Q$3:$Q$5001,BD!$A$3:$A$5001,P$3,BD!$B$3:$B$5001,$A$89)))</f>
        <v/>
      </c>
      <c r="Q96" s="162" t="str">
        <f>IF(Q$3="","",IF(COUNTIFS(BD!$A$3:$A$5001,Q$3,BD!$B$3:$B$5001,$A$89,BD!$Q$3:$Q$5001,"&lt;&gt;")=0,"",SUMIFS(BD!$Q$3:$Q$5001,BD!$A$3:$A$5001,Q$3,BD!$B$3:$B$5001,$A$89)))</f>
        <v/>
      </c>
      <c r="R96" s="162" t="str">
        <f>IF(R$3="","",IF(COUNTIFS(BD!$A$3:$A$5001,R$3,BD!$B$3:$B$5001,$A$89,BD!$Q$3:$Q$5001,"&lt;&gt;")=0,"",SUMIFS(BD!$Q$3:$Q$5001,BD!$A$3:$A$5001,R$3,BD!$B$3:$B$5001,$A$89)))</f>
        <v/>
      </c>
      <c r="S96" s="162" t="str">
        <f>IF(S$3="","",IF(COUNTIFS(BD!$A$3:$A$5001,S$3,BD!$B$3:$B$5001,$A$89,BD!$Q$3:$Q$5001,"&lt;&gt;")=0,"",SUMIFS(BD!$Q$3:$Q$5001,BD!$A$3:$A$5001,S$3,BD!$B$3:$B$5001,$A$89)))</f>
        <v/>
      </c>
      <c r="T96" s="162" t="str">
        <f>IF(T$3="","",IF(COUNTIFS(BD!$A$3:$A$5001,T$3,BD!$B$3:$B$5001,$A$89,BD!$Q$3:$Q$5001,"&lt;&gt;")=0,"",SUMIFS(BD!$Q$3:$Q$5001,BD!$A$3:$A$5001,T$3,BD!$B$3:$B$5001,$A$89)))</f>
        <v/>
      </c>
      <c r="U96" s="162" t="str">
        <f>IF(U$3="","",IF(COUNTIFS(BD!$A$3:$A$5001,U$3,BD!$B$3:$B$5001,$A$89,BD!$Q$3:$Q$5001,"&lt;&gt;")=0,"",SUMIFS(BD!$Q$3:$Q$5001,BD!$A$3:$A$5001,U$3,BD!$B$3:$B$5001,$A$89)))</f>
        <v/>
      </c>
      <c r="V96" s="162" t="str">
        <f>IF(V$3="","",IF(COUNTIFS(BD!$A$3:$A$5001,V$3,BD!$B$3:$B$5001,$A$89,BD!$Q$3:$Q$5001,"&lt;&gt;")=0,"",SUMIFS(BD!$Q$3:$Q$5001,BD!$A$3:$A$5001,V$3,BD!$B$3:$B$5001,$A$89)))</f>
        <v/>
      </c>
      <c r="W96" s="162" t="str">
        <f>IF(W$3="","",IF(COUNTIFS(BD!$A$3:$A$5001,W$3,BD!$B$3:$B$5001,$A$89,BD!$Q$3:$Q$5001,"&lt;&gt;")=0,"",SUMIFS(BD!$Q$3:$Q$5001,BD!$A$3:$A$5001,W$3,BD!$B$3:$B$5001,$A$89)))</f>
        <v/>
      </c>
      <c r="X96" s="162" t="str">
        <f>IF(X$3="","",IF(COUNTIFS(BD!$A$3:$A$5001,X$3,BD!$B$3:$B$5001,$A$89,BD!$Q$3:$Q$5001,"&lt;&gt;")=0,"",SUMIFS(BD!$Q$3:$Q$5001,BD!$A$3:$A$5001,X$3,BD!$B$3:$B$5001,$A$89)))</f>
        <v/>
      </c>
      <c r="Y96" s="162" t="str">
        <f>IF(Y$3="","",IF(COUNTIFS(BD!$A$3:$A$5001,Y$3,BD!$B$3:$B$5001,$A$89,BD!$Q$3:$Q$5001,"&lt;&gt;")=0,"",SUMIFS(BD!$Q$3:$Q$5001,BD!$A$3:$A$5001,Y$3,BD!$B$3:$B$5001,$A$89)))</f>
        <v/>
      </c>
      <c r="Z96" s="162" t="str">
        <f>IF(Z$3="","",IF(COUNTIFS(BD!$A$3:$A$5001,Z$3,BD!$B$3:$B$5001,$A$89,BD!$Q$3:$Q$5001,"&lt;&gt;")=0,"",SUMIFS(BD!$Q$3:$Q$5001,BD!$A$3:$A$5001,Z$3,BD!$B$3:$B$5001,$A$89)))</f>
        <v/>
      </c>
      <c r="AA96" s="162" t="str">
        <f>IF(AA$3="","",IF(COUNTIFS(BD!$A$3:$A$5001,AA$3,BD!$B$3:$B$5001,$A$89,BD!$Q$3:$Q$5001,"&lt;&gt;")=0,"",SUMIFS(BD!$Q$3:$Q$5001,BD!$A$3:$A$5001,AA$3,BD!$B$3:$B$5001,$A$89)))</f>
        <v/>
      </c>
      <c r="AB96" s="162" t="str">
        <f>IF(AB$3="","",IF(COUNTIFS(BD!$A$3:$A$5001,AB$3,BD!$B$3:$B$5001,$A$89,BD!$Q$3:$Q$5001,"&lt;&gt;")=0,"",SUMIFS(BD!$Q$3:$Q$5001,BD!$A$3:$A$5001,AB$3,BD!$B$3:$B$5001,$A$89)))</f>
        <v/>
      </c>
      <c r="AC96" s="162" t="str">
        <f>IF(AC$3="","",IF(COUNTIFS(BD!$A$3:$A$5001,AC$3,BD!$B$3:$B$5001,$A$89,BD!$Q$3:$Q$5001,"&lt;&gt;")=0,"",SUMIFS(BD!$Q$3:$Q$5001,BD!$A$3:$A$5001,AC$3,BD!$B$3:$B$5001,$A$89)))</f>
        <v/>
      </c>
      <c r="AD96" s="162" t="str">
        <f>IF(AD$3="","",IF(COUNTIFS(BD!$A$3:$A$5001,AD$3,BD!$B$3:$B$5001,$A$89,BD!$Q$3:$Q$5001,"&lt;&gt;")=0,"",SUMIFS(BD!$Q$3:$Q$5001,BD!$A$3:$A$5001,AD$3,BD!$B$3:$B$5001,$A$89)))</f>
        <v/>
      </c>
      <c r="AE96" s="162" t="str">
        <f>IF(AE$3="","",IF(COUNTIFS(BD!$A$3:$A$5001,AE$3,BD!$B$3:$B$5001,$A$89,BD!$Q$3:$Q$5001,"&lt;&gt;")=0,"",SUMIFS(BD!$Q$3:$Q$5001,BD!$A$3:$A$5001,AE$3,BD!$B$3:$B$5001,$A$89)))</f>
        <v/>
      </c>
      <c r="AF96" s="162" t="str">
        <f>IF(AF$3="","",IF(COUNTIFS(BD!$A$3:$A$5001,AF$3,BD!$B$3:$B$5001,$A$89,BD!$Q$3:$Q$5001,"&lt;&gt;")=0,"",SUMIFS(BD!$Q$3:$Q$5001,BD!$A$3:$A$5001,AF$3,BD!$B$3:$B$5001,$A$89)))</f>
        <v/>
      </c>
      <c r="AG96" s="162" t="str">
        <f>IF(AG$3="","",IF(COUNTIFS(BD!$A$3:$A$5001,AG$3,BD!$B$3:$B$5001,$A$89,BD!$Q$3:$Q$5001,"&lt;&gt;")=0,"",SUMIFS(BD!$Q$3:$Q$5001,BD!$A$3:$A$5001,AG$3,BD!$B$3:$B$5001,$A$89)))</f>
        <v/>
      </c>
      <c r="AH96" s="162" t="str">
        <f>IF(AH$3="","",IF(COUNTIFS(BD!$A$3:$A$5001,AH$3,BD!$B$3:$B$5001,$A$89,BD!$Q$3:$Q$5001,"&lt;&gt;")=0,"",SUMIFS(BD!$Q$3:$Q$5001,BD!$A$3:$A$5001,AH$3,BD!$B$3:$B$5001,$A$89)))</f>
        <v/>
      </c>
      <c r="AI96" s="162" t="str">
        <f>IF(AI$3="","",IF(COUNTIFS(BD!$A$3:$A$5001,AI$3,BD!$B$3:$B$5001,$A$89,BD!$Q$3:$Q$5001,"&lt;&gt;")=0,"",SUMIFS(BD!$Q$3:$Q$5001,BD!$A$3:$A$5001,AI$3,BD!$B$3:$B$5001,$A$89)))</f>
        <v/>
      </c>
      <c r="AJ96" s="163" t="str">
        <f>IF(AJ$3="","",IF(COUNTIFS(BD!$A$3:$A$5001,AJ$3,BD!$B$3:$B$5001,$A$89,BD!$Q$3:$Q$5001,"&lt;&gt;")=0,"",SUMIFS(BD!$Q$3:$Q$5001,BD!$A$3:$A$5001,AJ$3,BD!$B$3:$B$5001,$A$89)))</f>
        <v/>
      </c>
      <c r="AK96" s="159" t="str">
        <f>IF(COUNT(F96:AJ96)=0,"",SUM(F96:AJ96))</f>
        <v/>
      </c>
    </row>
    <row r="97" ht="15.75" customHeight="1">
      <c r="A97" s="227"/>
      <c r="B97" s="219" t="inlineStr">
        <is>
          <t xml:space="preserve">NC</t>
        </is>
      </c>
      <c r="C97" s="164" t="inlineStr">
        <is>
          <t xml:space="preserve">Incidentes</t>
        </is>
      </c>
      <c r="D97" s="165" t="str">
        <f>IFERROR(1/(1/INDEX(BD!$AK$41:$AT$41,MATCH($A$89,BD!$AK$22:$AT$22,0))),"")</f>
        <v/>
      </c>
      <c r="E97" s="166"/>
      <c r="F97" s="167" t="str">
        <f>IF(F$3="","",IF(COUNTIFS(BD!$A$3:$A$5001,F$3,BD!$B$3:$B$5001,$A$89,BD!$U$3:$U$5001,"&lt;&gt;")=0,"",SUMIFS(BD!$U$3:$U$5001,BD!$A$3:$A$5001,F$3,BD!$B$3:$B$5001,$A$89)))</f>
        <v/>
      </c>
      <c r="G97" s="168" t="str">
        <f>IF(G$3="","",IF(COUNTIFS(BD!$A$3:$A$5001,G$3,BD!$B$3:$B$5001,$A$89,BD!$U$3:$U$5001,"&lt;&gt;")=0,"",SUMIFS(BD!$U$3:$U$5001,BD!$A$3:$A$5001,G$3,BD!$B$3:$B$5001,$A$89)))</f>
        <v/>
      </c>
      <c r="H97" s="168" t="str">
        <f>IF(H$3="","",IF(COUNTIFS(BD!$A$3:$A$5001,H$3,BD!$B$3:$B$5001,$A$89,BD!$U$3:$U$5001,"&lt;&gt;")=0,"",SUMIFS(BD!$U$3:$U$5001,BD!$A$3:$A$5001,H$3,BD!$B$3:$B$5001,$A$89)))</f>
        <v/>
      </c>
      <c r="I97" s="168" t="str">
        <f>IF(I$3="","",IF(COUNTIFS(BD!$A$3:$A$5001,I$3,BD!$B$3:$B$5001,$A$89,BD!$U$3:$U$5001,"&lt;&gt;")=0,"",SUMIFS(BD!$U$3:$U$5001,BD!$A$3:$A$5001,I$3,BD!$B$3:$B$5001,$A$89)))</f>
        <v/>
      </c>
      <c r="J97" s="168" t="str">
        <f>IF(J$3="","",IF(COUNTIFS(BD!$A$3:$A$5001,J$3,BD!$B$3:$B$5001,$A$89,BD!$U$3:$U$5001,"&lt;&gt;")=0,"",SUMIFS(BD!$U$3:$U$5001,BD!$A$3:$A$5001,J$3,BD!$B$3:$B$5001,$A$89)))</f>
        <v/>
      </c>
      <c r="K97" s="168" t="str">
        <f>IF(K$3="","",IF(COUNTIFS(BD!$A$3:$A$5001,K$3,BD!$B$3:$B$5001,$A$89,BD!$U$3:$U$5001,"&lt;&gt;")=0,"",SUMIFS(BD!$U$3:$U$5001,BD!$A$3:$A$5001,K$3,BD!$B$3:$B$5001,$A$89)))</f>
        <v/>
      </c>
      <c r="L97" s="168" t="str">
        <f>IF(L$3="","",IF(COUNTIFS(BD!$A$3:$A$5001,L$3,BD!$B$3:$B$5001,$A$89,BD!$U$3:$U$5001,"&lt;&gt;")=0,"",SUMIFS(BD!$U$3:$U$5001,BD!$A$3:$A$5001,L$3,BD!$B$3:$B$5001,$A$89)))</f>
        <v/>
      </c>
      <c r="M97" s="168" t="str">
        <f>IF(M$3="","",IF(COUNTIFS(BD!$A$3:$A$5001,M$3,BD!$B$3:$B$5001,$A$89,BD!$U$3:$U$5001,"&lt;&gt;")=0,"",SUMIFS(BD!$U$3:$U$5001,BD!$A$3:$A$5001,M$3,BD!$B$3:$B$5001,$A$89)))</f>
        <v/>
      </c>
      <c r="N97" s="168" t="str">
        <f>IF(N$3="","",IF(COUNTIFS(BD!$A$3:$A$5001,N$3,BD!$B$3:$B$5001,$A$89,BD!$U$3:$U$5001,"&lt;&gt;")=0,"",SUMIFS(BD!$U$3:$U$5001,BD!$A$3:$A$5001,N$3,BD!$B$3:$B$5001,$A$89)))</f>
        <v/>
      </c>
      <c r="O97" s="168" t="str">
        <f>IF(O$3="","",IF(COUNTIFS(BD!$A$3:$A$5001,O$3,BD!$B$3:$B$5001,$A$89,BD!$U$3:$U$5001,"&lt;&gt;")=0,"",SUMIFS(BD!$U$3:$U$5001,BD!$A$3:$A$5001,O$3,BD!$B$3:$B$5001,$A$89)))</f>
        <v/>
      </c>
      <c r="P97" s="168" t="str">
        <f>IF(P$3="","",IF(COUNTIFS(BD!$A$3:$A$5001,P$3,BD!$B$3:$B$5001,$A$89,BD!$U$3:$U$5001,"&lt;&gt;")=0,"",SUMIFS(BD!$U$3:$U$5001,BD!$A$3:$A$5001,P$3,BD!$B$3:$B$5001,$A$89)))</f>
        <v/>
      </c>
      <c r="Q97" s="168" t="str">
        <f>IF(Q$3="","",IF(COUNTIFS(BD!$A$3:$A$5001,Q$3,BD!$B$3:$B$5001,$A$89,BD!$U$3:$U$5001,"&lt;&gt;")=0,"",SUMIFS(BD!$U$3:$U$5001,BD!$A$3:$A$5001,Q$3,BD!$B$3:$B$5001,$A$89)))</f>
        <v/>
      </c>
      <c r="R97" s="168" t="str">
        <f>IF(R$3="","",IF(COUNTIFS(BD!$A$3:$A$5001,R$3,BD!$B$3:$B$5001,$A$89,BD!$U$3:$U$5001,"&lt;&gt;")=0,"",SUMIFS(BD!$U$3:$U$5001,BD!$A$3:$A$5001,R$3,BD!$B$3:$B$5001,$A$89)))</f>
        <v/>
      </c>
      <c r="S97" s="168" t="str">
        <f>IF(S$3="","",IF(COUNTIFS(BD!$A$3:$A$5001,S$3,BD!$B$3:$B$5001,$A$89,BD!$U$3:$U$5001,"&lt;&gt;")=0,"",SUMIFS(BD!$U$3:$U$5001,BD!$A$3:$A$5001,S$3,BD!$B$3:$B$5001,$A$89)))</f>
        <v/>
      </c>
      <c r="T97" s="168" t="str">
        <f>IF(T$3="","",IF(COUNTIFS(BD!$A$3:$A$5001,T$3,BD!$B$3:$B$5001,$A$89,BD!$U$3:$U$5001,"&lt;&gt;")=0,"",SUMIFS(BD!$U$3:$U$5001,BD!$A$3:$A$5001,T$3,BD!$B$3:$B$5001,$A$89)))</f>
        <v/>
      </c>
      <c r="U97" s="168" t="str">
        <f>IF(U$3="","",IF(COUNTIFS(BD!$A$3:$A$5001,U$3,BD!$B$3:$B$5001,$A$89,BD!$U$3:$U$5001,"&lt;&gt;")=0,"",SUMIFS(BD!$U$3:$U$5001,BD!$A$3:$A$5001,U$3,BD!$B$3:$B$5001,$A$89)))</f>
        <v/>
      </c>
      <c r="V97" s="168" t="str">
        <f>IF(V$3="","",IF(COUNTIFS(BD!$A$3:$A$5001,V$3,BD!$B$3:$B$5001,$A$89,BD!$U$3:$U$5001,"&lt;&gt;")=0,"",SUMIFS(BD!$U$3:$U$5001,BD!$A$3:$A$5001,V$3,BD!$B$3:$B$5001,$A$89)))</f>
        <v/>
      </c>
      <c r="W97" s="168" t="str">
        <f>IF(W$3="","",IF(COUNTIFS(BD!$A$3:$A$5001,W$3,BD!$B$3:$B$5001,$A$89,BD!$U$3:$U$5001,"&lt;&gt;")=0,"",SUMIFS(BD!$U$3:$U$5001,BD!$A$3:$A$5001,W$3,BD!$B$3:$B$5001,$A$89)))</f>
        <v/>
      </c>
      <c r="X97" s="168" t="str">
        <f>IF(X$3="","",IF(COUNTIFS(BD!$A$3:$A$5001,X$3,BD!$B$3:$B$5001,$A$89,BD!$U$3:$U$5001,"&lt;&gt;")=0,"",SUMIFS(BD!$U$3:$U$5001,BD!$A$3:$A$5001,X$3,BD!$B$3:$B$5001,$A$89)))</f>
        <v/>
      </c>
      <c r="Y97" s="168" t="str">
        <f>IF(Y$3="","",IF(COUNTIFS(BD!$A$3:$A$5001,Y$3,BD!$B$3:$B$5001,$A$89,BD!$U$3:$U$5001,"&lt;&gt;")=0,"",SUMIFS(BD!$U$3:$U$5001,BD!$A$3:$A$5001,Y$3,BD!$B$3:$B$5001,$A$89)))</f>
        <v/>
      </c>
      <c r="Z97" s="168" t="str">
        <f>IF(Z$3="","",IF(COUNTIFS(BD!$A$3:$A$5001,Z$3,BD!$B$3:$B$5001,$A$89,BD!$U$3:$U$5001,"&lt;&gt;")=0,"",SUMIFS(BD!$U$3:$U$5001,BD!$A$3:$A$5001,Z$3,BD!$B$3:$B$5001,$A$89)))</f>
        <v/>
      </c>
      <c r="AA97" s="168" t="str">
        <f>IF(AA$3="","",IF(COUNTIFS(BD!$A$3:$A$5001,AA$3,BD!$B$3:$B$5001,$A$89,BD!$U$3:$U$5001,"&lt;&gt;")=0,"",SUMIFS(BD!$U$3:$U$5001,BD!$A$3:$A$5001,AA$3,BD!$B$3:$B$5001,$A$89)))</f>
        <v/>
      </c>
      <c r="AB97" s="168" t="str">
        <f>IF(AB$3="","",IF(COUNTIFS(BD!$A$3:$A$5001,AB$3,BD!$B$3:$B$5001,$A$89,BD!$U$3:$U$5001,"&lt;&gt;")=0,"",SUMIFS(BD!$U$3:$U$5001,BD!$A$3:$A$5001,AB$3,BD!$B$3:$B$5001,$A$89)))</f>
        <v/>
      </c>
      <c r="AC97" s="168" t="str">
        <f>IF(AC$3="","",IF(COUNTIFS(BD!$A$3:$A$5001,AC$3,BD!$B$3:$B$5001,$A$89,BD!$U$3:$U$5001,"&lt;&gt;")=0,"",SUMIFS(BD!$U$3:$U$5001,BD!$A$3:$A$5001,AC$3,BD!$B$3:$B$5001,$A$89)))</f>
        <v/>
      </c>
      <c r="AD97" s="168" t="str">
        <f>IF(AD$3="","",IF(COUNTIFS(BD!$A$3:$A$5001,AD$3,BD!$B$3:$B$5001,$A$89,BD!$U$3:$U$5001,"&lt;&gt;")=0,"",SUMIFS(BD!$U$3:$U$5001,BD!$A$3:$A$5001,AD$3,BD!$B$3:$B$5001,$A$89)))</f>
        <v/>
      </c>
      <c r="AE97" s="168" t="str">
        <f>IF(AE$3="","",IF(COUNTIFS(BD!$A$3:$A$5001,AE$3,BD!$B$3:$B$5001,$A$89,BD!$U$3:$U$5001,"&lt;&gt;")=0,"",SUMIFS(BD!$U$3:$U$5001,BD!$A$3:$A$5001,AE$3,BD!$B$3:$B$5001,$A$89)))</f>
        <v/>
      </c>
      <c r="AF97" s="168" t="str">
        <f>IF(AF$3="","",IF(COUNTIFS(BD!$A$3:$A$5001,AF$3,BD!$B$3:$B$5001,$A$89,BD!$U$3:$U$5001,"&lt;&gt;")=0,"",SUMIFS(BD!$U$3:$U$5001,BD!$A$3:$A$5001,AF$3,BD!$B$3:$B$5001,$A$89)))</f>
        <v/>
      </c>
      <c r="AG97" s="168" t="str">
        <f>IF(AG$3="","",IF(COUNTIFS(BD!$A$3:$A$5001,AG$3,BD!$B$3:$B$5001,$A$89,BD!$U$3:$U$5001,"&lt;&gt;")=0,"",SUMIFS(BD!$U$3:$U$5001,BD!$A$3:$A$5001,AG$3,BD!$B$3:$B$5001,$A$89)))</f>
        <v/>
      </c>
      <c r="AH97" s="168" t="str">
        <f>IF(AH$3="","",IF(COUNTIFS(BD!$A$3:$A$5001,AH$3,BD!$B$3:$B$5001,$A$89,BD!$U$3:$U$5001,"&lt;&gt;")=0,"",SUMIFS(BD!$U$3:$U$5001,BD!$A$3:$A$5001,AH$3,BD!$B$3:$B$5001,$A$89)))</f>
        <v/>
      </c>
      <c r="AI97" s="168" t="str">
        <f>IF(AI$3="","",IF(COUNTIFS(BD!$A$3:$A$5001,AI$3,BD!$B$3:$B$5001,$A$89,BD!$U$3:$U$5001,"&lt;&gt;")=0,"",SUMIFS(BD!$U$3:$U$5001,BD!$A$3:$A$5001,AI$3,BD!$B$3:$B$5001,$A$89)))</f>
        <v/>
      </c>
      <c r="AJ97" s="169" t="str">
        <f>IF(AJ$3="","",IF(COUNTIFS(BD!$A$3:$A$5001,AJ$3,BD!$B$3:$B$5001,$A$89,BD!$U$3:$U$5001,"&lt;&gt;")=0,"",SUMIFS(BD!$U$3:$U$5001,BD!$A$3:$A$5001,AJ$3,BD!$B$3:$B$5001,$A$89)))</f>
        <v/>
      </c>
      <c r="AK97" s="170" t="str">
        <f>IF(COUNT(F97:AJ97)=0,"",SUM(F97:AJ97))</f>
        <v/>
      </c>
    </row>
    <row r="98" ht="15.75" customHeight="1">
      <c r="A98" s="227"/>
      <c r="B98" s="220"/>
      <c r="C98" s="171" t="inlineStr">
        <is>
          <t xml:space="preserve">No show</t>
        </is>
      </c>
      <c r="D98" s="172" t="str">
        <f>IFERROR(1/(1/INDEX(BD!$AK$42:$AT$42,MATCH($A$89,BD!$AK$22:$AT$22,0))),"")</f>
        <v/>
      </c>
      <c r="E98" s="173"/>
      <c r="F98" s="174" t="str">
        <f>IF(F$3="","",IF(COUNTIFS(BD!$A$3:$A$5001,F$3,BD!$B$3:$B$5001,$A$89,BD!$V$3:$V$5001,"&lt;&gt;")=0,"",SUMIFS(BD!$V$3:$V$5001,BD!$A$3:$A$5001,F$3,BD!$B$3:$B$5001,$A$89)))</f>
        <v/>
      </c>
      <c r="G98" s="175" t="str">
        <f>IF(G$3="","",IF(COUNTIFS(BD!$A$3:$A$5001,G$3,BD!$B$3:$B$5001,$A$89,BD!$V$3:$V$5001,"&lt;&gt;")=0,"",SUMIFS(BD!$V$3:$V$5001,BD!$A$3:$A$5001,G$3,BD!$B$3:$B$5001,$A$89)))</f>
        <v/>
      </c>
      <c r="H98" s="175" t="str">
        <f>IF(H$3="","",IF(COUNTIFS(BD!$A$3:$A$5001,H$3,BD!$B$3:$B$5001,$A$89,BD!$V$3:$V$5001,"&lt;&gt;")=0,"",SUMIFS(BD!$V$3:$V$5001,BD!$A$3:$A$5001,H$3,BD!$B$3:$B$5001,$A$89)))</f>
        <v/>
      </c>
      <c r="I98" s="175" t="str">
        <f>IF(I$3="","",IF(COUNTIFS(BD!$A$3:$A$5001,I$3,BD!$B$3:$B$5001,$A$89,BD!$V$3:$V$5001,"&lt;&gt;")=0,"",SUMIFS(BD!$V$3:$V$5001,BD!$A$3:$A$5001,I$3,BD!$B$3:$B$5001,$A$89)))</f>
        <v/>
      </c>
      <c r="J98" s="175" t="str">
        <f>IF(J$3="","",IF(COUNTIFS(BD!$A$3:$A$5001,J$3,BD!$B$3:$B$5001,$A$89,BD!$V$3:$V$5001,"&lt;&gt;")=0,"",SUMIFS(BD!$V$3:$V$5001,BD!$A$3:$A$5001,J$3,BD!$B$3:$B$5001,$A$89)))</f>
        <v/>
      </c>
      <c r="K98" s="175" t="str">
        <f>IF(K$3="","",IF(COUNTIFS(BD!$A$3:$A$5001,K$3,BD!$B$3:$B$5001,$A$89,BD!$V$3:$V$5001,"&lt;&gt;")=0,"",SUMIFS(BD!$V$3:$V$5001,BD!$A$3:$A$5001,K$3,BD!$B$3:$B$5001,$A$89)))</f>
        <v/>
      </c>
      <c r="L98" s="175" t="str">
        <f>IF(L$3="","",IF(COUNTIFS(BD!$A$3:$A$5001,L$3,BD!$B$3:$B$5001,$A$89,BD!$V$3:$V$5001,"&lt;&gt;")=0,"",SUMIFS(BD!$V$3:$V$5001,BD!$A$3:$A$5001,L$3,BD!$B$3:$B$5001,$A$89)))</f>
        <v/>
      </c>
      <c r="M98" s="175" t="str">
        <f>IF(M$3="","",IF(COUNTIFS(BD!$A$3:$A$5001,M$3,BD!$B$3:$B$5001,$A$89,BD!$V$3:$V$5001,"&lt;&gt;")=0,"",SUMIFS(BD!$V$3:$V$5001,BD!$A$3:$A$5001,M$3,BD!$B$3:$B$5001,$A$89)))</f>
        <v/>
      </c>
      <c r="N98" s="175" t="str">
        <f>IF(N$3="","",IF(COUNTIFS(BD!$A$3:$A$5001,N$3,BD!$B$3:$B$5001,$A$89,BD!$V$3:$V$5001,"&lt;&gt;")=0,"",SUMIFS(BD!$V$3:$V$5001,BD!$A$3:$A$5001,N$3,BD!$B$3:$B$5001,$A$89)))</f>
        <v/>
      </c>
      <c r="O98" s="175" t="str">
        <f>IF(O$3="","",IF(COUNTIFS(BD!$A$3:$A$5001,O$3,BD!$B$3:$B$5001,$A$89,BD!$V$3:$V$5001,"&lt;&gt;")=0,"",SUMIFS(BD!$V$3:$V$5001,BD!$A$3:$A$5001,O$3,BD!$B$3:$B$5001,$A$89)))</f>
        <v/>
      </c>
      <c r="P98" s="175" t="str">
        <f>IF(P$3="","",IF(COUNTIFS(BD!$A$3:$A$5001,P$3,BD!$B$3:$B$5001,$A$89,BD!$V$3:$V$5001,"&lt;&gt;")=0,"",SUMIFS(BD!$V$3:$V$5001,BD!$A$3:$A$5001,P$3,BD!$B$3:$B$5001,$A$89)))</f>
        <v/>
      </c>
      <c r="Q98" s="175" t="str">
        <f>IF(Q$3="","",IF(COUNTIFS(BD!$A$3:$A$5001,Q$3,BD!$B$3:$B$5001,$A$89,BD!$V$3:$V$5001,"&lt;&gt;")=0,"",SUMIFS(BD!$V$3:$V$5001,BD!$A$3:$A$5001,Q$3,BD!$B$3:$B$5001,$A$89)))</f>
        <v/>
      </c>
      <c r="R98" s="175" t="str">
        <f>IF(R$3="","",IF(COUNTIFS(BD!$A$3:$A$5001,R$3,BD!$B$3:$B$5001,$A$89,BD!$V$3:$V$5001,"&lt;&gt;")=0,"",SUMIFS(BD!$V$3:$V$5001,BD!$A$3:$A$5001,R$3,BD!$B$3:$B$5001,$A$89)))</f>
        <v/>
      </c>
      <c r="S98" s="175" t="str">
        <f>IF(S$3="","",IF(COUNTIFS(BD!$A$3:$A$5001,S$3,BD!$B$3:$B$5001,$A$89,BD!$V$3:$V$5001,"&lt;&gt;")=0,"",SUMIFS(BD!$V$3:$V$5001,BD!$A$3:$A$5001,S$3,BD!$B$3:$B$5001,$A$89)))</f>
        <v/>
      </c>
      <c r="T98" s="175" t="str">
        <f>IF(T$3="","",IF(COUNTIFS(BD!$A$3:$A$5001,T$3,BD!$B$3:$B$5001,$A$89,BD!$V$3:$V$5001,"&lt;&gt;")=0,"",SUMIFS(BD!$V$3:$V$5001,BD!$A$3:$A$5001,T$3,BD!$B$3:$B$5001,$A$89)))</f>
        <v/>
      </c>
      <c r="U98" s="175" t="str">
        <f>IF(U$3="","",IF(COUNTIFS(BD!$A$3:$A$5001,U$3,BD!$B$3:$B$5001,$A$89,BD!$V$3:$V$5001,"&lt;&gt;")=0,"",SUMIFS(BD!$V$3:$V$5001,BD!$A$3:$A$5001,U$3,BD!$B$3:$B$5001,$A$89)))</f>
        <v/>
      </c>
      <c r="V98" s="175" t="str">
        <f>IF(V$3="","",IF(COUNTIFS(BD!$A$3:$A$5001,V$3,BD!$B$3:$B$5001,$A$89,BD!$V$3:$V$5001,"&lt;&gt;")=0,"",SUMIFS(BD!$V$3:$V$5001,BD!$A$3:$A$5001,V$3,BD!$B$3:$B$5001,$A$89)))</f>
        <v/>
      </c>
      <c r="W98" s="175" t="str">
        <f>IF(W$3="","",IF(COUNTIFS(BD!$A$3:$A$5001,W$3,BD!$B$3:$B$5001,$A$89,BD!$V$3:$V$5001,"&lt;&gt;")=0,"",SUMIFS(BD!$V$3:$V$5001,BD!$A$3:$A$5001,W$3,BD!$B$3:$B$5001,$A$89)))</f>
        <v/>
      </c>
      <c r="X98" s="175" t="str">
        <f>IF(X$3="","",IF(COUNTIFS(BD!$A$3:$A$5001,X$3,BD!$B$3:$B$5001,$A$89,BD!$V$3:$V$5001,"&lt;&gt;")=0,"",SUMIFS(BD!$V$3:$V$5001,BD!$A$3:$A$5001,X$3,BD!$B$3:$B$5001,$A$89)))</f>
        <v/>
      </c>
      <c r="Y98" s="175" t="str">
        <f>IF(Y$3="","",IF(COUNTIFS(BD!$A$3:$A$5001,Y$3,BD!$B$3:$B$5001,$A$89,BD!$V$3:$V$5001,"&lt;&gt;")=0,"",SUMIFS(BD!$V$3:$V$5001,BD!$A$3:$A$5001,Y$3,BD!$B$3:$B$5001,$A$89)))</f>
        <v/>
      </c>
      <c r="Z98" s="175" t="str">
        <f>IF(Z$3="","",IF(COUNTIFS(BD!$A$3:$A$5001,Z$3,BD!$B$3:$B$5001,$A$89,BD!$V$3:$V$5001,"&lt;&gt;")=0,"",SUMIFS(BD!$V$3:$V$5001,BD!$A$3:$A$5001,Z$3,BD!$B$3:$B$5001,$A$89)))</f>
        <v/>
      </c>
      <c r="AA98" s="175" t="str">
        <f>IF(AA$3="","",IF(COUNTIFS(BD!$A$3:$A$5001,AA$3,BD!$B$3:$B$5001,$A$89,BD!$V$3:$V$5001,"&lt;&gt;")=0,"",SUMIFS(BD!$V$3:$V$5001,BD!$A$3:$A$5001,AA$3,BD!$B$3:$B$5001,$A$89)))</f>
        <v/>
      </c>
      <c r="AB98" s="175" t="str">
        <f>IF(AB$3="","",IF(COUNTIFS(BD!$A$3:$A$5001,AB$3,BD!$B$3:$B$5001,$A$89,BD!$V$3:$V$5001,"&lt;&gt;")=0,"",SUMIFS(BD!$V$3:$V$5001,BD!$A$3:$A$5001,AB$3,BD!$B$3:$B$5001,$A$89)))</f>
        <v/>
      </c>
      <c r="AC98" s="175" t="str">
        <f>IF(AC$3="","",IF(COUNTIFS(BD!$A$3:$A$5001,AC$3,BD!$B$3:$B$5001,$A$89,BD!$V$3:$V$5001,"&lt;&gt;")=0,"",SUMIFS(BD!$V$3:$V$5001,BD!$A$3:$A$5001,AC$3,BD!$B$3:$B$5001,$A$89)))</f>
        <v/>
      </c>
      <c r="AD98" s="175" t="str">
        <f>IF(AD$3="","",IF(COUNTIFS(BD!$A$3:$A$5001,AD$3,BD!$B$3:$B$5001,$A$89,BD!$V$3:$V$5001,"&lt;&gt;")=0,"",SUMIFS(BD!$V$3:$V$5001,BD!$A$3:$A$5001,AD$3,BD!$B$3:$B$5001,$A$89)))</f>
        <v/>
      </c>
      <c r="AE98" s="175" t="str">
        <f>IF(AE$3="","",IF(COUNTIFS(BD!$A$3:$A$5001,AE$3,BD!$B$3:$B$5001,$A$89,BD!$V$3:$V$5001,"&lt;&gt;")=0,"",SUMIFS(BD!$V$3:$V$5001,BD!$A$3:$A$5001,AE$3,BD!$B$3:$B$5001,$A$89)))</f>
        <v/>
      </c>
      <c r="AF98" s="175" t="str">
        <f>IF(AF$3="","",IF(COUNTIFS(BD!$A$3:$A$5001,AF$3,BD!$B$3:$B$5001,$A$89,BD!$V$3:$V$5001,"&lt;&gt;")=0,"",SUMIFS(BD!$V$3:$V$5001,BD!$A$3:$A$5001,AF$3,BD!$B$3:$B$5001,$A$89)))</f>
        <v/>
      </c>
      <c r="AG98" s="175" t="str">
        <f>IF(AG$3="","",IF(COUNTIFS(BD!$A$3:$A$5001,AG$3,BD!$B$3:$B$5001,$A$89,BD!$V$3:$V$5001,"&lt;&gt;")=0,"",SUMIFS(BD!$V$3:$V$5001,BD!$A$3:$A$5001,AG$3,BD!$B$3:$B$5001,$A$89)))</f>
        <v/>
      </c>
      <c r="AH98" s="175" t="str">
        <f>IF(AH$3="","",IF(COUNTIFS(BD!$A$3:$A$5001,AH$3,BD!$B$3:$B$5001,$A$89,BD!$V$3:$V$5001,"&lt;&gt;")=0,"",SUMIFS(BD!$V$3:$V$5001,BD!$A$3:$A$5001,AH$3,BD!$B$3:$B$5001,$A$89)))</f>
        <v/>
      </c>
      <c r="AI98" s="175" t="str">
        <f>IF(AI$3="","",IF(COUNTIFS(BD!$A$3:$A$5001,AI$3,BD!$B$3:$B$5001,$A$89,BD!$V$3:$V$5001,"&lt;&gt;")=0,"",SUMIFS(BD!$V$3:$V$5001,BD!$A$3:$A$5001,AI$3,BD!$B$3:$B$5001,$A$89)))</f>
        <v/>
      </c>
      <c r="AJ98" s="176" t="str">
        <f>IF(AJ$3="","",IF(COUNTIFS(BD!$A$3:$A$5001,AJ$3,BD!$B$3:$B$5001,$A$89,BD!$V$3:$V$5001,"&lt;&gt;")=0,"",SUMIFS(BD!$V$3:$V$5001,BD!$A$3:$A$5001,AJ$3,BD!$B$3:$B$5001,$A$89)))</f>
        <v/>
      </c>
      <c r="AK98" s="177" t="str">
        <f>IF(COUNT(F98:AJ98)=0,"",SUM(F98:AJ98))</f>
        <v/>
      </c>
    </row>
    <row r="99" ht="15.75" customHeight="1">
      <c r="A99" s="227"/>
      <c r="B99" s="221"/>
      <c r="C99" s="178" t="inlineStr">
        <is>
          <t xml:space="preserve">Backlog</t>
        </is>
      </c>
      <c r="D99" s="179" t="str">
        <f>IFERROR(1/(1/INDEX(BD!$AK$43:$AT$43,MATCH($A$89,BD!$AK$22:$AT$22,0))),"")</f>
        <v/>
      </c>
      <c r="E99" s="180"/>
      <c r="F99" s="181" t="str">
        <f>IF(F$3="","",IF(COUNTIFS(BD!$A$3:$A$5001,F$3,BD!$B$3:$B$5001,$A$89,BD!$W$3:$W$5001,"&lt;&gt;")=0,"",SUMIFS(BD!$W$3:$W$5001,BD!$A$3:$A$5001,F$3,BD!$B$3:$B$5001,$A$89)))</f>
        <v/>
      </c>
      <c r="G99" s="182" t="str">
        <f>IF(G$3="","",IF(COUNTIFS(BD!$A$3:$A$5001,G$3,BD!$B$3:$B$5001,$A$89,BD!$W$3:$W$5001,"&lt;&gt;")=0,"",SUMIFS(BD!$W$3:$W$5001,BD!$A$3:$A$5001,G$3,BD!$B$3:$B$5001,$A$89)))</f>
        <v/>
      </c>
      <c r="H99" s="182" t="str">
        <f>IF(H$3="","",IF(COUNTIFS(BD!$A$3:$A$5001,H$3,BD!$B$3:$B$5001,$A$89,BD!$W$3:$W$5001,"&lt;&gt;")=0,"",SUMIFS(BD!$W$3:$W$5001,BD!$A$3:$A$5001,H$3,BD!$B$3:$B$5001,$A$89)))</f>
        <v/>
      </c>
      <c r="I99" s="182" t="str">
        <f>IF(I$3="","",IF(COUNTIFS(BD!$A$3:$A$5001,I$3,BD!$B$3:$B$5001,$A$89,BD!$W$3:$W$5001,"&lt;&gt;")=0,"",SUMIFS(BD!$W$3:$W$5001,BD!$A$3:$A$5001,I$3,BD!$B$3:$B$5001,$A$89)))</f>
        <v/>
      </c>
      <c r="J99" s="182" t="str">
        <f>IF(J$3="","",IF(COUNTIFS(BD!$A$3:$A$5001,J$3,BD!$B$3:$B$5001,$A$89,BD!$W$3:$W$5001,"&lt;&gt;")=0,"",SUMIFS(BD!$W$3:$W$5001,BD!$A$3:$A$5001,J$3,BD!$B$3:$B$5001,$A$89)))</f>
        <v/>
      </c>
      <c r="K99" s="182" t="str">
        <f>IF(K$3="","",IF(COUNTIFS(BD!$A$3:$A$5001,K$3,BD!$B$3:$B$5001,$A$89,BD!$W$3:$W$5001,"&lt;&gt;")=0,"",SUMIFS(BD!$W$3:$W$5001,BD!$A$3:$A$5001,K$3,BD!$B$3:$B$5001,$A$89)))</f>
        <v/>
      </c>
      <c r="L99" s="182" t="str">
        <f>IF(L$3="","",IF(COUNTIFS(BD!$A$3:$A$5001,L$3,BD!$B$3:$B$5001,$A$89,BD!$W$3:$W$5001,"&lt;&gt;")=0,"",SUMIFS(BD!$W$3:$W$5001,BD!$A$3:$A$5001,L$3,BD!$B$3:$B$5001,$A$89)))</f>
        <v/>
      </c>
      <c r="M99" s="182" t="str">
        <f>IF(M$3="","",IF(COUNTIFS(BD!$A$3:$A$5001,M$3,BD!$B$3:$B$5001,$A$89,BD!$W$3:$W$5001,"&lt;&gt;")=0,"",SUMIFS(BD!$W$3:$W$5001,BD!$A$3:$A$5001,M$3,BD!$B$3:$B$5001,$A$89)))</f>
        <v/>
      </c>
      <c r="N99" s="182" t="str">
        <f>IF(N$3="","",IF(COUNTIFS(BD!$A$3:$A$5001,N$3,BD!$B$3:$B$5001,$A$89,BD!$W$3:$W$5001,"&lt;&gt;")=0,"",SUMIFS(BD!$W$3:$W$5001,BD!$A$3:$A$5001,N$3,BD!$B$3:$B$5001,$A$89)))</f>
        <v/>
      </c>
      <c r="O99" s="182" t="str">
        <f>IF(O$3="","",IF(COUNTIFS(BD!$A$3:$A$5001,O$3,BD!$B$3:$B$5001,$A$89,BD!$W$3:$W$5001,"&lt;&gt;")=0,"",SUMIFS(BD!$W$3:$W$5001,BD!$A$3:$A$5001,O$3,BD!$B$3:$B$5001,$A$89)))</f>
        <v/>
      </c>
      <c r="P99" s="182" t="str">
        <f>IF(P$3="","",IF(COUNTIFS(BD!$A$3:$A$5001,P$3,BD!$B$3:$B$5001,$A$89,BD!$W$3:$W$5001,"&lt;&gt;")=0,"",SUMIFS(BD!$W$3:$W$5001,BD!$A$3:$A$5001,P$3,BD!$B$3:$B$5001,$A$89)))</f>
        <v/>
      </c>
      <c r="Q99" s="182" t="str">
        <f>IF(Q$3="","",IF(COUNTIFS(BD!$A$3:$A$5001,Q$3,BD!$B$3:$B$5001,$A$89,BD!$W$3:$W$5001,"&lt;&gt;")=0,"",SUMIFS(BD!$W$3:$W$5001,BD!$A$3:$A$5001,Q$3,BD!$B$3:$B$5001,$A$89)))</f>
        <v/>
      </c>
      <c r="R99" s="182" t="str">
        <f>IF(R$3="","",IF(COUNTIFS(BD!$A$3:$A$5001,R$3,BD!$B$3:$B$5001,$A$89,BD!$W$3:$W$5001,"&lt;&gt;")=0,"",SUMIFS(BD!$W$3:$W$5001,BD!$A$3:$A$5001,R$3,BD!$B$3:$B$5001,$A$89)))</f>
        <v/>
      </c>
      <c r="S99" s="182" t="str">
        <f>IF(S$3="","",IF(COUNTIFS(BD!$A$3:$A$5001,S$3,BD!$B$3:$B$5001,$A$89,BD!$W$3:$W$5001,"&lt;&gt;")=0,"",SUMIFS(BD!$W$3:$W$5001,BD!$A$3:$A$5001,S$3,BD!$B$3:$B$5001,$A$89)))</f>
        <v/>
      </c>
      <c r="T99" s="182" t="str">
        <f>IF(T$3="","",IF(COUNTIFS(BD!$A$3:$A$5001,T$3,BD!$B$3:$B$5001,$A$89,BD!$W$3:$W$5001,"&lt;&gt;")=0,"",SUMIFS(BD!$W$3:$W$5001,BD!$A$3:$A$5001,T$3,BD!$B$3:$B$5001,$A$89)))</f>
        <v/>
      </c>
      <c r="U99" s="182" t="str">
        <f>IF(U$3="","",IF(COUNTIFS(BD!$A$3:$A$5001,U$3,BD!$B$3:$B$5001,$A$89,BD!$W$3:$W$5001,"&lt;&gt;")=0,"",SUMIFS(BD!$W$3:$W$5001,BD!$A$3:$A$5001,U$3,BD!$B$3:$B$5001,$A$89)))</f>
        <v/>
      </c>
      <c r="V99" s="182" t="str">
        <f>IF(V$3="","",IF(COUNTIFS(BD!$A$3:$A$5001,V$3,BD!$B$3:$B$5001,$A$89,BD!$W$3:$W$5001,"&lt;&gt;")=0,"",SUMIFS(BD!$W$3:$W$5001,BD!$A$3:$A$5001,V$3,BD!$B$3:$B$5001,$A$89)))</f>
        <v/>
      </c>
      <c r="W99" s="182" t="str">
        <f>IF(W$3="","",IF(COUNTIFS(BD!$A$3:$A$5001,W$3,BD!$B$3:$B$5001,$A$89,BD!$W$3:$W$5001,"&lt;&gt;")=0,"",SUMIFS(BD!$W$3:$W$5001,BD!$A$3:$A$5001,W$3,BD!$B$3:$B$5001,$A$89)))</f>
        <v/>
      </c>
      <c r="X99" s="182" t="str">
        <f>IF(X$3="","",IF(COUNTIFS(BD!$A$3:$A$5001,X$3,BD!$B$3:$B$5001,$A$89,BD!$W$3:$W$5001,"&lt;&gt;")=0,"",SUMIFS(BD!$W$3:$W$5001,BD!$A$3:$A$5001,X$3,BD!$B$3:$B$5001,$A$89)))</f>
        <v/>
      </c>
      <c r="Y99" s="182" t="str">
        <f>IF(Y$3="","",IF(COUNTIFS(BD!$A$3:$A$5001,Y$3,BD!$B$3:$B$5001,$A$89,BD!$W$3:$W$5001,"&lt;&gt;")=0,"",SUMIFS(BD!$W$3:$W$5001,BD!$A$3:$A$5001,Y$3,BD!$B$3:$B$5001,$A$89)))</f>
        <v/>
      </c>
      <c r="Z99" s="182" t="str">
        <f>IF(Z$3="","",IF(COUNTIFS(BD!$A$3:$A$5001,Z$3,BD!$B$3:$B$5001,$A$89,BD!$W$3:$W$5001,"&lt;&gt;")=0,"",SUMIFS(BD!$W$3:$W$5001,BD!$A$3:$A$5001,Z$3,BD!$B$3:$B$5001,$A$89)))</f>
        <v/>
      </c>
      <c r="AA99" s="182" t="str">
        <f>IF(AA$3="","",IF(COUNTIFS(BD!$A$3:$A$5001,AA$3,BD!$B$3:$B$5001,$A$89,BD!$W$3:$W$5001,"&lt;&gt;")=0,"",SUMIFS(BD!$W$3:$W$5001,BD!$A$3:$A$5001,AA$3,BD!$B$3:$B$5001,$A$89)))</f>
        <v/>
      </c>
      <c r="AB99" s="182" t="str">
        <f>IF(AB$3="","",IF(COUNTIFS(BD!$A$3:$A$5001,AB$3,BD!$B$3:$B$5001,$A$89,BD!$W$3:$W$5001,"&lt;&gt;")=0,"",SUMIFS(BD!$W$3:$W$5001,BD!$A$3:$A$5001,AB$3,BD!$B$3:$B$5001,$A$89)))</f>
        <v/>
      </c>
      <c r="AC99" s="182" t="str">
        <f>IF(AC$3="","",IF(COUNTIFS(BD!$A$3:$A$5001,AC$3,BD!$B$3:$B$5001,$A$89,BD!$W$3:$W$5001,"&lt;&gt;")=0,"",SUMIFS(BD!$W$3:$W$5001,BD!$A$3:$A$5001,AC$3,BD!$B$3:$B$5001,$A$89)))</f>
        <v/>
      </c>
      <c r="AD99" s="182" t="str">
        <f>IF(AD$3="","",IF(COUNTIFS(BD!$A$3:$A$5001,AD$3,BD!$B$3:$B$5001,$A$89,BD!$W$3:$W$5001,"&lt;&gt;")=0,"",SUMIFS(BD!$W$3:$W$5001,BD!$A$3:$A$5001,AD$3,BD!$B$3:$B$5001,$A$89)))</f>
        <v/>
      </c>
      <c r="AE99" s="182" t="str">
        <f>IF(AE$3="","",IF(COUNTIFS(BD!$A$3:$A$5001,AE$3,BD!$B$3:$B$5001,$A$89,BD!$W$3:$W$5001,"&lt;&gt;")=0,"",SUMIFS(BD!$W$3:$W$5001,BD!$A$3:$A$5001,AE$3,BD!$B$3:$B$5001,$A$89)))</f>
        <v/>
      </c>
      <c r="AF99" s="182" t="str">
        <f>IF(AF$3="","",IF(COUNTIFS(BD!$A$3:$A$5001,AF$3,BD!$B$3:$B$5001,$A$89,BD!$W$3:$W$5001,"&lt;&gt;")=0,"",SUMIFS(BD!$W$3:$W$5001,BD!$A$3:$A$5001,AF$3,BD!$B$3:$B$5001,$A$89)))</f>
        <v/>
      </c>
      <c r="AG99" s="182" t="str">
        <f>IF(AG$3="","",IF(COUNTIFS(BD!$A$3:$A$5001,AG$3,BD!$B$3:$B$5001,$A$89,BD!$W$3:$W$5001,"&lt;&gt;")=0,"",SUMIFS(BD!$W$3:$W$5001,BD!$A$3:$A$5001,AG$3,BD!$B$3:$B$5001,$A$89)))</f>
        <v/>
      </c>
      <c r="AH99" s="182" t="str">
        <f>IF(AH$3="","",IF(COUNTIFS(BD!$A$3:$A$5001,AH$3,BD!$B$3:$B$5001,$A$89,BD!$W$3:$W$5001,"&lt;&gt;")=0,"",SUMIFS(BD!$W$3:$W$5001,BD!$A$3:$A$5001,AH$3,BD!$B$3:$B$5001,$A$89)))</f>
        <v/>
      </c>
      <c r="AI99" s="182" t="str">
        <f>IF(AI$3="","",IF(COUNTIFS(BD!$A$3:$A$5001,AI$3,BD!$B$3:$B$5001,$A$89,BD!$W$3:$W$5001,"&lt;&gt;")=0,"",SUMIFS(BD!$W$3:$W$5001,BD!$A$3:$A$5001,AI$3,BD!$B$3:$B$5001,$A$89)))</f>
        <v/>
      </c>
      <c r="AJ99" s="183" t="str">
        <f>IF(AJ$3="","",IF(COUNTIFS(BD!$A$3:$A$5001,AJ$3,BD!$B$3:$B$5001,$A$89,BD!$W$3:$W$5001,"&lt;&gt;")=0,"",SUMIFS(BD!$W$3:$W$5001,BD!$A$3:$A$5001,AJ$3,BD!$B$3:$B$5001,$A$89)))</f>
        <v/>
      </c>
      <c r="AK99" s="179" t="str">
        <f>IFERROR(LOOKUP(9.99E+307,F99:AJ99),"")</f>
        <v/>
      </c>
    </row>
    <row r="100" ht="15.75" customHeight="1">
      <c r="A100" s="227"/>
      <c r="B100" s="215" t="inlineStr">
        <is>
          <t xml:space="preserve">OCUPAÇÃO (P.P)</t>
        </is>
      </c>
      <c r="C100" s="138" t="inlineStr">
        <is>
          <t xml:space="preserve">Posições Disponíveis</t>
        </is>
      </c>
      <c r="D100" s="139" t="str">
        <f>IFERROR(1/(1/INDEX(BD!$AK$44:$AT$44,MATCH($A$89,BD!$AK$22:$AT$22,0))),"")</f>
        <v/>
      </c>
      <c r="E100" s="140"/>
      <c r="F100" s="141" t="str">
        <f>IF(F$3="","",IF(COUNTIFS(BD!$A$3:$A$5001,F$3,BD!$B$3:$B$5001,$A$89,BD!$X$3:$X$5001,"&lt;&gt;")=0,"",SUMIFS(BD!$X$3:$X$5001,BD!$A$3:$A$5001,F$3,BD!$B$3:$B$5001,$A$89)))</f>
        <v/>
      </c>
      <c r="G100" s="142" t="str">
        <f>IF(G$3="","",IF(COUNTIFS(BD!$A$3:$A$5001,G$3,BD!$B$3:$B$5001,$A$89,BD!$X$3:$X$5001,"&lt;&gt;")=0,"",SUMIFS(BD!$X$3:$X$5001,BD!$A$3:$A$5001,G$3,BD!$B$3:$B$5001,$A$89)))</f>
        <v/>
      </c>
      <c r="H100" s="142" t="str">
        <f>IF(H$3="","",IF(COUNTIFS(BD!$A$3:$A$5001,H$3,BD!$B$3:$B$5001,$A$89,BD!$X$3:$X$5001,"&lt;&gt;")=0,"",SUMIFS(BD!$X$3:$X$5001,BD!$A$3:$A$5001,H$3,BD!$B$3:$B$5001,$A$89)))</f>
        <v/>
      </c>
      <c r="I100" s="142" t="str">
        <f>IF(I$3="","",IF(COUNTIFS(BD!$A$3:$A$5001,I$3,BD!$B$3:$B$5001,$A$89,BD!$X$3:$X$5001,"&lt;&gt;")=0,"",SUMIFS(BD!$X$3:$X$5001,BD!$A$3:$A$5001,I$3,BD!$B$3:$B$5001,$A$89)))</f>
        <v/>
      </c>
      <c r="J100" s="142" t="str">
        <f>IF(J$3="","",IF(COUNTIFS(BD!$A$3:$A$5001,J$3,BD!$B$3:$B$5001,$A$89,BD!$X$3:$X$5001,"&lt;&gt;")=0,"",SUMIFS(BD!$X$3:$X$5001,BD!$A$3:$A$5001,J$3,BD!$B$3:$B$5001,$A$89)))</f>
        <v/>
      </c>
      <c r="K100" s="142" t="str">
        <f>IF(K$3="","",IF(COUNTIFS(BD!$A$3:$A$5001,K$3,BD!$B$3:$B$5001,$A$89,BD!$X$3:$X$5001,"&lt;&gt;")=0,"",SUMIFS(BD!$X$3:$X$5001,BD!$A$3:$A$5001,K$3,BD!$B$3:$B$5001,$A$89)))</f>
        <v/>
      </c>
      <c r="L100" s="142" t="str">
        <f>IF(L$3="","",IF(COUNTIFS(BD!$A$3:$A$5001,L$3,BD!$B$3:$B$5001,$A$89,BD!$X$3:$X$5001,"&lt;&gt;")=0,"",SUMIFS(BD!$X$3:$X$5001,BD!$A$3:$A$5001,L$3,BD!$B$3:$B$5001,$A$89)))</f>
        <v/>
      </c>
      <c r="M100" s="142" t="str">
        <f>IF(M$3="","",IF(COUNTIFS(BD!$A$3:$A$5001,M$3,BD!$B$3:$B$5001,$A$89,BD!$X$3:$X$5001,"&lt;&gt;")=0,"",SUMIFS(BD!$X$3:$X$5001,BD!$A$3:$A$5001,M$3,BD!$B$3:$B$5001,$A$89)))</f>
        <v/>
      </c>
      <c r="N100" s="142" t="str">
        <f>IF(N$3="","",IF(COUNTIFS(BD!$A$3:$A$5001,N$3,BD!$B$3:$B$5001,$A$89,BD!$X$3:$X$5001,"&lt;&gt;")=0,"",SUMIFS(BD!$X$3:$X$5001,BD!$A$3:$A$5001,N$3,BD!$B$3:$B$5001,$A$89)))</f>
        <v/>
      </c>
      <c r="O100" s="142" t="str">
        <f>IF(O$3="","",IF(COUNTIFS(BD!$A$3:$A$5001,O$3,BD!$B$3:$B$5001,$A$89,BD!$X$3:$X$5001,"&lt;&gt;")=0,"",SUMIFS(BD!$X$3:$X$5001,BD!$A$3:$A$5001,O$3,BD!$B$3:$B$5001,$A$89)))</f>
        <v/>
      </c>
      <c r="P100" s="142" t="str">
        <f>IF(P$3="","",IF(COUNTIFS(BD!$A$3:$A$5001,P$3,BD!$B$3:$B$5001,$A$89,BD!$X$3:$X$5001,"&lt;&gt;")=0,"",SUMIFS(BD!$X$3:$X$5001,BD!$A$3:$A$5001,P$3,BD!$B$3:$B$5001,$A$89)))</f>
        <v/>
      </c>
      <c r="Q100" s="142" t="str">
        <f>IF(Q$3="","",IF(COUNTIFS(BD!$A$3:$A$5001,Q$3,BD!$B$3:$B$5001,$A$89,BD!$X$3:$X$5001,"&lt;&gt;")=0,"",SUMIFS(BD!$X$3:$X$5001,BD!$A$3:$A$5001,Q$3,BD!$B$3:$B$5001,$A$89)))</f>
        <v/>
      </c>
      <c r="R100" s="142" t="str">
        <f>IF(R$3="","",IF(COUNTIFS(BD!$A$3:$A$5001,R$3,BD!$B$3:$B$5001,$A$89,BD!$X$3:$X$5001,"&lt;&gt;")=0,"",SUMIFS(BD!$X$3:$X$5001,BD!$A$3:$A$5001,R$3,BD!$B$3:$B$5001,$A$89)))</f>
        <v/>
      </c>
      <c r="S100" s="142" t="str">
        <f>IF(S$3="","",IF(COUNTIFS(BD!$A$3:$A$5001,S$3,BD!$B$3:$B$5001,$A$89,BD!$X$3:$X$5001,"&lt;&gt;")=0,"",SUMIFS(BD!$X$3:$X$5001,BD!$A$3:$A$5001,S$3,BD!$B$3:$B$5001,$A$89)))</f>
        <v/>
      </c>
      <c r="T100" s="142" t="str">
        <f>IF(T$3="","",IF(COUNTIFS(BD!$A$3:$A$5001,T$3,BD!$B$3:$B$5001,$A$89,BD!$X$3:$X$5001,"&lt;&gt;")=0,"",SUMIFS(BD!$X$3:$X$5001,BD!$A$3:$A$5001,T$3,BD!$B$3:$B$5001,$A$89)))</f>
        <v/>
      </c>
      <c r="U100" s="142" t="str">
        <f>IF(U$3="","",IF(COUNTIFS(BD!$A$3:$A$5001,U$3,BD!$B$3:$B$5001,$A$89,BD!$X$3:$X$5001,"&lt;&gt;")=0,"",SUMIFS(BD!$X$3:$X$5001,BD!$A$3:$A$5001,U$3,BD!$B$3:$B$5001,$A$89)))</f>
        <v/>
      </c>
      <c r="V100" s="142" t="str">
        <f>IF(V$3="","",IF(COUNTIFS(BD!$A$3:$A$5001,V$3,BD!$B$3:$B$5001,$A$89,BD!$X$3:$X$5001,"&lt;&gt;")=0,"",SUMIFS(BD!$X$3:$X$5001,BD!$A$3:$A$5001,V$3,BD!$B$3:$B$5001,$A$89)))</f>
        <v/>
      </c>
      <c r="W100" s="142" t="str">
        <f>IF(W$3="","",IF(COUNTIFS(BD!$A$3:$A$5001,W$3,BD!$B$3:$B$5001,$A$89,BD!$X$3:$X$5001,"&lt;&gt;")=0,"",SUMIFS(BD!$X$3:$X$5001,BD!$A$3:$A$5001,W$3,BD!$B$3:$B$5001,$A$89)))</f>
        <v/>
      </c>
      <c r="X100" s="142" t="str">
        <f>IF(X$3="","",IF(COUNTIFS(BD!$A$3:$A$5001,X$3,BD!$B$3:$B$5001,$A$89,BD!$X$3:$X$5001,"&lt;&gt;")=0,"",SUMIFS(BD!$X$3:$X$5001,BD!$A$3:$A$5001,X$3,BD!$B$3:$B$5001,$A$89)))</f>
        <v/>
      </c>
      <c r="Y100" s="142" t="str">
        <f>IF(Y$3="","",IF(COUNTIFS(BD!$A$3:$A$5001,Y$3,BD!$B$3:$B$5001,$A$89,BD!$X$3:$X$5001,"&lt;&gt;")=0,"",SUMIFS(BD!$X$3:$X$5001,BD!$A$3:$A$5001,Y$3,BD!$B$3:$B$5001,$A$89)))</f>
        <v/>
      </c>
      <c r="Z100" s="142" t="str">
        <f>IF(Z$3="","",IF(COUNTIFS(BD!$A$3:$A$5001,Z$3,BD!$B$3:$B$5001,$A$89,BD!$X$3:$X$5001,"&lt;&gt;")=0,"",SUMIFS(BD!$X$3:$X$5001,BD!$A$3:$A$5001,Z$3,BD!$B$3:$B$5001,$A$89)))</f>
        <v/>
      </c>
      <c r="AA100" s="142" t="str">
        <f>IF(AA$3="","",IF(COUNTIFS(BD!$A$3:$A$5001,AA$3,BD!$B$3:$B$5001,$A$89,BD!$X$3:$X$5001,"&lt;&gt;")=0,"",SUMIFS(BD!$X$3:$X$5001,BD!$A$3:$A$5001,AA$3,BD!$B$3:$B$5001,$A$89)))</f>
        <v/>
      </c>
      <c r="AB100" s="142" t="str">
        <f>IF(AB$3="","",IF(COUNTIFS(BD!$A$3:$A$5001,AB$3,BD!$B$3:$B$5001,$A$89,BD!$X$3:$X$5001,"&lt;&gt;")=0,"",SUMIFS(BD!$X$3:$X$5001,BD!$A$3:$A$5001,AB$3,BD!$B$3:$B$5001,$A$89)))</f>
        <v/>
      </c>
      <c r="AC100" s="142" t="str">
        <f>IF(AC$3="","",IF(COUNTIFS(BD!$A$3:$A$5001,AC$3,BD!$B$3:$B$5001,$A$89,BD!$X$3:$X$5001,"&lt;&gt;")=0,"",SUMIFS(BD!$X$3:$X$5001,BD!$A$3:$A$5001,AC$3,BD!$B$3:$B$5001,$A$89)))</f>
        <v/>
      </c>
      <c r="AD100" s="142" t="str">
        <f>IF(AD$3="","",IF(COUNTIFS(BD!$A$3:$A$5001,AD$3,BD!$B$3:$B$5001,$A$89,BD!$X$3:$X$5001,"&lt;&gt;")=0,"",SUMIFS(BD!$X$3:$X$5001,BD!$A$3:$A$5001,AD$3,BD!$B$3:$B$5001,$A$89)))</f>
        <v/>
      </c>
      <c r="AE100" s="142" t="str">
        <f>IF(AE$3="","",IF(COUNTIFS(BD!$A$3:$A$5001,AE$3,BD!$B$3:$B$5001,$A$89,BD!$X$3:$X$5001,"&lt;&gt;")=0,"",SUMIFS(BD!$X$3:$X$5001,BD!$A$3:$A$5001,AE$3,BD!$B$3:$B$5001,$A$89)))</f>
        <v/>
      </c>
      <c r="AF100" s="142" t="str">
        <f>IF(AF$3="","",IF(COUNTIFS(BD!$A$3:$A$5001,AF$3,BD!$B$3:$B$5001,$A$89,BD!$X$3:$X$5001,"&lt;&gt;")=0,"",SUMIFS(BD!$X$3:$X$5001,BD!$A$3:$A$5001,AF$3,BD!$B$3:$B$5001,$A$89)))</f>
        <v/>
      </c>
      <c r="AG100" s="142" t="str">
        <f>IF(AG$3="","",IF(COUNTIFS(BD!$A$3:$A$5001,AG$3,BD!$B$3:$B$5001,$A$89,BD!$X$3:$X$5001,"&lt;&gt;")=0,"",SUMIFS(BD!$X$3:$X$5001,BD!$A$3:$A$5001,AG$3,BD!$B$3:$B$5001,$A$89)))</f>
        <v/>
      </c>
      <c r="AH100" s="142" t="str">
        <f>IF(AH$3="","",IF(COUNTIFS(BD!$A$3:$A$5001,AH$3,BD!$B$3:$B$5001,$A$89,BD!$X$3:$X$5001,"&lt;&gt;")=0,"",SUMIFS(BD!$X$3:$X$5001,BD!$A$3:$A$5001,AH$3,BD!$B$3:$B$5001,$A$89)))</f>
        <v/>
      </c>
      <c r="AI100" s="142" t="str">
        <f>IF(AI$3="","",IF(COUNTIFS(BD!$A$3:$A$5001,AI$3,BD!$B$3:$B$5001,$A$89,BD!$X$3:$X$5001,"&lt;&gt;")=0,"",SUMIFS(BD!$X$3:$X$5001,BD!$A$3:$A$5001,AI$3,BD!$B$3:$B$5001,$A$89)))</f>
        <v/>
      </c>
      <c r="AJ100" s="143" t="str">
        <f>IF(AJ$3="","",IF(COUNTIFS(BD!$A$3:$A$5001,AJ$3,BD!$B$3:$B$5001,$A$89,BD!$X$3:$X$5001,"&lt;&gt;")=0,"",SUMIFS(BD!$X$3:$X$5001,BD!$A$3:$A$5001,AJ$3,BD!$B$3:$B$5001,$A$89)))</f>
        <v/>
      </c>
      <c r="AK100" s="144" t="str">
        <f>IF(COUNT(F100:AJ100)&gt;0,LOOKUP(9.99E+307,F100:AJ100),IFERROR(IF(INDEX(BD!$AH$3:$AH$5001,MATCH($A$89,BD!$B$3:$B$5001,0))&amp;""="Contrato","",INDEX(BD!$AH$3:$AH$5001,MATCH($A$89,BD!$B$3:$B$5001,0))&amp;""),""))</f>
        <v/>
      </c>
    </row>
    <row r="101" ht="15.75" customHeight="1">
      <c r="A101" s="227"/>
      <c r="B101" s="222"/>
      <c r="C101" s="184" t="inlineStr">
        <is>
          <t xml:space="preserve">Posições Ocupadas</t>
        </is>
      </c>
      <c r="D101" s="185" t="str">
        <f>IFERROR(1/(1/INDEX(BD!$AK$45:$AT$45,MATCH($A$89,BD!$AK$22:$AT$22,0))),"")</f>
        <v/>
      </c>
      <c r="E101" s="186"/>
      <c r="F101" s="187" t="str">
        <f>IF(F$3="","",IF(COUNTIFS(BD!$A$3:$A$5001,F$3,BD!$B$3:$B$5001,$A$89,BD!$Y$3:$Y$5001,"&lt;&gt;")=0,"",SUMIFS(BD!$Y$3:$Y$5001,BD!$A$3:$A$5001,F$3,BD!$B$3:$B$5001,$A$89)))</f>
        <v/>
      </c>
      <c r="G101" s="188" t="str">
        <f>IF(G$3="","",IF(COUNTIFS(BD!$A$3:$A$5001,G$3,BD!$B$3:$B$5001,$A$89,BD!$Y$3:$Y$5001,"&lt;&gt;")=0,"",SUMIFS(BD!$Y$3:$Y$5001,BD!$A$3:$A$5001,G$3,BD!$B$3:$B$5001,$A$89)))</f>
        <v/>
      </c>
      <c r="H101" s="188" t="str">
        <f>IF(H$3="","",IF(COUNTIFS(BD!$A$3:$A$5001,H$3,BD!$B$3:$B$5001,$A$89,BD!$Y$3:$Y$5001,"&lt;&gt;")=0,"",SUMIFS(BD!$Y$3:$Y$5001,BD!$A$3:$A$5001,H$3,BD!$B$3:$B$5001,$A$89)))</f>
        <v/>
      </c>
      <c r="I101" s="188" t="str">
        <f>IF(I$3="","",IF(COUNTIFS(BD!$A$3:$A$5001,I$3,BD!$B$3:$B$5001,$A$89,BD!$Y$3:$Y$5001,"&lt;&gt;")=0,"",SUMIFS(BD!$Y$3:$Y$5001,BD!$A$3:$A$5001,I$3,BD!$B$3:$B$5001,$A$89)))</f>
        <v/>
      </c>
      <c r="J101" s="188" t="str">
        <f>IF(J$3="","",IF(COUNTIFS(BD!$A$3:$A$5001,J$3,BD!$B$3:$B$5001,$A$89,BD!$Y$3:$Y$5001,"&lt;&gt;")=0,"",SUMIFS(BD!$Y$3:$Y$5001,BD!$A$3:$A$5001,J$3,BD!$B$3:$B$5001,$A$89)))</f>
        <v/>
      </c>
      <c r="K101" s="188" t="str">
        <f>IF(K$3="","",IF(COUNTIFS(BD!$A$3:$A$5001,K$3,BD!$B$3:$B$5001,$A$89,BD!$Y$3:$Y$5001,"&lt;&gt;")=0,"",SUMIFS(BD!$Y$3:$Y$5001,BD!$A$3:$A$5001,K$3,BD!$B$3:$B$5001,$A$89)))</f>
        <v/>
      </c>
      <c r="L101" s="188" t="str">
        <f>IF(L$3="","",IF(COUNTIFS(BD!$A$3:$A$5001,L$3,BD!$B$3:$B$5001,$A$89,BD!$Y$3:$Y$5001,"&lt;&gt;")=0,"",SUMIFS(BD!$Y$3:$Y$5001,BD!$A$3:$A$5001,L$3,BD!$B$3:$B$5001,$A$89)))</f>
        <v/>
      </c>
      <c r="M101" s="188" t="str">
        <f>IF(M$3="","",IF(COUNTIFS(BD!$A$3:$A$5001,M$3,BD!$B$3:$B$5001,$A$89,BD!$Y$3:$Y$5001,"&lt;&gt;")=0,"",SUMIFS(BD!$Y$3:$Y$5001,BD!$A$3:$A$5001,M$3,BD!$B$3:$B$5001,$A$89)))</f>
        <v/>
      </c>
      <c r="N101" s="188" t="str">
        <f>IF(N$3="","",IF(COUNTIFS(BD!$A$3:$A$5001,N$3,BD!$B$3:$B$5001,$A$89,BD!$Y$3:$Y$5001,"&lt;&gt;")=0,"",SUMIFS(BD!$Y$3:$Y$5001,BD!$A$3:$A$5001,N$3,BD!$B$3:$B$5001,$A$89)))</f>
        <v/>
      </c>
      <c r="O101" s="188" t="str">
        <f>IF(O$3="","",IF(COUNTIFS(BD!$A$3:$A$5001,O$3,BD!$B$3:$B$5001,$A$89,BD!$Y$3:$Y$5001,"&lt;&gt;")=0,"",SUMIFS(BD!$Y$3:$Y$5001,BD!$A$3:$A$5001,O$3,BD!$B$3:$B$5001,$A$89)))</f>
        <v/>
      </c>
      <c r="P101" s="188" t="str">
        <f>IF(P$3="","",IF(COUNTIFS(BD!$A$3:$A$5001,P$3,BD!$B$3:$B$5001,$A$89,BD!$Y$3:$Y$5001,"&lt;&gt;")=0,"",SUMIFS(BD!$Y$3:$Y$5001,BD!$A$3:$A$5001,P$3,BD!$B$3:$B$5001,$A$89)))</f>
        <v/>
      </c>
      <c r="Q101" s="188" t="str">
        <f>IF(Q$3="","",IF(COUNTIFS(BD!$A$3:$A$5001,Q$3,BD!$B$3:$B$5001,$A$89,BD!$Y$3:$Y$5001,"&lt;&gt;")=0,"",SUMIFS(BD!$Y$3:$Y$5001,BD!$A$3:$A$5001,Q$3,BD!$B$3:$B$5001,$A$89)))</f>
        <v/>
      </c>
      <c r="R101" s="188" t="str">
        <f>IF(R$3="","",IF(COUNTIFS(BD!$A$3:$A$5001,R$3,BD!$B$3:$B$5001,$A$89,BD!$Y$3:$Y$5001,"&lt;&gt;")=0,"",SUMIFS(BD!$Y$3:$Y$5001,BD!$A$3:$A$5001,R$3,BD!$B$3:$B$5001,$A$89)))</f>
        <v/>
      </c>
      <c r="S101" s="188" t="str">
        <f>IF(S$3="","",IF(COUNTIFS(BD!$A$3:$A$5001,S$3,BD!$B$3:$B$5001,$A$89,BD!$Y$3:$Y$5001,"&lt;&gt;")=0,"",SUMIFS(BD!$Y$3:$Y$5001,BD!$A$3:$A$5001,S$3,BD!$B$3:$B$5001,$A$89)))</f>
        <v/>
      </c>
      <c r="T101" s="188" t="str">
        <f>IF(T$3="","",IF(COUNTIFS(BD!$A$3:$A$5001,T$3,BD!$B$3:$B$5001,$A$89,BD!$Y$3:$Y$5001,"&lt;&gt;")=0,"",SUMIFS(BD!$Y$3:$Y$5001,BD!$A$3:$A$5001,T$3,BD!$B$3:$B$5001,$A$89)))</f>
        <v/>
      </c>
      <c r="U101" s="188" t="str">
        <f>IF(U$3="","",IF(COUNTIFS(BD!$A$3:$A$5001,U$3,BD!$B$3:$B$5001,$A$89,BD!$Y$3:$Y$5001,"&lt;&gt;")=0,"",SUMIFS(BD!$Y$3:$Y$5001,BD!$A$3:$A$5001,U$3,BD!$B$3:$B$5001,$A$89)))</f>
        <v/>
      </c>
      <c r="V101" s="188" t="str">
        <f>IF(V$3="","",IF(COUNTIFS(BD!$A$3:$A$5001,V$3,BD!$B$3:$B$5001,$A$89,BD!$Y$3:$Y$5001,"&lt;&gt;")=0,"",SUMIFS(BD!$Y$3:$Y$5001,BD!$A$3:$A$5001,V$3,BD!$B$3:$B$5001,$A$89)))</f>
        <v/>
      </c>
      <c r="W101" s="188" t="str">
        <f>IF(W$3="","",IF(COUNTIFS(BD!$A$3:$A$5001,W$3,BD!$B$3:$B$5001,$A$89,BD!$Y$3:$Y$5001,"&lt;&gt;")=0,"",SUMIFS(BD!$Y$3:$Y$5001,BD!$A$3:$A$5001,W$3,BD!$B$3:$B$5001,$A$89)))</f>
        <v/>
      </c>
      <c r="X101" s="188" t="str">
        <f>IF(X$3="","",IF(COUNTIFS(BD!$A$3:$A$5001,X$3,BD!$B$3:$B$5001,$A$89,BD!$Y$3:$Y$5001,"&lt;&gt;")=0,"",SUMIFS(BD!$Y$3:$Y$5001,BD!$A$3:$A$5001,X$3,BD!$B$3:$B$5001,$A$89)))</f>
        <v/>
      </c>
      <c r="Y101" s="188" t="str">
        <f>IF(Y$3="","",IF(COUNTIFS(BD!$A$3:$A$5001,Y$3,BD!$B$3:$B$5001,$A$89,BD!$Y$3:$Y$5001,"&lt;&gt;")=0,"",SUMIFS(BD!$Y$3:$Y$5001,BD!$A$3:$A$5001,Y$3,BD!$B$3:$B$5001,$A$89)))</f>
        <v/>
      </c>
      <c r="Z101" s="188" t="str">
        <f>IF(Z$3="","",IF(COUNTIFS(BD!$A$3:$A$5001,Z$3,BD!$B$3:$B$5001,$A$89,BD!$Y$3:$Y$5001,"&lt;&gt;")=0,"",SUMIFS(BD!$Y$3:$Y$5001,BD!$A$3:$A$5001,Z$3,BD!$B$3:$B$5001,$A$89)))</f>
        <v/>
      </c>
      <c r="AA101" s="188" t="str">
        <f>IF(AA$3="","",IF(COUNTIFS(BD!$A$3:$A$5001,AA$3,BD!$B$3:$B$5001,$A$89,BD!$Y$3:$Y$5001,"&lt;&gt;")=0,"",SUMIFS(BD!$Y$3:$Y$5001,BD!$A$3:$A$5001,AA$3,BD!$B$3:$B$5001,$A$89)))</f>
        <v/>
      </c>
      <c r="AB101" s="188" t="str">
        <f>IF(AB$3="","",IF(COUNTIFS(BD!$A$3:$A$5001,AB$3,BD!$B$3:$B$5001,$A$89,BD!$Y$3:$Y$5001,"&lt;&gt;")=0,"",SUMIFS(BD!$Y$3:$Y$5001,BD!$A$3:$A$5001,AB$3,BD!$B$3:$B$5001,$A$89)))</f>
        <v/>
      </c>
      <c r="AC101" s="188" t="str">
        <f>IF(AC$3="","",IF(COUNTIFS(BD!$A$3:$A$5001,AC$3,BD!$B$3:$B$5001,$A$89,BD!$Y$3:$Y$5001,"&lt;&gt;")=0,"",SUMIFS(BD!$Y$3:$Y$5001,BD!$A$3:$A$5001,AC$3,BD!$B$3:$B$5001,$A$89)))</f>
        <v/>
      </c>
      <c r="AD101" s="188" t="str">
        <f>IF(AD$3="","",IF(COUNTIFS(BD!$A$3:$A$5001,AD$3,BD!$B$3:$B$5001,$A$89,BD!$Y$3:$Y$5001,"&lt;&gt;")=0,"",SUMIFS(BD!$Y$3:$Y$5001,BD!$A$3:$A$5001,AD$3,BD!$B$3:$B$5001,$A$89)))</f>
        <v/>
      </c>
      <c r="AE101" s="188" t="str">
        <f>IF(AE$3="","",IF(COUNTIFS(BD!$A$3:$A$5001,AE$3,BD!$B$3:$B$5001,$A$89,BD!$Y$3:$Y$5001,"&lt;&gt;")=0,"",SUMIFS(BD!$Y$3:$Y$5001,BD!$A$3:$A$5001,AE$3,BD!$B$3:$B$5001,$A$89)))</f>
        <v/>
      </c>
      <c r="AF101" s="188" t="str">
        <f>IF(AF$3="","",IF(COUNTIFS(BD!$A$3:$A$5001,AF$3,BD!$B$3:$B$5001,$A$89,BD!$Y$3:$Y$5001,"&lt;&gt;")=0,"",SUMIFS(BD!$Y$3:$Y$5001,BD!$A$3:$A$5001,AF$3,BD!$B$3:$B$5001,$A$89)))</f>
        <v/>
      </c>
      <c r="AG101" s="188" t="str">
        <f>IF(AG$3="","",IF(COUNTIFS(BD!$A$3:$A$5001,AG$3,BD!$B$3:$B$5001,$A$89,BD!$Y$3:$Y$5001,"&lt;&gt;")=0,"",SUMIFS(BD!$Y$3:$Y$5001,BD!$A$3:$A$5001,AG$3,BD!$B$3:$B$5001,$A$89)))</f>
        <v/>
      </c>
      <c r="AH101" s="188" t="str">
        <f>IF(AH$3="","",IF(COUNTIFS(BD!$A$3:$A$5001,AH$3,BD!$B$3:$B$5001,$A$89,BD!$Y$3:$Y$5001,"&lt;&gt;")=0,"",SUMIFS(BD!$Y$3:$Y$5001,BD!$A$3:$A$5001,AH$3,BD!$B$3:$B$5001,$A$89)))</f>
        <v/>
      </c>
      <c r="AI101" s="188" t="str">
        <f>IF(AI$3="","",IF(COUNTIFS(BD!$A$3:$A$5001,AI$3,BD!$B$3:$B$5001,$A$89,BD!$Y$3:$Y$5001,"&lt;&gt;")=0,"",SUMIFS(BD!$Y$3:$Y$5001,BD!$A$3:$A$5001,AI$3,BD!$B$3:$B$5001,$A$89)))</f>
        <v/>
      </c>
      <c r="AJ101" s="189" t="str">
        <f>IF(AJ$3="","",IF(COUNTIFS(BD!$A$3:$A$5001,AJ$3,BD!$B$3:$B$5001,$A$89,BD!$Y$3:$Y$5001,"&lt;&gt;")=0,"",SUMIFS(BD!$Y$3:$Y$5001,BD!$A$3:$A$5001,AJ$3,BD!$B$3:$B$5001,$A$89)))</f>
        <v/>
      </c>
      <c r="AK101" s="190" t="str">
        <f>IFERROR(LOOKUP(9.99E+307,F101:AJ101),"")</f>
        <v/>
      </c>
    </row>
    <row r="102" ht="15.75" customHeight="1">
      <c r="A102" s="227"/>
      <c r="B102" s="216"/>
      <c r="C102" s="145" t="inlineStr">
        <is>
          <t xml:space="preserve">Taxa de Ocupação</t>
        </is>
      </c>
      <c r="D102" s="191" t="str">
        <f>IFERROR(1/(1/INDEX(BD!$AK$46:$AT$46,MATCH($A$89,BD!$AK$22:$AT$22,0))),"")</f>
        <v/>
      </c>
      <c r="E102" s="147"/>
      <c r="F102" s="192" t="str">
        <f>IF(AND(ISNUMBER(F100),ISNUMBER(F101)),IF(F100&gt;0,F101/F100,""),"")</f>
        <v/>
      </c>
      <c r="G102" s="193" t="str">
        <f>IF(AND(ISNUMBER(G100),ISNUMBER(G101)),IF(G100&gt;0,G101/G100,""),"")</f>
        <v/>
      </c>
      <c r="H102" s="193" t="str">
        <f>IF(AND(ISNUMBER(H100),ISNUMBER(H101)),IF(H100&gt;0,H101/H100,""),"")</f>
        <v/>
      </c>
      <c r="I102" s="193" t="str">
        <f>IF(AND(ISNUMBER(I100),ISNUMBER(I101)),IF(I100&gt;0,I101/I100,""),"")</f>
        <v/>
      </c>
      <c r="J102" s="193" t="str">
        <f>IF(AND(ISNUMBER(J100),ISNUMBER(J101)),IF(J100&gt;0,J101/J100,""),"")</f>
        <v/>
      </c>
      <c r="K102" s="193" t="str">
        <f>IF(AND(ISNUMBER(K100),ISNUMBER(K101)),IF(K100&gt;0,K101/K100,""),"")</f>
        <v/>
      </c>
      <c r="L102" s="193" t="str">
        <f>IF(AND(ISNUMBER(L100),ISNUMBER(L101)),IF(L100&gt;0,L101/L100,""),"")</f>
        <v/>
      </c>
      <c r="M102" s="193" t="str">
        <f>IF(AND(ISNUMBER(M100),ISNUMBER(M101)),IF(M100&gt;0,M101/M100,""),"")</f>
        <v/>
      </c>
      <c r="N102" s="193" t="str">
        <f>IF(AND(ISNUMBER(N100),ISNUMBER(N101)),IF(N100&gt;0,N101/N100,""),"")</f>
        <v/>
      </c>
      <c r="O102" s="193" t="str">
        <f>IF(AND(ISNUMBER(O100),ISNUMBER(O101)),IF(O100&gt;0,O101/O100,""),"")</f>
        <v/>
      </c>
      <c r="P102" s="193" t="str">
        <f>IF(AND(ISNUMBER(P100),ISNUMBER(P101)),IF(P100&gt;0,P101/P100,""),"")</f>
        <v/>
      </c>
      <c r="Q102" s="193" t="str">
        <f>IF(AND(ISNUMBER(Q100),ISNUMBER(Q101)),IF(Q100&gt;0,Q101/Q100,""),"")</f>
        <v/>
      </c>
      <c r="R102" s="193" t="str">
        <f>IF(AND(ISNUMBER(R100),ISNUMBER(R101)),IF(R100&gt;0,R101/R100,""),"")</f>
        <v/>
      </c>
      <c r="S102" s="193" t="str">
        <f>IF(AND(ISNUMBER(S100),ISNUMBER(S101)),IF(S100&gt;0,S101/S100,""),"")</f>
        <v/>
      </c>
      <c r="T102" s="193" t="str">
        <f>IF(AND(ISNUMBER(T100),ISNUMBER(T101)),IF(T100&gt;0,T101/T100,""),"")</f>
        <v/>
      </c>
      <c r="U102" s="193" t="str">
        <f>IF(AND(ISNUMBER(U100),ISNUMBER(U101)),IF(U100&gt;0,U101/U100,""),"")</f>
        <v/>
      </c>
      <c r="V102" s="193" t="str">
        <f>IF(AND(ISNUMBER(V100),ISNUMBER(V101)),IF(V100&gt;0,V101/V100,""),"")</f>
        <v/>
      </c>
      <c r="W102" s="193" t="str">
        <f>IF(AND(ISNUMBER(W100),ISNUMBER(W101)),IF(W100&gt;0,W101/W100,""),"")</f>
        <v/>
      </c>
      <c r="X102" s="193" t="str">
        <f>IF(AND(ISNUMBER(X100),ISNUMBER(X101)),IF(X100&gt;0,X101/X100,""),"")</f>
        <v/>
      </c>
      <c r="Y102" s="193" t="str">
        <f>IF(AND(ISNUMBER(Y100),ISNUMBER(Y101)),IF(Y100&gt;0,Y101/Y100,""),"")</f>
        <v/>
      </c>
      <c r="Z102" s="193" t="str">
        <f>IF(AND(ISNUMBER(Z100),ISNUMBER(Z101)),IF(Z100&gt;0,Z101/Z100,""),"")</f>
        <v/>
      </c>
      <c r="AA102" s="193" t="str">
        <f>IF(AND(ISNUMBER(AA100),ISNUMBER(AA101)),IF(AA100&gt;0,AA101/AA100,""),"")</f>
        <v/>
      </c>
      <c r="AB102" s="193" t="str">
        <f>IF(AND(ISNUMBER(AB100),ISNUMBER(AB101)),IF(AB100&gt;0,AB101/AB100,""),"")</f>
        <v/>
      </c>
      <c r="AC102" s="193" t="str">
        <f>IF(AND(ISNUMBER(AC100),ISNUMBER(AC101)),IF(AC100&gt;0,AC101/AC100,""),"")</f>
        <v/>
      </c>
      <c r="AD102" s="193" t="str">
        <f>IF(AND(ISNUMBER(AD100),ISNUMBER(AD101)),IF(AD100&gt;0,AD101/AD100,""),"")</f>
        <v/>
      </c>
      <c r="AE102" s="193" t="str">
        <f>IF(AND(ISNUMBER(AE100),ISNUMBER(AE101)),IF(AE100&gt;0,AE101/AE100,""),"")</f>
        <v/>
      </c>
      <c r="AF102" s="193" t="str">
        <f>IF(AND(ISNUMBER(AF100),ISNUMBER(AF101)),IF(AF100&gt;0,AF101/AF100,""),"")</f>
        <v/>
      </c>
      <c r="AG102" s="193" t="str">
        <f>IF(AND(ISNUMBER(AG100),ISNUMBER(AG101)),IF(AG100&gt;0,AG101/AG100,""),"")</f>
        <v/>
      </c>
      <c r="AH102" s="193" t="str">
        <f>IF(AND(ISNUMBER(AH100),ISNUMBER(AH101)),IF(AH100&gt;0,AH101/AH100,""),"")</f>
        <v/>
      </c>
      <c r="AI102" s="193" t="str">
        <f>IF(AND(ISNUMBER(AI100),ISNUMBER(AI101)),IF(AI100&gt;0,AI101/AI100,""),"")</f>
        <v/>
      </c>
      <c r="AJ102" s="194" t="str">
        <f>IF(AND(ISNUMBER(AJ100),ISNUMBER(AJ101)),IF(AJ100&gt;0,AJ101/AJ100,""),"")</f>
        <v/>
      </c>
      <c r="AK102" s="191" t="str">
        <f>IF(AND(ISNUMBER(AK100),ISNUMBER(AK101)),IF(AK100&gt;0,AK101/AK100,""),"")</f>
        <v/>
      </c>
    </row>
    <row r="103" ht="15.75" customHeight="1">
      <c r="A103" s="227"/>
      <c r="B103" s="223" t="inlineStr">
        <is>
          <t xml:space="preserve">GENTE</t>
        </is>
      </c>
      <c r="C103" s="195" t="inlineStr">
        <is>
          <t xml:space="preserve">Efetivo Op.</t>
        </is>
      </c>
      <c r="D103" s="196" t="str">
        <f>IFERROR(1/(1/INDEX(BD!$AK$47:$AT$47,MATCH($A$89,BD!$AK$22:$AT$22,0))),"")</f>
        <v/>
      </c>
      <c r="E103" s="197"/>
      <c r="F103" s="198" t="str">
        <f>IF(F$3="","",IF(COUNTIFS(BD!$A$3:$A$5001,F$3,BD!$B$3:$B$5001,$A$89,BD!$Z$3:$Z$5001,"&lt;&gt;")=0,"",SUMIFS(BD!$Z$3:$Z$5001,BD!$A$3:$A$5001,F$3,BD!$B$3:$B$5001,$A$89)))</f>
        <v/>
      </c>
      <c r="G103" s="199" t="str">
        <f>IF(G$3="","",IF(COUNTIFS(BD!$A$3:$A$5001,G$3,BD!$B$3:$B$5001,$A$89,BD!$Z$3:$Z$5001,"&lt;&gt;")=0,"",SUMIFS(BD!$Z$3:$Z$5001,BD!$A$3:$A$5001,G$3,BD!$B$3:$B$5001,$A$89)))</f>
        <v/>
      </c>
      <c r="H103" s="199" t="str">
        <f>IF(H$3="","",IF(COUNTIFS(BD!$A$3:$A$5001,H$3,BD!$B$3:$B$5001,$A$89,BD!$Z$3:$Z$5001,"&lt;&gt;")=0,"",SUMIFS(BD!$Z$3:$Z$5001,BD!$A$3:$A$5001,H$3,BD!$B$3:$B$5001,$A$89)))</f>
        <v/>
      </c>
      <c r="I103" s="199" t="str">
        <f>IF(I$3="","",IF(COUNTIFS(BD!$A$3:$A$5001,I$3,BD!$B$3:$B$5001,$A$89,BD!$Z$3:$Z$5001,"&lt;&gt;")=0,"",SUMIFS(BD!$Z$3:$Z$5001,BD!$A$3:$A$5001,I$3,BD!$B$3:$B$5001,$A$89)))</f>
        <v/>
      </c>
      <c r="J103" s="199" t="str">
        <f>IF(J$3="","",IF(COUNTIFS(BD!$A$3:$A$5001,J$3,BD!$B$3:$B$5001,$A$89,BD!$Z$3:$Z$5001,"&lt;&gt;")=0,"",SUMIFS(BD!$Z$3:$Z$5001,BD!$A$3:$A$5001,J$3,BD!$B$3:$B$5001,$A$89)))</f>
        <v/>
      </c>
      <c r="K103" s="199" t="str">
        <f>IF(K$3="","",IF(COUNTIFS(BD!$A$3:$A$5001,K$3,BD!$B$3:$B$5001,$A$89,BD!$Z$3:$Z$5001,"&lt;&gt;")=0,"",SUMIFS(BD!$Z$3:$Z$5001,BD!$A$3:$A$5001,K$3,BD!$B$3:$B$5001,$A$89)))</f>
        <v/>
      </c>
      <c r="L103" s="199" t="str">
        <f>IF(L$3="","",IF(COUNTIFS(BD!$A$3:$A$5001,L$3,BD!$B$3:$B$5001,$A$89,BD!$Z$3:$Z$5001,"&lt;&gt;")=0,"",SUMIFS(BD!$Z$3:$Z$5001,BD!$A$3:$A$5001,L$3,BD!$B$3:$B$5001,$A$89)))</f>
        <v/>
      </c>
      <c r="M103" s="199" t="str">
        <f>IF(M$3="","",IF(COUNTIFS(BD!$A$3:$A$5001,M$3,BD!$B$3:$B$5001,$A$89,BD!$Z$3:$Z$5001,"&lt;&gt;")=0,"",SUMIFS(BD!$Z$3:$Z$5001,BD!$A$3:$A$5001,M$3,BD!$B$3:$B$5001,$A$89)))</f>
        <v/>
      </c>
      <c r="N103" s="199" t="str">
        <f>IF(N$3="","",IF(COUNTIFS(BD!$A$3:$A$5001,N$3,BD!$B$3:$B$5001,$A$89,BD!$Z$3:$Z$5001,"&lt;&gt;")=0,"",SUMIFS(BD!$Z$3:$Z$5001,BD!$A$3:$A$5001,N$3,BD!$B$3:$B$5001,$A$89)))</f>
        <v/>
      </c>
      <c r="O103" s="199" t="str">
        <f>IF(O$3="","",IF(COUNTIFS(BD!$A$3:$A$5001,O$3,BD!$B$3:$B$5001,$A$89,BD!$Z$3:$Z$5001,"&lt;&gt;")=0,"",SUMIFS(BD!$Z$3:$Z$5001,BD!$A$3:$A$5001,O$3,BD!$B$3:$B$5001,$A$89)))</f>
        <v/>
      </c>
      <c r="P103" s="199" t="str">
        <f>IF(P$3="","",IF(COUNTIFS(BD!$A$3:$A$5001,P$3,BD!$B$3:$B$5001,$A$89,BD!$Z$3:$Z$5001,"&lt;&gt;")=0,"",SUMIFS(BD!$Z$3:$Z$5001,BD!$A$3:$A$5001,P$3,BD!$B$3:$B$5001,$A$89)))</f>
        <v/>
      </c>
      <c r="Q103" s="199" t="str">
        <f>IF(Q$3="","",IF(COUNTIFS(BD!$A$3:$A$5001,Q$3,BD!$B$3:$B$5001,$A$89,BD!$Z$3:$Z$5001,"&lt;&gt;")=0,"",SUMIFS(BD!$Z$3:$Z$5001,BD!$A$3:$A$5001,Q$3,BD!$B$3:$B$5001,$A$89)))</f>
        <v/>
      </c>
      <c r="R103" s="199" t="str">
        <f>IF(R$3="","",IF(COUNTIFS(BD!$A$3:$A$5001,R$3,BD!$B$3:$B$5001,$A$89,BD!$Z$3:$Z$5001,"&lt;&gt;")=0,"",SUMIFS(BD!$Z$3:$Z$5001,BD!$A$3:$A$5001,R$3,BD!$B$3:$B$5001,$A$89)))</f>
        <v/>
      </c>
      <c r="S103" s="199" t="str">
        <f>IF(S$3="","",IF(COUNTIFS(BD!$A$3:$A$5001,S$3,BD!$B$3:$B$5001,$A$89,BD!$Z$3:$Z$5001,"&lt;&gt;")=0,"",SUMIFS(BD!$Z$3:$Z$5001,BD!$A$3:$A$5001,S$3,BD!$B$3:$B$5001,$A$89)))</f>
        <v/>
      </c>
      <c r="T103" s="199" t="str">
        <f>IF(T$3="","",IF(COUNTIFS(BD!$A$3:$A$5001,T$3,BD!$B$3:$B$5001,$A$89,BD!$Z$3:$Z$5001,"&lt;&gt;")=0,"",SUMIFS(BD!$Z$3:$Z$5001,BD!$A$3:$A$5001,T$3,BD!$B$3:$B$5001,$A$89)))</f>
        <v/>
      </c>
      <c r="U103" s="199" t="str">
        <f>IF(U$3="","",IF(COUNTIFS(BD!$A$3:$A$5001,U$3,BD!$B$3:$B$5001,$A$89,BD!$Z$3:$Z$5001,"&lt;&gt;")=0,"",SUMIFS(BD!$Z$3:$Z$5001,BD!$A$3:$A$5001,U$3,BD!$B$3:$B$5001,$A$89)))</f>
        <v/>
      </c>
      <c r="V103" s="199" t="str">
        <f>IF(V$3="","",IF(COUNTIFS(BD!$A$3:$A$5001,V$3,BD!$B$3:$B$5001,$A$89,BD!$Z$3:$Z$5001,"&lt;&gt;")=0,"",SUMIFS(BD!$Z$3:$Z$5001,BD!$A$3:$A$5001,V$3,BD!$B$3:$B$5001,$A$89)))</f>
        <v/>
      </c>
      <c r="W103" s="199" t="str">
        <f>IF(W$3="","",IF(COUNTIFS(BD!$A$3:$A$5001,W$3,BD!$B$3:$B$5001,$A$89,BD!$Z$3:$Z$5001,"&lt;&gt;")=0,"",SUMIFS(BD!$Z$3:$Z$5001,BD!$A$3:$A$5001,W$3,BD!$B$3:$B$5001,$A$89)))</f>
        <v/>
      </c>
      <c r="X103" s="199" t="str">
        <f>IF(X$3="","",IF(COUNTIFS(BD!$A$3:$A$5001,X$3,BD!$B$3:$B$5001,$A$89,BD!$Z$3:$Z$5001,"&lt;&gt;")=0,"",SUMIFS(BD!$Z$3:$Z$5001,BD!$A$3:$A$5001,X$3,BD!$B$3:$B$5001,$A$89)))</f>
        <v/>
      </c>
      <c r="Y103" s="199" t="str">
        <f>IF(Y$3="","",IF(COUNTIFS(BD!$A$3:$A$5001,Y$3,BD!$B$3:$B$5001,$A$89,BD!$Z$3:$Z$5001,"&lt;&gt;")=0,"",SUMIFS(BD!$Z$3:$Z$5001,BD!$A$3:$A$5001,Y$3,BD!$B$3:$B$5001,$A$89)))</f>
        <v/>
      </c>
      <c r="Z103" s="199" t="str">
        <f>IF(Z$3="","",IF(COUNTIFS(BD!$A$3:$A$5001,Z$3,BD!$B$3:$B$5001,$A$89,BD!$Z$3:$Z$5001,"&lt;&gt;")=0,"",SUMIFS(BD!$Z$3:$Z$5001,BD!$A$3:$A$5001,Z$3,BD!$B$3:$B$5001,$A$89)))</f>
        <v/>
      </c>
      <c r="AA103" s="199" t="str">
        <f>IF(AA$3="","",IF(COUNTIFS(BD!$A$3:$A$5001,AA$3,BD!$B$3:$B$5001,$A$89,BD!$Z$3:$Z$5001,"&lt;&gt;")=0,"",SUMIFS(BD!$Z$3:$Z$5001,BD!$A$3:$A$5001,AA$3,BD!$B$3:$B$5001,$A$89)))</f>
        <v/>
      </c>
      <c r="AB103" s="199" t="str">
        <f>IF(AB$3="","",IF(COUNTIFS(BD!$A$3:$A$5001,AB$3,BD!$B$3:$B$5001,$A$89,BD!$Z$3:$Z$5001,"&lt;&gt;")=0,"",SUMIFS(BD!$Z$3:$Z$5001,BD!$A$3:$A$5001,AB$3,BD!$B$3:$B$5001,$A$89)))</f>
        <v/>
      </c>
      <c r="AC103" s="199" t="str">
        <f>IF(AC$3="","",IF(COUNTIFS(BD!$A$3:$A$5001,AC$3,BD!$B$3:$B$5001,$A$89,BD!$Z$3:$Z$5001,"&lt;&gt;")=0,"",SUMIFS(BD!$Z$3:$Z$5001,BD!$A$3:$A$5001,AC$3,BD!$B$3:$B$5001,$A$89)))</f>
        <v/>
      </c>
      <c r="AD103" s="199" t="str">
        <f>IF(AD$3="","",IF(COUNTIFS(BD!$A$3:$A$5001,AD$3,BD!$B$3:$B$5001,$A$89,BD!$Z$3:$Z$5001,"&lt;&gt;")=0,"",SUMIFS(BD!$Z$3:$Z$5001,BD!$A$3:$A$5001,AD$3,BD!$B$3:$B$5001,$A$89)))</f>
        <v/>
      </c>
      <c r="AE103" s="199" t="str">
        <f>IF(AE$3="","",IF(COUNTIFS(BD!$A$3:$A$5001,AE$3,BD!$B$3:$B$5001,$A$89,BD!$Z$3:$Z$5001,"&lt;&gt;")=0,"",SUMIFS(BD!$Z$3:$Z$5001,BD!$A$3:$A$5001,AE$3,BD!$B$3:$B$5001,$A$89)))</f>
        <v/>
      </c>
      <c r="AF103" s="199" t="str">
        <f>IF(AF$3="","",IF(COUNTIFS(BD!$A$3:$A$5001,AF$3,BD!$B$3:$B$5001,$A$89,BD!$Z$3:$Z$5001,"&lt;&gt;")=0,"",SUMIFS(BD!$Z$3:$Z$5001,BD!$A$3:$A$5001,AF$3,BD!$B$3:$B$5001,$A$89)))</f>
        <v/>
      </c>
      <c r="AG103" s="199" t="str">
        <f>IF(AG$3="","",IF(COUNTIFS(BD!$A$3:$A$5001,AG$3,BD!$B$3:$B$5001,$A$89,BD!$Z$3:$Z$5001,"&lt;&gt;")=0,"",SUMIFS(BD!$Z$3:$Z$5001,BD!$A$3:$A$5001,AG$3,BD!$B$3:$B$5001,$A$89)))</f>
        <v/>
      </c>
      <c r="AH103" s="199" t="str">
        <f>IF(AH$3="","",IF(COUNTIFS(BD!$A$3:$A$5001,AH$3,BD!$B$3:$B$5001,$A$89,BD!$Z$3:$Z$5001,"&lt;&gt;")=0,"",SUMIFS(BD!$Z$3:$Z$5001,BD!$A$3:$A$5001,AH$3,BD!$B$3:$B$5001,$A$89)))</f>
        <v/>
      </c>
      <c r="AI103" s="199" t="str">
        <f>IF(AI$3="","",IF(COUNTIFS(BD!$A$3:$A$5001,AI$3,BD!$B$3:$B$5001,$A$89,BD!$Z$3:$Z$5001,"&lt;&gt;")=0,"",SUMIFS(BD!$Z$3:$Z$5001,BD!$A$3:$A$5001,AI$3,BD!$B$3:$B$5001,$A$89)))</f>
        <v/>
      </c>
      <c r="AJ103" s="200" t="str">
        <f>IF(AJ$3="","",IF(COUNTIFS(BD!$A$3:$A$5001,AJ$3,BD!$B$3:$B$5001,$A$89,BD!$Z$3:$Z$5001,"&lt;&gt;")=0,"",SUMIFS(BD!$Z$3:$Z$5001,BD!$A$3:$A$5001,AJ$3,BD!$B$3:$B$5001,$A$89)))</f>
        <v/>
      </c>
      <c r="AK103" s="201" t="str">
        <f>IFERROR(LOOKUP(9.99E+307,F103:AJ103),"")</f>
        <v/>
      </c>
    </row>
    <row r="104" ht="15.75" customHeight="1">
      <c r="A104" s="227"/>
      <c r="B104" s="224"/>
      <c r="C104" s="202" t="inlineStr">
        <is>
          <t xml:space="preserve">Falta</t>
        </is>
      </c>
      <c r="D104" s="203" t="str">
        <f>IFERROR(1/(1/INDEX(BD!$AK$48:$AT$48,MATCH($A$89,BD!$AK$22:$AT$22,0))),"")</f>
        <v/>
      </c>
      <c r="E104" s="204"/>
      <c r="F104" s="205" t="str">
        <f>IF(F$3="","",IF(COUNTIFS(BD!$A$3:$A$5001,F$3,BD!$B$3:$B$5001,$A$89,BD!$AA$3:$AA$5001,"&lt;&gt;")=0,"",SUMIFS(BD!$AA$3:$AA$5001,BD!$A$3:$A$5001,F$3,BD!$B$3:$B$5001,$A$89)))</f>
        <v/>
      </c>
      <c r="G104" s="206" t="str">
        <f>IF(G$3="","",IF(COUNTIFS(BD!$A$3:$A$5001,G$3,BD!$B$3:$B$5001,$A$89,BD!$AA$3:$AA$5001,"&lt;&gt;")=0,"",SUMIFS(BD!$AA$3:$AA$5001,BD!$A$3:$A$5001,G$3,BD!$B$3:$B$5001,$A$89)))</f>
        <v/>
      </c>
      <c r="H104" s="206" t="str">
        <f>IF(H$3="","",IF(COUNTIFS(BD!$A$3:$A$5001,H$3,BD!$B$3:$B$5001,$A$89,BD!$AA$3:$AA$5001,"&lt;&gt;")=0,"",SUMIFS(BD!$AA$3:$AA$5001,BD!$A$3:$A$5001,H$3,BD!$B$3:$B$5001,$A$89)))</f>
        <v/>
      </c>
      <c r="I104" s="206" t="str">
        <f>IF(I$3="","",IF(COUNTIFS(BD!$A$3:$A$5001,I$3,BD!$B$3:$B$5001,$A$89,BD!$AA$3:$AA$5001,"&lt;&gt;")=0,"",SUMIFS(BD!$AA$3:$AA$5001,BD!$A$3:$A$5001,I$3,BD!$B$3:$B$5001,$A$89)))</f>
        <v/>
      </c>
      <c r="J104" s="206" t="str">
        <f>IF(J$3="","",IF(COUNTIFS(BD!$A$3:$A$5001,J$3,BD!$B$3:$B$5001,$A$89,BD!$AA$3:$AA$5001,"&lt;&gt;")=0,"",SUMIFS(BD!$AA$3:$AA$5001,BD!$A$3:$A$5001,J$3,BD!$B$3:$B$5001,$A$89)))</f>
        <v/>
      </c>
      <c r="K104" s="206" t="str">
        <f>IF(K$3="","",IF(COUNTIFS(BD!$A$3:$A$5001,K$3,BD!$B$3:$B$5001,$A$89,BD!$AA$3:$AA$5001,"&lt;&gt;")=0,"",SUMIFS(BD!$AA$3:$AA$5001,BD!$A$3:$A$5001,K$3,BD!$B$3:$B$5001,$A$89)))</f>
        <v/>
      </c>
      <c r="L104" s="206" t="str">
        <f>IF(L$3="","",IF(COUNTIFS(BD!$A$3:$A$5001,L$3,BD!$B$3:$B$5001,$A$89,BD!$AA$3:$AA$5001,"&lt;&gt;")=0,"",SUMIFS(BD!$AA$3:$AA$5001,BD!$A$3:$A$5001,L$3,BD!$B$3:$B$5001,$A$89)))</f>
        <v/>
      </c>
      <c r="M104" s="206" t="str">
        <f>IF(M$3="","",IF(COUNTIFS(BD!$A$3:$A$5001,M$3,BD!$B$3:$B$5001,$A$89,BD!$AA$3:$AA$5001,"&lt;&gt;")=0,"",SUMIFS(BD!$AA$3:$AA$5001,BD!$A$3:$A$5001,M$3,BD!$B$3:$B$5001,$A$89)))</f>
        <v/>
      </c>
      <c r="N104" s="206" t="str">
        <f>IF(N$3="","",IF(COUNTIFS(BD!$A$3:$A$5001,N$3,BD!$B$3:$B$5001,$A$89,BD!$AA$3:$AA$5001,"&lt;&gt;")=0,"",SUMIFS(BD!$AA$3:$AA$5001,BD!$A$3:$A$5001,N$3,BD!$B$3:$B$5001,$A$89)))</f>
        <v/>
      </c>
      <c r="O104" s="206" t="str">
        <f>IF(O$3="","",IF(COUNTIFS(BD!$A$3:$A$5001,O$3,BD!$B$3:$B$5001,$A$89,BD!$AA$3:$AA$5001,"&lt;&gt;")=0,"",SUMIFS(BD!$AA$3:$AA$5001,BD!$A$3:$A$5001,O$3,BD!$B$3:$B$5001,$A$89)))</f>
        <v/>
      </c>
      <c r="P104" s="206" t="str">
        <f>IF(P$3="","",IF(COUNTIFS(BD!$A$3:$A$5001,P$3,BD!$B$3:$B$5001,$A$89,BD!$AA$3:$AA$5001,"&lt;&gt;")=0,"",SUMIFS(BD!$AA$3:$AA$5001,BD!$A$3:$A$5001,P$3,BD!$B$3:$B$5001,$A$89)))</f>
        <v/>
      </c>
      <c r="Q104" s="206" t="str">
        <f>IF(Q$3="","",IF(COUNTIFS(BD!$A$3:$A$5001,Q$3,BD!$B$3:$B$5001,$A$89,BD!$AA$3:$AA$5001,"&lt;&gt;")=0,"",SUMIFS(BD!$AA$3:$AA$5001,BD!$A$3:$A$5001,Q$3,BD!$B$3:$B$5001,$A$89)))</f>
        <v/>
      </c>
      <c r="R104" s="206" t="str">
        <f>IF(R$3="","",IF(COUNTIFS(BD!$A$3:$A$5001,R$3,BD!$B$3:$B$5001,$A$89,BD!$AA$3:$AA$5001,"&lt;&gt;")=0,"",SUMIFS(BD!$AA$3:$AA$5001,BD!$A$3:$A$5001,R$3,BD!$B$3:$B$5001,$A$89)))</f>
        <v/>
      </c>
      <c r="S104" s="206" t="str">
        <f>IF(S$3="","",IF(COUNTIFS(BD!$A$3:$A$5001,S$3,BD!$B$3:$B$5001,$A$89,BD!$AA$3:$AA$5001,"&lt;&gt;")=0,"",SUMIFS(BD!$AA$3:$AA$5001,BD!$A$3:$A$5001,S$3,BD!$B$3:$B$5001,$A$89)))</f>
        <v/>
      </c>
      <c r="T104" s="206" t="str">
        <f>IF(T$3="","",IF(COUNTIFS(BD!$A$3:$A$5001,T$3,BD!$B$3:$B$5001,$A$89,BD!$AA$3:$AA$5001,"&lt;&gt;")=0,"",SUMIFS(BD!$AA$3:$AA$5001,BD!$A$3:$A$5001,T$3,BD!$B$3:$B$5001,$A$89)))</f>
        <v/>
      </c>
      <c r="U104" s="206" t="str">
        <f>IF(U$3="","",IF(COUNTIFS(BD!$A$3:$A$5001,U$3,BD!$B$3:$B$5001,$A$89,BD!$AA$3:$AA$5001,"&lt;&gt;")=0,"",SUMIFS(BD!$AA$3:$AA$5001,BD!$A$3:$A$5001,U$3,BD!$B$3:$B$5001,$A$89)))</f>
        <v/>
      </c>
      <c r="V104" s="206" t="str">
        <f>IF(V$3="","",IF(COUNTIFS(BD!$A$3:$A$5001,V$3,BD!$B$3:$B$5001,$A$89,BD!$AA$3:$AA$5001,"&lt;&gt;")=0,"",SUMIFS(BD!$AA$3:$AA$5001,BD!$A$3:$A$5001,V$3,BD!$B$3:$B$5001,$A$89)))</f>
        <v/>
      </c>
      <c r="W104" s="206" t="str">
        <f>IF(W$3="","",IF(COUNTIFS(BD!$A$3:$A$5001,W$3,BD!$B$3:$B$5001,$A$89,BD!$AA$3:$AA$5001,"&lt;&gt;")=0,"",SUMIFS(BD!$AA$3:$AA$5001,BD!$A$3:$A$5001,W$3,BD!$B$3:$B$5001,$A$89)))</f>
        <v/>
      </c>
      <c r="X104" s="206" t="str">
        <f>IF(X$3="","",IF(COUNTIFS(BD!$A$3:$A$5001,X$3,BD!$B$3:$B$5001,$A$89,BD!$AA$3:$AA$5001,"&lt;&gt;")=0,"",SUMIFS(BD!$AA$3:$AA$5001,BD!$A$3:$A$5001,X$3,BD!$B$3:$B$5001,$A$89)))</f>
        <v/>
      </c>
      <c r="Y104" s="206" t="str">
        <f>IF(Y$3="","",IF(COUNTIFS(BD!$A$3:$A$5001,Y$3,BD!$B$3:$B$5001,$A$89,BD!$AA$3:$AA$5001,"&lt;&gt;")=0,"",SUMIFS(BD!$AA$3:$AA$5001,BD!$A$3:$A$5001,Y$3,BD!$B$3:$B$5001,$A$89)))</f>
        <v/>
      </c>
      <c r="Z104" s="206" t="str">
        <f>IF(Z$3="","",IF(COUNTIFS(BD!$A$3:$A$5001,Z$3,BD!$B$3:$B$5001,$A$89,BD!$AA$3:$AA$5001,"&lt;&gt;")=0,"",SUMIFS(BD!$AA$3:$AA$5001,BD!$A$3:$A$5001,Z$3,BD!$B$3:$B$5001,$A$89)))</f>
        <v/>
      </c>
      <c r="AA104" s="206" t="str">
        <f>IF(AA$3="","",IF(COUNTIFS(BD!$A$3:$A$5001,AA$3,BD!$B$3:$B$5001,$A$89,BD!$AA$3:$AA$5001,"&lt;&gt;")=0,"",SUMIFS(BD!$AA$3:$AA$5001,BD!$A$3:$A$5001,AA$3,BD!$B$3:$B$5001,$A$89)))</f>
        <v/>
      </c>
      <c r="AB104" s="206" t="str">
        <f>IF(AB$3="","",IF(COUNTIFS(BD!$A$3:$A$5001,AB$3,BD!$B$3:$B$5001,$A$89,BD!$AA$3:$AA$5001,"&lt;&gt;")=0,"",SUMIFS(BD!$AA$3:$AA$5001,BD!$A$3:$A$5001,AB$3,BD!$B$3:$B$5001,$A$89)))</f>
        <v/>
      </c>
      <c r="AC104" s="206" t="str">
        <f>IF(AC$3="","",IF(COUNTIFS(BD!$A$3:$A$5001,AC$3,BD!$B$3:$B$5001,$A$89,BD!$AA$3:$AA$5001,"&lt;&gt;")=0,"",SUMIFS(BD!$AA$3:$AA$5001,BD!$A$3:$A$5001,AC$3,BD!$B$3:$B$5001,$A$89)))</f>
        <v/>
      </c>
      <c r="AD104" s="206" t="str">
        <f>IF(AD$3="","",IF(COUNTIFS(BD!$A$3:$A$5001,AD$3,BD!$B$3:$B$5001,$A$89,BD!$AA$3:$AA$5001,"&lt;&gt;")=0,"",SUMIFS(BD!$AA$3:$AA$5001,BD!$A$3:$A$5001,AD$3,BD!$B$3:$B$5001,$A$89)))</f>
        <v/>
      </c>
      <c r="AE104" s="206" t="str">
        <f>IF(AE$3="","",IF(COUNTIFS(BD!$A$3:$A$5001,AE$3,BD!$B$3:$B$5001,$A$89,BD!$AA$3:$AA$5001,"&lt;&gt;")=0,"",SUMIFS(BD!$AA$3:$AA$5001,BD!$A$3:$A$5001,AE$3,BD!$B$3:$B$5001,$A$89)))</f>
        <v/>
      </c>
      <c r="AF104" s="206" t="str">
        <f>IF(AF$3="","",IF(COUNTIFS(BD!$A$3:$A$5001,AF$3,BD!$B$3:$B$5001,$A$89,BD!$AA$3:$AA$5001,"&lt;&gt;")=0,"",SUMIFS(BD!$AA$3:$AA$5001,BD!$A$3:$A$5001,AF$3,BD!$B$3:$B$5001,$A$89)))</f>
        <v/>
      </c>
      <c r="AG104" s="206" t="str">
        <f>IF(AG$3="","",IF(COUNTIFS(BD!$A$3:$A$5001,AG$3,BD!$B$3:$B$5001,$A$89,BD!$AA$3:$AA$5001,"&lt;&gt;")=0,"",SUMIFS(BD!$AA$3:$AA$5001,BD!$A$3:$A$5001,AG$3,BD!$B$3:$B$5001,$A$89)))</f>
        <v/>
      </c>
      <c r="AH104" s="206" t="str">
        <f>IF(AH$3="","",IF(COUNTIFS(BD!$A$3:$A$5001,AH$3,BD!$B$3:$B$5001,$A$89,BD!$AA$3:$AA$5001,"&lt;&gt;")=0,"",SUMIFS(BD!$AA$3:$AA$5001,BD!$A$3:$A$5001,AH$3,BD!$B$3:$B$5001,$A$89)))</f>
        <v/>
      </c>
      <c r="AI104" s="206" t="str">
        <f>IF(AI$3="","",IF(COUNTIFS(BD!$A$3:$A$5001,AI$3,BD!$B$3:$B$5001,$A$89,BD!$AA$3:$AA$5001,"&lt;&gt;")=0,"",SUMIFS(BD!$AA$3:$AA$5001,BD!$A$3:$A$5001,AI$3,BD!$B$3:$B$5001,$A$89)))</f>
        <v/>
      </c>
      <c r="AJ104" s="207" t="str">
        <f>IF(AJ$3="","",IF(COUNTIFS(BD!$A$3:$A$5001,AJ$3,BD!$B$3:$B$5001,$A$89,BD!$AA$3:$AA$5001,"&lt;&gt;")=0,"",SUMIFS(BD!$AA$3:$AA$5001,BD!$A$3:$A$5001,AJ$3,BD!$B$3:$B$5001,$A$89)))</f>
        <v/>
      </c>
      <c r="AK104" s="208" t="str">
        <f>IF(COUNT(F104:AJ104)=0,"",SUM(F104:AJ104))</f>
        <v/>
      </c>
    </row>
    <row r="105" ht="15.75" customHeight="1">
      <c r="A105" s="227"/>
      <c r="B105" s="224"/>
      <c r="C105" s="202" t="inlineStr">
        <is>
          <t xml:space="preserve">Folga</t>
        </is>
      </c>
      <c r="D105" s="203" t="str">
        <f>IFERROR(1/(1/INDEX(BD!$AK$49:$AT$49,MATCH($A$89,BD!$AK$22:$AT$22,0))),"")</f>
        <v/>
      </c>
      <c r="E105" s="204"/>
      <c r="F105" s="205" t="str">
        <f>IF(F$3="","",IF(COUNTIFS(BD!$A$3:$A$5001,F$3,BD!$B$3:$B$5001,$A$89,BD!$AB$3:$AB$5001,"&lt;&gt;")=0,"",SUMIFS(BD!$AB$3:$AB$5001,BD!$A$3:$A$5001,F$3,BD!$B$3:$B$5001,$A$89)))</f>
        <v/>
      </c>
      <c r="G105" s="206" t="str">
        <f>IF(G$3="","",IF(COUNTIFS(BD!$A$3:$A$5001,G$3,BD!$B$3:$B$5001,$A$89,BD!$AB$3:$AB$5001,"&lt;&gt;")=0,"",SUMIFS(BD!$AB$3:$AB$5001,BD!$A$3:$A$5001,G$3,BD!$B$3:$B$5001,$A$89)))</f>
        <v/>
      </c>
      <c r="H105" s="206" t="str">
        <f>IF(H$3="","",IF(COUNTIFS(BD!$A$3:$A$5001,H$3,BD!$B$3:$B$5001,$A$89,BD!$AB$3:$AB$5001,"&lt;&gt;")=0,"",SUMIFS(BD!$AB$3:$AB$5001,BD!$A$3:$A$5001,H$3,BD!$B$3:$B$5001,$A$89)))</f>
        <v/>
      </c>
      <c r="I105" s="206" t="str">
        <f>IF(I$3="","",IF(COUNTIFS(BD!$A$3:$A$5001,I$3,BD!$B$3:$B$5001,$A$89,BD!$AB$3:$AB$5001,"&lt;&gt;")=0,"",SUMIFS(BD!$AB$3:$AB$5001,BD!$A$3:$A$5001,I$3,BD!$B$3:$B$5001,$A$89)))</f>
        <v/>
      </c>
      <c r="J105" s="206" t="str">
        <f>IF(J$3="","",IF(COUNTIFS(BD!$A$3:$A$5001,J$3,BD!$B$3:$B$5001,$A$89,BD!$AB$3:$AB$5001,"&lt;&gt;")=0,"",SUMIFS(BD!$AB$3:$AB$5001,BD!$A$3:$A$5001,J$3,BD!$B$3:$B$5001,$A$89)))</f>
        <v/>
      </c>
      <c r="K105" s="206" t="str">
        <f>IF(K$3="","",IF(COUNTIFS(BD!$A$3:$A$5001,K$3,BD!$B$3:$B$5001,$A$89,BD!$AB$3:$AB$5001,"&lt;&gt;")=0,"",SUMIFS(BD!$AB$3:$AB$5001,BD!$A$3:$A$5001,K$3,BD!$B$3:$B$5001,$A$89)))</f>
        <v/>
      </c>
      <c r="L105" s="206" t="str">
        <f>IF(L$3="","",IF(COUNTIFS(BD!$A$3:$A$5001,L$3,BD!$B$3:$B$5001,$A$89,BD!$AB$3:$AB$5001,"&lt;&gt;")=0,"",SUMIFS(BD!$AB$3:$AB$5001,BD!$A$3:$A$5001,L$3,BD!$B$3:$B$5001,$A$89)))</f>
        <v/>
      </c>
      <c r="M105" s="206" t="str">
        <f>IF(M$3="","",IF(COUNTIFS(BD!$A$3:$A$5001,M$3,BD!$B$3:$B$5001,$A$89,BD!$AB$3:$AB$5001,"&lt;&gt;")=0,"",SUMIFS(BD!$AB$3:$AB$5001,BD!$A$3:$A$5001,M$3,BD!$B$3:$B$5001,$A$89)))</f>
        <v/>
      </c>
      <c r="N105" s="206" t="str">
        <f>IF(N$3="","",IF(COUNTIFS(BD!$A$3:$A$5001,N$3,BD!$B$3:$B$5001,$A$89,BD!$AB$3:$AB$5001,"&lt;&gt;")=0,"",SUMIFS(BD!$AB$3:$AB$5001,BD!$A$3:$A$5001,N$3,BD!$B$3:$B$5001,$A$89)))</f>
        <v/>
      </c>
      <c r="O105" s="206" t="str">
        <f>IF(O$3="","",IF(COUNTIFS(BD!$A$3:$A$5001,O$3,BD!$B$3:$B$5001,$A$89,BD!$AB$3:$AB$5001,"&lt;&gt;")=0,"",SUMIFS(BD!$AB$3:$AB$5001,BD!$A$3:$A$5001,O$3,BD!$B$3:$B$5001,$A$89)))</f>
        <v/>
      </c>
      <c r="P105" s="206" t="str">
        <f>IF(P$3="","",IF(COUNTIFS(BD!$A$3:$A$5001,P$3,BD!$B$3:$B$5001,$A$89,BD!$AB$3:$AB$5001,"&lt;&gt;")=0,"",SUMIFS(BD!$AB$3:$AB$5001,BD!$A$3:$A$5001,P$3,BD!$B$3:$B$5001,$A$89)))</f>
        <v/>
      </c>
      <c r="Q105" s="206" t="str">
        <f>IF(Q$3="","",IF(COUNTIFS(BD!$A$3:$A$5001,Q$3,BD!$B$3:$B$5001,$A$89,BD!$AB$3:$AB$5001,"&lt;&gt;")=0,"",SUMIFS(BD!$AB$3:$AB$5001,BD!$A$3:$A$5001,Q$3,BD!$B$3:$B$5001,$A$89)))</f>
        <v/>
      </c>
      <c r="R105" s="206" t="str">
        <f>IF(R$3="","",IF(COUNTIFS(BD!$A$3:$A$5001,R$3,BD!$B$3:$B$5001,$A$89,BD!$AB$3:$AB$5001,"&lt;&gt;")=0,"",SUMIFS(BD!$AB$3:$AB$5001,BD!$A$3:$A$5001,R$3,BD!$B$3:$B$5001,$A$89)))</f>
        <v/>
      </c>
      <c r="S105" s="206" t="str">
        <f>IF(S$3="","",IF(COUNTIFS(BD!$A$3:$A$5001,S$3,BD!$B$3:$B$5001,$A$89,BD!$AB$3:$AB$5001,"&lt;&gt;")=0,"",SUMIFS(BD!$AB$3:$AB$5001,BD!$A$3:$A$5001,S$3,BD!$B$3:$B$5001,$A$89)))</f>
        <v/>
      </c>
      <c r="T105" s="206" t="str">
        <f>IF(T$3="","",IF(COUNTIFS(BD!$A$3:$A$5001,T$3,BD!$B$3:$B$5001,$A$89,BD!$AB$3:$AB$5001,"&lt;&gt;")=0,"",SUMIFS(BD!$AB$3:$AB$5001,BD!$A$3:$A$5001,T$3,BD!$B$3:$B$5001,$A$89)))</f>
        <v/>
      </c>
      <c r="U105" s="206" t="str">
        <f>IF(U$3="","",IF(COUNTIFS(BD!$A$3:$A$5001,U$3,BD!$B$3:$B$5001,$A$89,BD!$AB$3:$AB$5001,"&lt;&gt;")=0,"",SUMIFS(BD!$AB$3:$AB$5001,BD!$A$3:$A$5001,U$3,BD!$B$3:$B$5001,$A$89)))</f>
        <v/>
      </c>
      <c r="V105" s="206" t="str">
        <f>IF(V$3="","",IF(COUNTIFS(BD!$A$3:$A$5001,V$3,BD!$B$3:$B$5001,$A$89,BD!$AB$3:$AB$5001,"&lt;&gt;")=0,"",SUMIFS(BD!$AB$3:$AB$5001,BD!$A$3:$A$5001,V$3,BD!$B$3:$B$5001,$A$89)))</f>
        <v/>
      </c>
      <c r="W105" s="206" t="str">
        <f>IF(W$3="","",IF(COUNTIFS(BD!$A$3:$A$5001,W$3,BD!$B$3:$B$5001,$A$89,BD!$AB$3:$AB$5001,"&lt;&gt;")=0,"",SUMIFS(BD!$AB$3:$AB$5001,BD!$A$3:$A$5001,W$3,BD!$B$3:$B$5001,$A$89)))</f>
        <v/>
      </c>
      <c r="X105" s="206" t="str">
        <f>IF(X$3="","",IF(COUNTIFS(BD!$A$3:$A$5001,X$3,BD!$B$3:$B$5001,$A$89,BD!$AB$3:$AB$5001,"&lt;&gt;")=0,"",SUMIFS(BD!$AB$3:$AB$5001,BD!$A$3:$A$5001,X$3,BD!$B$3:$B$5001,$A$89)))</f>
        <v/>
      </c>
      <c r="Y105" s="206" t="str">
        <f>IF(Y$3="","",IF(COUNTIFS(BD!$A$3:$A$5001,Y$3,BD!$B$3:$B$5001,$A$89,BD!$AB$3:$AB$5001,"&lt;&gt;")=0,"",SUMIFS(BD!$AB$3:$AB$5001,BD!$A$3:$A$5001,Y$3,BD!$B$3:$B$5001,$A$89)))</f>
        <v/>
      </c>
      <c r="Z105" s="206" t="str">
        <f>IF(Z$3="","",IF(COUNTIFS(BD!$A$3:$A$5001,Z$3,BD!$B$3:$B$5001,$A$89,BD!$AB$3:$AB$5001,"&lt;&gt;")=0,"",SUMIFS(BD!$AB$3:$AB$5001,BD!$A$3:$A$5001,Z$3,BD!$B$3:$B$5001,$A$89)))</f>
        <v/>
      </c>
      <c r="AA105" s="206" t="str">
        <f>IF(AA$3="","",IF(COUNTIFS(BD!$A$3:$A$5001,AA$3,BD!$B$3:$B$5001,$A$89,BD!$AB$3:$AB$5001,"&lt;&gt;")=0,"",SUMIFS(BD!$AB$3:$AB$5001,BD!$A$3:$A$5001,AA$3,BD!$B$3:$B$5001,$A$89)))</f>
        <v/>
      </c>
      <c r="AB105" s="206" t="str">
        <f>IF(AB$3="","",IF(COUNTIFS(BD!$A$3:$A$5001,AB$3,BD!$B$3:$B$5001,$A$89,BD!$AB$3:$AB$5001,"&lt;&gt;")=0,"",SUMIFS(BD!$AB$3:$AB$5001,BD!$A$3:$A$5001,AB$3,BD!$B$3:$B$5001,$A$89)))</f>
        <v/>
      </c>
      <c r="AC105" s="206" t="str">
        <f>IF(AC$3="","",IF(COUNTIFS(BD!$A$3:$A$5001,AC$3,BD!$B$3:$B$5001,$A$89,BD!$AB$3:$AB$5001,"&lt;&gt;")=0,"",SUMIFS(BD!$AB$3:$AB$5001,BD!$A$3:$A$5001,AC$3,BD!$B$3:$B$5001,$A$89)))</f>
        <v/>
      </c>
      <c r="AD105" s="206" t="str">
        <f>IF(AD$3="","",IF(COUNTIFS(BD!$A$3:$A$5001,AD$3,BD!$B$3:$B$5001,$A$89,BD!$AB$3:$AB$5001,"&lt;&gt;")=0,"",SUMIFS(BD!$AB$3:$AB$5001,BD!$A$3:$A$5001,AD$3,BD!$B$3:$B$5001,$A$89)))</f>
        <v/>
      </c>
      <c r="AE105" s="206" t="str">
        <f>IF(AE$3="","",IF(COUNTIFS(BD!$A$3:$A$5001,AE$3,BD!$B$3:$B$5001,$A$89,BD!$AB$3:$AB$5001,"&lt;&gt;")=0,"",SUMIFS(BD!$AB$3:$AB$5001,BD!$A$3:$A$5001,AE$3,BD!$B$3:$B$5001,$A$89)))</f>
        <v/>
      </c>
      <c r="AF105" s="206" t="str">
        <f>IF(AF$3="","",IF(COUNTIFS(BD!$A$3:$A$5001,AF$3,BD!$B$3:$B$5001,$A$89,BD!$AB$3:$AB$5001,"&lt;&gt;")=0,"",SUMIFS(BD!$AB$3:$AB$5001,BD!$A$3:$A$5001,AF$3,BD!$B$3:$B$5001,$A$89)))</f>
        <v/>
      </c>
      <c r="AG105" s="206" t="str">
        <f>IF(AG$3="","",IF(COUNTIFS(BD!$A$3:$A$5001,AG$3,BD!$B$3:$B$5001,$A$89,BD!$AB$3:$AB$5001,"&lt;&gt;")=0,"",SUMIFS(BD!$AB$3:$AB$5001,BD!$A$3:$A$5001,AG$3,BD!$B$3:$B$5001,$A$89)))</f>
        <v/>
      </c>
      <c r="AH105" s="206" t="str">
        <f>IF(AH$3="","",IF(COUNTIFS(BD!$A$3:$A$5001,AH$3,BD!$B$3:$B$5001,$A$89,BD!$AB$3:$AB$5001,"&lt;&gt;")=0,"",SUMIFS(BD!$AB$3:$AB$5001,BD!$A$3:$A$5001,AH$3,BD!$B$3:$B$5001,$A$89)))</f>
        <v/>
      </c>
      <c r="AI105" s="206" t="str">
        <f>IF(AI$3="","",IF(COUNTIFS(BD!$A$3:$A$5001,AI$3,BD!$B$3:$B$5001,$A$89,BD!$AB$3:$AB$5001,"&lt;&gt;")=0,"",SUMIFS(BD!$AB$3:$AB$5001,BD!$A$3:$A$5001,AI$3,BD!$B$3:$B$5001,$A$89)))</f>
        <v/>
      </c>
      <c r="AJ105" s="207" t="str">
        <f>IF(AJ$3="","",IF(COUNTIFS(BD!$A$3:$A$5001,AJ$3,BD!$B$3:$B$5001,$A$89,BD!$AB$3:$AB$5001,"&lt;&gt;")=0,"",SUMIFS(BD!$AB$3:$AB$5001,BD!$A$3:$A$5001,AJ$3,BD!$B$3:$B$5001,$A$89)))</f>
        <v/>
      </c>
      <c r="AK105" s="208" t="str">
        <f>IF(COUNT(F105:AJ105)=0,"",SUM(F105:AJ105))</f>
        <v/>
      </c>
    </row>
    <row r="106" ht="15.75" customHeight="1">
      <c r="A106" s="227"/>
      <c r="B106" s="224"/>
      <c r="C106" s="202" t="inlineStr">
        <is>
          <t xml:space="preserve">Férias</t>
        </is>
      </c>
      <c r="D106" s="203" t="str">
        <f>IFERROR(1/(1/INDEX(BD!$AK$50:$AT$50,MATCH($A$89,BD!$AK$22:$AT$22,0))),"")</f>
        <v/>
      </c>
      <c r="E106" s="204"/>
      <c r="F106" s="205" t="str">
        <f>IF(F$3="","",IF(COUNTIFS(BD!$A$3:$A$5001,F$3,BD!$B$3:$B$5001,$A$89,BD!$AC$3:$AC$5001,"&lt;&gt;")=0,"",SUMIFS(BD!$AC$3:$AC$5001,BD!$A$3:$A$5001,F$3,BD!$B$3:$B$5001,$A$89)))</f>
        <v/>
      </c>
      <c r="G106" s="206" t="str">
        <f>IF(G$3="","",IF(COUNTIFS(BD!$A$3:$A$5001,G$3,BD!$B$3:$B$5001,$A$89,BD!$AC$3:$AC$5001,"&lt;&gt;")=0,"",SUMIFS(BD!$AC$3:$AC$5001,BD!$A$3:$A$5001,G$3,BD!$B$3:$B$5001,$A$89)))</f>
        <v/>
      </c>
      <c r="H106" s="206" t="str">
        <f>IF(H$3="","",IF(COUNTIFS(BD!$A$3:$A$5001,H$3,BD!$B$3:$B$5001,$A$89,BD!$AC$3:$AC$5001,"&lt;&gt;")=0,"",SUMIFS(BD!$AC$3:$AC$5001,BD!$A$3:$A$5001,H$3,BD!$B$3:$B$5001,$A$89)))</f>
        <v/>
      </c>
      <c r="I106" s="206" t="str">
        <f>IF(I$3="","",IF(COUNTIFS(BD!$A$3:$A$5001,I$3,BD!$B$3:$B$5001,$A$89,BD!$AC$3:$AC$5001,"&lt;&gt;")=0,"",SUMIFS(BD!$AC$3:$AC$5001,BD!$A$3:$A$5001,I$3,BD!$B$3:$B$5001,$A$89)))</f>
        <v/>
      </c>
      <c r="J106" s="206" t="str">
        <f>IF(J$3="","",IF(COUNTIFS(BD!$A$3:$A$5001,J$3,BD!$B$3:$B$5001,$A$89,BD!$AC$3:$AC$5001,"&lt;&gt;")=0,"",SUMIFS(BD!$AC$3:$AC$5001,BD!$A$3:$A$5001,J$3,BD!$B$3:$B$5001,$A$89)))</f>
        <v/>
      </c>
      <c r="K106" s="206" t="str">
        <f>IF(K$3="","",IF(COUNTIFS(BD!$A$3:$A$5001,K$3,BD!$B$3:$B$5001,$A$89,BD!$AC$3:$AC$5001,"&lt;&gt;")=0,"",SUMIFS(BD!$AC$3:$AC$5001,BD!$A$3:$A$5001,K$3,BD!$B$3:$B$5001,$A$89)))</f>
        <v/>
      </c>
      <c r="L106" s="206" t="str">
        <f>IF(L$3="","",IF(COUNTIFS(BD!$A$3:$A$5001,L$3,BD!$B$3:$B$5001,$A$89,BD!$AC$3:$AC$5001,"&lt;&gt;")=0,"",SUMIFS(BD!$AC$3:$AC$5001,BD!$A$3:$A$5001,L$3,BD!$B$3:$B$5001,$A$89)))</f>
        <v/>
      </c>
      <c r="M106" s="206" t="str">
        <f>IF(M$3="","",IF(COUNTIFS(BD!$A$3:$A$5001,M$3,BD!$B$3:$B$5001,$A$89,BD!$AC$3:$AC$5001,"&lt;&gt;")=0,"",SUMIFS(BD!$AC$3:$AC$5001,BD!$A$3:$A$5001,M$3,BD!$B$3:$B$5001,$A$89)))</f>
        <v/>
      </c>
      <c r="N106" s="206" t="str">
        <f>IF(N$3="","",IF(COUNTIFS(BD!$A$3:$A$5001,N$3,BD!$B$3:$B$5001,$A$89,BD!$AC$3:$AC$5001,"&lt;&gt;")=0,"",SUMIFS(BD!$AC$3:$AC$5001,BD!$A$3:$A$5001,N$3,BD!$B$3:$B$5001,$A$89)))</f>
        <v/>
      </c>
      <c r="O106" s="206" t="str">
        <f>IF(O$3="","",IF(COUNTIFS(BD!$A$3:$A$5001,O$3,BD!$B$3:$B$5001,$A$89,BD!$AC$3:$AC$5001,"&lt;&gt;")=0,"",SUMIFS(BD!$AC$3:$AC$5001,BD!$A$3:$A$5001,O$3,BD!$B$3:$B$5001,$A$89)))</f>
        <v/>
      </c>
      <c r="P106" s="206" t="str">
        <f>IF(P$3="","",IF(COUNTIFS(BD!$A$3:$A$5001,P$3,BD!$B$3:$B$5001,$A$89,BD!$AC$3:$AC$5001,"&lt;&gt;")=0,"",SUMIFS(BD!$AC$3:$AC$5001,BD!$A$3:$A$5001,P$3,BD!$B$3:$B$5001,$A$89)))</f>
        <v/>
      </c>
      <c r="Q106" s="206" t="str">
        <f>IF(Q$3="","",IF(COUNTIFS(BD!$A$3:$A$5001,Q$3,BD!$B$3:$B$5001,$A$89,BD!$AC$3:$AC$5001,"&lt;&gt;")=0,"",SUMIFS(BD!$AC$3:$AC$5001,BD!$A$3:$A$5001,Q$3,BD!$B$3:$B$5001,$A$89)))</f>
        <v/>
      </c>
      <c r="R106" s="206" t="str">
        <f>IF(R$3="","",IF(COUNTIFS(BD!$A$3:$A$5001,R$3,BD!$B$3:$B$5001,$A$89,BD!$AC$3:$AC$5001,"&lt;&gt;")=0,"",SUMIFS(BD!$AC$3:$AC$5001,BD!$A$3:$A$5001,R$3,BD!$B$3:$B$5001,$A$89)))</f>
        <v/>
      </c>
      <c r="S106" s="206" t="str">
        <f>IF(S$3="","",IF(COUNTIFS(BD!$A$3:$A$5001,S$3,BD!$B$3:$B$5001,$A$89,BD!$AC$3:$AC$5001,"&lt;&gt;")=0,"",SUMIFS(BD!$AC$3:$AC$5001,BD!$A$3:$A$5001,S$3,BD!$B$3:$B$5001,$A$89)))</f>
        <v/>
      </c>
      <c r="T106" s="206" t="str">
        <f>IF(T$3="","",IF(COUNTIFS(BD!$A$3:$A$5001,T$3,BD!$B$3:$B$5001,$A$89,BD!$AC$3:$AC$5001,"&lt;&gt;")=0,"",SUMIFS(BD!$AC$3:$AC$5001,BD!$A$3:$A$5001,T$3,BD!$B$3:$B$5001,$A$89)))</f>
        <v/>
      </c>
      <c r="U106" s="206" t="str">
        <f>IF(U$3="","",IF(COUNTIFS(BD!$A$3:$A$5001,U$3,BD!$B$3:$B$5001,$A$89,BD!$AC$3:$AC$5001,"&lt;&gt;")=0,"",SUMIFS(BD!$AC$3:$AC$5001,BD!$A$3:$A$5001,U$3,BD!$B$3:$B$5001,$A$89)))</f>
        <v/>
      </c>
      <c r="V106" s="206" t="str">
        <f>IF(V$3="","",IF(COUNTIFS(BD!$A$3:$A$5001,V$3,BD!$B$3:$B$5001,$A$89,BD!$AC$3:$AC$5001,"&lt;&gt;")=0,"",SUMIFS(BD!$AC$3:$AC$5001,BD!$A$3:$A$5001,V$3,BD!$B$3:$B$5001,$A$89)))</f>
        <v/>
      </c>
      <c r="W106" s="206" t="str">
        <f>IF(W$3="","",IF(COUNTIFS(BD!$A$3:$A$5001,W$3,BD!$B$3:$B$5001,$A$89,BD!$AC$3:$AC$5001,"&lt;&gt;")=0,"",SUMIFS(BD!$AC$3:$AC$5001,BD!$A$3:$A$5001,W$3,BD!$B$3:$B$5001,$A$89)))</f>
        <v/>
      </c>
      <c r="X106" s="206" t="str">
        <f>IF(X$3="","",IF(COUNTIFS(BD!$A$3:$A$5001,X$3,BD!$B$3:$B$5001,$A$89,BD!$AC$3:$AC$5001,"&lt;&gt;")=0,"",SUMIFS(BD!$AC$3:$AC$5001,BD!$A$3:$A$5001,X$3,BD!$B$3:$B$5001,$A$89)))</f>
        <v/>
      </c>
      <c r="Y106" s="206" t="str">
        <f>IF(Y$3="","",IF(COUNTIFS(BD!$A$3:$A$5001,Y$3,BD!$B$3:$B$5001,$A$89,BD!$AC$3:$AC$5001,"&lt;&gt;")=0,"",SUMIFS(BD!$AC$3:$AC$5001,BD!$A$3:$A$5001,Y$3,BD!$B$3:$B$5001,$A$89)))</f>
        <v/>
      </c>
      <c r="Z106" s="206" t="str">
        <f>IF(Z$3="","",IF(COUNTIFS(BD!$A$3:$A$5001,Z$3,BD!$B$3:$B$5001,$A$89,BD!$AC$3:$AC$5001,"&lt;&gt;")=0,"",SUMIFS(BD!$AC$3:$AC$5001,BD!$A$3:$A$5001,Z$3,BD!$B$3:$B$5001,$A$89)))</f>
        <v/>
      </c>
      <c r="AA106" s="206" t="str">
        <f>IF(AA$3="","",IF(COUNTIFS(BD!$A$3:$A$5001,AA$3,BD!$B$3:$B$5001,$A$89,BD!$AC$3:$AC$5001,"&lt;&gt;")=0,"",SUMIFS(BD!$AC$3:$AC$5001,BD!$A$3:$A$5001,AA$3,BD!$B$3:$B$5001,$A$89)))</f>
        <v/>
      </c>
      <c r="AB106" s="206" t="str">
        <f>IF(AB$3="","",IF(COUNTIFS(BD!$A$3:$A$5001,AB$3,BD!$B$3:$B$5001,$A$89,BD!$AC$3:$AC$5001,"&lt;&gt;")=0,"",SUMIFS(BD!$AC$3:$AC$5001,BD!$A$3:$A$5001,AB$3,BD!$B$3:$B$5001,$A$89)))</f>
        <v/>
      </c>
      <c r="AC106" s="206" t="str">
        <f>IF(AC$3="","",IF(COUNTIFS(BD!$A$3:$A$5001,AC$3,BD!$B$3:$B$5001,$A$89,BD!$AC$3:$AC$5001,"&lt;&gt;")=0,"",SUMIFS(BD!$AC$3:$AC$5001,BD!$A$3:$A$5001,AC$3,BD!$B$3:$B$5001,$A$89)))</f>
        <v/>
      </c>
      <c r="AD106" s="206" t="str">
        <f>IF(AD$3="","",IF(COUNTIFS(BD!$A$3:$A$5001,AD$3,BD!$B$3:$B$5001,$A$89,BD!$AC$3:$AC$5001,"&lt;&gt;")=0,"",SUMIFS(BD!$AC$3:$AC$5001,BD!$A$3:$A$5001,AD$3,BD!$B$3:$B$5001,$A$89)))</f>
        <v/>
      </c>
      <c r="AE106" s="206" t="str">
        <f>IF(AE$3="","",IF(COUNTIFS(BD!$A$3:$A$5001,AE$3,BD!$B$3:$B$5001,$A$89,BD!$AC$3:$AC$5001,"&lt;&gt;")=0,"",SUMIFS(BD!$AC$3:$AC$5001,BD!$A$3:$A$5001,AE$3,BD!$B$3:$B$5001,$A$89)))</f>
        <v/>
      </c>
      <c r="AF106" s="206" t="str">
        <f>IF(AF$3="","",IF(COUNTIFS(BD!$A$3:$A$5001,AF$3,BD!$B$3:$B$5001,$A$89,BD!$AC$3:$AC$5001,"&lt;&gt;")=0,"",SUMIFS(BD!$AC$3:$AC$5001,BD!$A$3:$A$5001,AF$3,BD!$B$3:$B$5001,$A$89)))</f>
        <v/>
      </c>
      <c r="AG106" s="206" t="str">
        <f>IF(AG$3="","",IF(COUNTIFS(BD!$A$3:$A$5001,AG$3,BD!$B$3:$B$5001,$A$89,BD!$AC$3:$AC$5001,"&lt;&gt;")=0,"",SUMIFS(BD!$AC$3:$AC$5001,BD!$A$3:$A$5001,AG$3,BD!$B$3:$B$5001,$A$89)))</f>
        <v/>
      </c>
      <c r="AH106" s="206" t="str">
        <f>IF(AH$3="","",IF(COUNTIFS(BD!$A$3:$A$5001,AH$3,BD!$B$3:$B$5001,$A$89,BD!$AC$3:$AC$5001,"&lt;&gt;")=0,"",SUMIFS(BD!$AC$3:$AC$5001,BD!$A$3:$A$5001,AH$3,BD!$B$3:$B$5001,$A$89)))</f>
        <v/>
      </c>
      <c r="AI106" s="206" t="str">
        <f>IF(AI$3="","",IF(COUNTIFS(BD!$A$3:$A$5001,AI$3,BD!$B$3:$B$5001,$A$89,BD!$AC$3:$AC$5001,"&lt;&gt;")=0,"",SUMIFS(BD!$AC$3:$AC$5001,BD!$A$3:$A$5001,AI$3,BD!$B$3:$B$5001,$A$89)))</f>
        <v/>
      </c>
      <c r="AJ106" s="207" t="str">
        <f>IF(AJ$3="","",IF(COUNTIFS(BD!$A$3:$A$5001,AJ$3,BD!$B$3:$B$5001,$A$89,BD!$AC$3:$AC$5001,"&lt;&gt;")=0,"",SUMIFS(BD!$AC$3:$AC$5001,BD!$A$3:$A$5001,AJ$3,BD!$B$3:$B$5001,$A$89)))</f>
        <v/>
      </c>
      <c r="AK106" s="208" t="str">
        <f>IF(COUNT(F106:AJ106)=0,"",SUM(F106:AJ106))</f>
        <v/>
      </c>
    </row>
    <row r="107" ht="15.75" customHeight="1">
      <c r="A107" s="227"/>
      <c r="B107" s="224"/>
      <c r="C107" s="202" t="inlineStr">
        <is>
          <t xml:space="preserve">Desligamento</t>
        </is>
      </c>
      <c r="D107" s="203" t="str">
        <f>IFERROR(1/(1/INDEX(BD!$AK$51:$AT$51,MATCH($A$89,BD!$AK$22:$AT$22,0))),"")</f>
        <v/>
      </c>
      <c r="E107" s="204"/>
      <c r="F107" s="205" t="str">
        <f>IF(F$3="","",IF(COUNTIFS(BD!$A$3:$A$5001,F$3,BD!$B$3:$B$5001,$A$89,BD!$AD$3:$AD$5001,"&lt;&gt;")=0,"",SUMIFS(BD!$AD$3:$AD$5001,BD!$A$3:$A$5001,F$3,BD!$B$3:$B$5001,$A$89)))</f>
        <v/>
      </c>
      <c r="G107" s="206" t="str">
        <f>IF(G$3="","",IF(COUNTIFS(BD!$A$3:$A$5001,G$3,BD!$B$3:$B$5001,$A$89,BD!$AD$3:$AD$5001,"&lt;&gt;")=0,"",SUMIFS(BD!$AD$3:$AD$5001,BD!$A$3:$A$5001,G$3,BD!$B$3:$B$5001,$A$89)))</f>
        <v/>
      </c>
      <c r="H107" s="206" t="str">
        <f>IF(H$3="","",IF(COUNTIFS(BD!$A$3:$A$5001,H$3,BD!$B$3:$B$5001,$A$89,BD!$AD$3:$AD$5001,"&lt;&gt;")=0,"",SUMIFS(BD!$AD$3:$AD$5001,BD!$A$3:$A$5001,H$3,BD!$B$3:$B$5001,$A$89)))</f>
        <v/>
      </c>
      <c r="I107" s="206" t="str">
        <f>IF(I$3="","",IF(COUNTIFS(BD!$A$3:$A$5001,I$3,BD!$B$3:$B$5001,$A$89,BD!$AD$3:$AD$5001,"&lt;&gt;")=0,"",SUMIFS(BD!$AD$3:$AD$5001,BD!$A$3:$A$5001,I$3,BD!$B$3:$B$5001,$A$89)))</f>
        <v/>
      </c>
      <c r="J107" s="206" t="str">
        <f>IF(J$3="","",IF(COUNTIFS(BD!$A$3:$A$5001,J$3,BD!$B$3:$B$5001,$A$89,BD!$AD$3:$AD$5001,"&lt;&gt;")=0,"",SUMIFS(BD!$AD$3:$AD$5001,BD!$A$3:$A$5001,J$3,BD!$B$3:$B$5001,$A$89)))</f>
        <v/>
      </c>
      <c r="K107" s="206" t="str">
        <f>IF(K$3="","",IF(COUNTIFS(BD!$A$3:$A$5001,K$3,BD!$B$3:$B$5001,$A$89,BD!$AD$3:$AD$5001,"&lt;&gt;")=0,"",SUMIFS(BD!$AD$3:$AD$5001,BD!$A$3:$A$5001,K$3,BD!$B$3:$B$5001,$A$89)))</f>
        <v/>
      </c>
      <c r="L107" s="206" t="str">
        <f>IF(L$3="","",IF(COUNTIFS(BD!$A$3:$A$5001,L$3,BD!$B$3:$B$5001,$A$89,BD!$AD$3:$AD$5001,"&lt;&gt;")=0,"",SUMIFS(BD!$AD$3:$AD$5001,BD!$A$3:$A$5001,L$3,BD!$B$3:$B$5001,$A$89)))</f>
        <v/>
      </c>
      <c r="M107" s="206" t="str">
        <f>IF(M$3="","",IF(COUNTIFS(BD!$A$3:$A$5001,M$3,BD!$B$3:$B$5001,$A$89,BD!$AD$3:$AD$5001,"&lt;&gt;")=0,"",SUMIFS(BD!$AD$3:$AD$5001,BD!$A$3:$A$5001,M$3,BD!$B$3:$B$5001,$A$89)))</f>
        <v/>
      </c>
      <c r="N107" s="206" t="str">
        <f>IF(N$3="","",IF(COUNTIFS(BD!$A$3:$A$5001,N$3,BD!$B$3:$B$5001,$A$89,BD!$AD$3:$AD$5001,"&lt;&gt;")=0,"",SUMIFS(BD!$AD$3:$AD$5001,BD!$A$3:$A$5001,N$3,BD!$B$3:$B$5001,$A$89)))</f>
        <v/>
      </c>
      <c r="O107" s="206" t="str">
        <f>IF(O$3="","",IF(COUNTIFS(BD!$A$3:$A$5001,O$3,BD!$B$3:$B$5001,$A$89,BD!$AD$3:$AD$5001,"&lt;&gt;")=0,"",SUMIFS(BD!$AD$3:$AD$5001,BD!$A$3:$A$5001,O$3,BD!$B$3:$B$5001,$A$89)))</f>
        <v/>
      </c>
      <c r="P107" s="206" t="str">
        <f>IF(P$3="","",IF(COUNTIFS(BD!$A$3:$A$5001,P$3,BD!$B$3:$B$5001,$A$89,BD!$AD$3:$AD$5001,"&lt;&gt;")=0,"",SUMIFS(BD!$AD$3:$AD$5001,BD!$A$3:$A$5001,P$3,BD!$B$3:$B$5001,$A$89)))</f>
        <v/>
      </c>
      <c r="Q107" s="206" t="str">
        <f>IF(Q$3="","",IF(COUNTIFS(BD!$A$3:$A$5001,Q$3,BD!$B$3:$B$5001,$A$89,BD!$AD$3:$AD$5001,"&lt;&gt;")=0,"",SUMIFS(BD!$AD$3:$AD$5001,BD!$A$3:$A$5001,Q$3,BD!$B$3:$B$5001,$A$89)))</f>
        <v/>
      </c>
      <c r="R107" s="206" t="str">
        <f>IF(R$3="","",IF(COUNTIFS(BD!$A$3:$A$5001,R$3,BD!$B$3:$B$5001,$A$89,BD!$AD$3:$AD$5001,"&lt;&gt;")=0,"",SUMIFS(BD!$AD$3:$AD$5001,BD!$A$3:$A$5001,R$3,BD!$B$3:$B$5001,$A$89)))</f>
        <v/>
      </c>
      <c r="S107" s="206" t="str">
        <f>IF(S$3="","",IF(COUNTIFS(BD!$A$3:$A$5001,S$3,BD!$B$3:$B$5001,$A$89,BD!$AD$3:$AD$5001,"&lt;&gt;")=0,"",SUMIFS(BD!$AD$3:$AD$5001,BD!$A$3:$A$5001,S$3,BD!$B$3:$B$5001,$A$89)))</f>
        <v/>
      </c>
      <c r="T107" s="206" t="str">
        <f>IF(T$3="","",IF(COUNTIFS(BD!$A$3:$A$5001,T$3,BD!$B$3:$B$5001,$A$89,BD!$AD$3:$AD$5001,"&lt;&gt;")=0,"",SUMIFS(BD!$AD$3:$AD$5001,BD!$A$3:$A$5001,T$3,BD!$B$3:$B$5001,$A$89)))</f>
        <v/>
      </c>
      <c r="U107" s="206" t="str">
        <f>IF(U$3="","",IF(COUNTIFS(BD!$A$3:$A$5001,U$3,BD!$B$3:$B$5001,$A$89,BD!$AD$3:$AD$5001,"&lt;&gt;")=0,"",SUMIFS(BD!$AD$3:$AD$5001,BD!$A$3:$A$5001,U$3,BD!$B$3:$B$5001,$A$89)))</f>
        <v/>
      </c>
      <c r="V107" s="206" t="str">
        <f>IF(V$3="","",IF(COUNTIFS(BD!$A$3:$A$5001,V$3,BD!$B$3:$B$5001,$A$89,BD!$AD$3:$AD$5001,"&lt;&gt;")=0,"",SUMIFS(BD!$AD$3:$AD$5001,BD!$A$3:$A$5001,V$3,BD!$B$3:$B$5001,$A$89)))</f>
        <v/>
      </c>
      <c r="W107" s="206" t="str">
        <f>IF(W$3="","",IF(COUNTIFS(BD!$A$3:$A$5001,W$3,BD!$B$3:$B$5001,$A$89,BD!$AD$3:$AD$5001,"&lt;&gt;")=0,"",SUMIFS(BD!$AD$3:$AD$5001,BD!$A$3:$A$5001,W$3,BD!$B$3:$B$5001,$A$89)))</f>
        <v/>
      </c>
      <c r="X107" s="206" t="str">
        <f>IF(X$3="","",IF(COUNTIFS(BD!$A$3:$A$5001,X$3,BD!$B$3:$B$5001,$A$89,BD!$AD$3:$AD$5001,"&lt;&gt;")=0,"",SUMIFS(BD!$AD$3:$AD$5001,BD!$A$3:$A$5001,X$3,BD!$B$3:$B$5001,$A$89)))</f>
        <v/>
      </c>
      <c r="Y107" s="206" t="str">
        <f>IF(Y$3="","",IF(COUNTIFS(BD!$A$3:$A$5001,Y$3,BD!$B$3:$B$5001,$A$89,BD!$AD$3:$AD$5001,"&lt;&gt;")=0,"",SUMIFS(BD!$AD$3:$AD$5001,BD!$A$3:$A$5001,Y$3,BD!$B$3:$B$5001,$A$89)))</f>
        <v/>
      </c>
      <c r="Z107" s="206" t="str">
        <f>IF(Z$3="","",IF(COUNTIFS(BD!$A$3:$A$5001,Z$3,BD!$B$3:$B$5001,$A$89,BD!$AD$3:$AD$5001,"&lt;&gt;")=0,"",SUMIFS(BD!$AD$3:$AD$5001,BD!$A$3:$A$5001,Z$3,BD!$B$3:$B$5001,$A$89)))</f>
        <v/>
      </c>
      <c r="AA107" s="206" t="str">
        <f>IF(AA$3="","",IF(COUNTIFS(BD!$A$3:$A$5001,AA$3,BD!$B$3:$B$5001,$A$89,BD!$AD$3:$AD$5001,"&lt;&gt;")=0,"",SUMIFS(BD!$AD$3:$AD$5001,BD!$A$3:$A$5001,AA$3,BD!$B$3:$B$5001,$A$89)))</f>
        <v/>
      </c>
      <c r="AB107" s="206" t="str">
        <f>IF(AB$3="","",IF(COUNTIFS(BD!$A$3:$A$5001,AB$3,BD!$B$3:$B$5001,$A$89,BD!$AD$3:$AD$5001,"&lt;&gt;")=0,"",SUMIFS(BD!$AD$3:$AD$5001,BD!$A$3:$A$5001,AB$3,BD!$B$3:$B$5001,$A$89)))</f>
        <v/>
      </c>
      <c r="AC107" s="206" t="str">
        <f>IF(AC$3="","",IF(COUNTIFS(BD!$A$3:$A$5001,AC$3,BD!$B$3:$B$5001,$A$89,BD!$AD$3:$AD$5001,"&lt;&gt;")=0,"",SUMIFS(BD!$AD$3:$AD$5001,BD!$A$3:$A$5001,AC$3,BD!$B$3:$B$5001,$A$89)))</f>
        <v/>
      </c>
      <c r="AD107" s="206" t="str">
        <f>IF(AD$3="","",IF(COUNTIFS(BD!$A$3:$A$5001,AD$3,BD!$B$3:$B$5001,$A$89,BD!$AD$3:$AD$5001,"&lt;&gt;")=0,"",SUMIFS(BD!$AD$3:$AD$5001,BD!$A$3:$A$5001,AD$3,BD!$B$3:$B$5001,$A$89)))</f>
        <v/>
      </c>
      <c r="AE107" s="206" t="str">
        <f>IF(AE$3="","",IF(COUNTIFS(BD!$A$3:$A$5001,AE$3,BD!$B$3:$B$5001,$A$89,BD!$AD$3:$AD$5001,"&lt;&gt;")=0,"",SUMIFS(BD!$AD$3:$AD$5001,BD!$A$3:$A$5001,AE$3,BD!$B$3:$B$5001,$A$89)))</f>
        <v/>
      </c>
      <c r="AF107" s="206" t="str">
        <f>IF(AF$3="","",IF(COUNTIFS(BD!$A$3:$A$5001,AF$3,BD!$B$3:$B$5001,$A$89,BD!$AD$3:$AD$5001,"&lt;&gt;")=0,"",SUMIFS(BD!$AD$3:$AD$5001,BD!$A$3:$A$5001,AF$3,BD!$B$3:$B$5001,$A$89)))</f>
        <v/>
      </c>
      <c r="AG107" s="206" t="str">
        <f>IF(AG$3="","",IF(COUNTIFS(BD!$A$3:$A$5001,AG$3,BD!$B$3:$B$5001,$A$89,BD!$AD$3:$AD$5001,"&lt;&gt;")=0,"",SUMIFS(BD!$AD$3:$AD$5001,BD!$A$3:$A$5001,AG$3,BD!$B$3:$B$5001,$A$89)))</f>
        <v/>
      </c>
      <c r="AH107" s="206" t="str">
        <f>IF(AH$3="","",IF(COUNTIFS(BD!$A$3:$A$5001,AH$3,BD!$B$3:$B$5001,$A$89,BD!$AD$3:$AD$5001,"&lt;&gt;")=0,"",SUMIFS(BD!$AD$3:$AD$5001,BD!$A$3:$A$5001,AH$3,BD!$B$3:$B$5001,$A$89)))</f>
        <v/>
      </c>
      <c r="AI107" s="206" t="str">
        <f>IF(AI$3="","",IF(COUNTIFS(BD!$A$3:$A$5001,AI$3,BD!$B$3:$B$5001,$A$89,BD!$AD$3:$AD$5001,"&lt;&gt;")=0,"",SUMIFS(BD!$AD$3:$AD$5001,BD!$A$3:$A$5001,AI$3,BD!$B$3:$B$5001,$A$89)))</f>
        <v/>
      </c>
      <c r="AJ107" s="207" t="str">
        <f>IF(AJ$3="","",IF(COUNTIFS(BD!$A$3:$A$5001,AJ$3,BD!$B$3:$B$5001,$A$89,BD!$AD$3:$AD$5001,"&lt;&gt;")=0,"",SUMIFS(BD!$AD$3:$AD$5001,BD!$A$3:$A$5001,AJ$3,BD!$B$3:$B$5001,$A$89)))</f>
        <v/>
      </c>
      <c r="AK107" s="208" t="str">
        <f>IF(COUNT(F107:AJ107)=0,"",SUM(F107:AJ107))</f>
        <v/>
      </c>
    </row>
    <row r="108" ht="15.75" customHeight="1">
      <c r="A108" s="227"/>
      <c r="B108" s="224"/>
      <c r="C108" s="202" t="inlineStr">
        <is>
          <t xml:space="preserve">Desvios Comportamentais</t>
        </is>
      </c>
      <c r="D108" s="203" t="str">
        <f>IFERROR(1/(1/INDEX(BD!$AK$52:$AT$52,MATCH($A$89,BD!$AK$22:$AT$22,0))),"")</f>
        <v/>
      </c>
      <c r="E108" s="204"/>
      <c r="F108" s="205" t="str">
        <f>IF(F$3="","",IF(COUNTIFS(BD!$A$3:$A$5001,F$3,BD!$B$3:$B$5001,$A$89,BD!$AE$3:$AE$5001,"&lt;&gt;")=0,"",SUMIFS(BD!$AE$3:$AE$5001,BD!$A$3:$A$5001,F$3,BD!$B$3:$B$5001,$A$89)))</f>
        <v/>
      </c>
      <c r="G108" s="206" t="str">
        <f>IF(G$3="","",IF(COUNTIFS(BD!$A$3:$A$5001,G$3,BD!$B$3:$B$5001,$A$89,BD!$AE$3:$AE$5001,"&lt;&gt;")=0,"",SUMIFS(BD!$AE$3:$AE$5001,BD!$A$3:$A$5001,G$3,BD!$B$3:$B$5001,$A$89)))</f>
        <v/>
      </c>
      <c r="H108" s="206" t="str">
        <f>IF(H$3="","",IF(COUNTIFS(BD!$A$3:$A$5001,H$3,BD!$B$3:$B$5001,$A$89,BD!$AE$3:$AE$5001,"&lt;&gt;")=0,"",SUMIFS(BD!$AE$3:$AE$5001,BD!$A$3:$A$5001,H$3,BD!$B$3:$B$5001,$A$89)))</f>
        <v/>
      </c>
      <c r="I108" s="206" t="str">
        <f>IF(I$3="","",IF(COUNTIFS(BD!$A$3:$A$5001,I$3,BD!$B$3:$B$5001,$A$89,BD!$AE$3:$AE$5001,"&lt;&gt;")=0,"",SUMIFS(BD!$AE$3:$AE$5001,BD!$A$3:$A$5001,I$3,BD!$B$3:$B$5001,$A$89)))</f>
        <v/>
      </c>
      <c r="J108" s="206" t="str">
        <f>IF(J$3="","",IF(COUNTIFS(BD!$A$3:$A$5001,J$3,BD!$B$3:$B$5001,$A$89,BD!$AE$3:$AE$5001,"&lt;&gt;")=0,"",SUMIFS(BD!$AE$3:$AE$5001,BD!$A$3:$A$5001,J$3,BD!$B$3:$B$5001,$A$89)))</f>
        <v/>
      </c>
      <c r="K108" s="206" t="str">
        <f>IF(K$3="","",IF(COUNTIFS(BD!$A$3:$A$5001,K$3,BD!$B$3:$B$5001,$A$89,BD!$AE$3:$AE$5001,"&lt;&gt;")=0,"",SUMIFS(BD!$AE$3:$AE$5001,BD!$A$3:$A$5001,K$3,BD!$B$3:$B$5001,$A$89)))</f>
        <v/>
      </c>
      <c r="L108" s="206" t="str">
        <f>IF(L$3="","",IF(COUNTIFS(BD!$A$3:$A$5001,L$3,BD!$B$3:$B$5001,$A$89,BD!$AE$3:$AE$5001,"&lt;&gt;")=0,"",SUMIFS(BD!$AE$3:$AE$5001,BD!$A$3:$A$5001,L$3,BD!$B$3:$B$5001,$A$89)))</f>
        <v/>
      </c>
      <c r="M108" s="206" t="str">
        <f>IF(M$3="","",IF(COUNTIFS(BD!$A$3:$A$5001,M$3,BD!$B$3:$B$5001,$A$89,BD!$AE$3:$AE$5001,"&lt;&gt;")=0,"",SUMIFS(BD!$AE$3:$AE$5001,BD!$A$3:$A$5001,M$3,BD!$B$3:$B$5001,$A$89)))</f>
        <v/>
      </c>
      <c r="N108" s="206" t="str">
        <f>IF(N$3="","",IF(COUNTIFS(BD!$A$3:$A$5001,N$3,BD!$B$3:$B$5001,$A$89,BD!$AE$3:$AE$5001,"&lt;&gt;")=0,"",SUMIFS(BD!$AE$3:$AE$5001,BD!$A$3:$A$5001,N$3,BD!$B$3:$B$5001,$A$89)))</f>
        <v/>
      </c>
      <c r="O108" s="206" t="str">
        <f>IF(O$3="","",IF(COUNTIFS(BD!$A$3:$A$5001,O$3,BD!$B$3:$B$5001,$A$89,BD!$AE$3:$AE$5001,"&lt;&gt;")=0,"",SUMIFS(BD!$AE$3:$AE$5001,BD!$A$3:$A$5001,O$3,BD!$B$3:$B$5001,$A$89)))</f>
        <v/>
      </c>
      <c r="P108" s="206" t="str">
        <f>IF(P$3="","",IF(COUNTIFS(BD!$A$3:$A$5001,P$3,BD!$B$3:$B$5001,$A$89,BD!$AE$3:$AE$5001,"&lt;&gt;")=0,"",SUMIFS(BD!$AE$3:$AE$5001,BD!$A$3:$A$5001,P$3,BD!$B$3:$B$5001,$A$89)))</f>
        <v/>
      </c>
      <c r="Q108" s="206" t="str">
        <f>IF(Q$3="","",IF(COUNTIFS(BD!$A$3:$A$5001,Q$3,BD!$B$3:$B$5001,$A$89,BD!$AE$3:$AE$5001,"&lt;&gt;")=0,"",SUMIFS(BD!$AE$3:$AE$5001,BD!$A$3:$A$5001,Q$3,BD!$B$3:$B$5001,$A$89)))</f>
        <v/>
      </c>
      <c r="R108" s="206" t="str">
        <f>IF(R$3="","",IF(COUNTIFS(BD!$A$3:$A$5001,R$3,BD!$B$3:$B$5001,$A$89,BD!$AE$3:$AE$5001,"&lt;&gt;")=0,"",SUMIFS(BD!$AE$3:$AE$5001,BD!$A$3:$A$5001,R$3,BD!$B$3:$B$5001,$A$89)))</f>
        <v/>
      </c>
      <c r="S108" s="206" t="str">
        <f>IF(S$3="","",IF(COUNTIFS(BD!$A$3:$A$5001,S$3,BD!$B$3:$B$5001,$A$89,BD!$AE$3:$AE$5001,"&lt;&gt;")=0,"",SUMIFS(BD!$AE$3:$AE$5001,BD!$A$3:$A$5001,S$3,BD!$B$3:$B$5001,$A$89)))</f>
        <v/>
      </c>
      <c r="T108" s="206" t="str">
        <f>IF(T$3="","",IF(COUNTIFS(BD!$A$3:$A$5001,T$3,BD!$B$3:$B$5001,$A$89,BD!$AE$3:$AE$5001,"&lt;&gt;")=0,"",SUMIFS(BD!$AE$3:$AE$5001,BD!$A$3:$A$5001,T$3,BD!$B$3:$B$5001,$A$89)))</f>
        <v/>
      </c>
      <c r="U108" s="206" t="str">
        <f>IF(U$3="","",IF(COUNTIFS(BD!$A$3:$A$5001,U$3,BD!$B$3:$B$5001,$A$89,BD!$AE$3:$AE$5001,"&lt;&gt;")=0,"",SUMIFS(BD!$AE$3:$AE$5001,BD!$A$3:$A$5001,U$3,BD!$B$3:$B$5001,$A$89)))</f>
        <v/>
      </c>
      <c r="V108" s="206" t="str">
        <f>IF(V$3="","",IF(COUNTIFS(BD!$A$3:$A$5001,V$3,BD!$B$3:$B$5001,$A$89,BD!$AE$3:$AE$5001,"&lt;&gt;")=0,"",SUMIFS(BD!$AE$3:$AE$5001,BD!$A$3:$A$5001,V$3,BD!$B$3:$B$5001,$A$89)))</f>
        <v/>
      </c>
      <c r="W108" s="206" t="str">
        <f>IF(W$3="","",IF(COUNTIFS(BD!$A$3:$A$5001,W$3,BD!$B$3:$B$5001,$A$89,BD!$AE$3:$AE$5001,"&lt;&gt;")=0,"",SUMIFS(BD!$AE$3:$AE$5001,BD!$A$3:$A$5001,W$3,BD!$B$3:$B$5001,$A$89)))</f>
        <v/>
      </c>
      <c r="X108" s="206" t="str">
        <f>IF(X$3="","",IF(COUNTIFS(BD!$A$3:$A$5001,X$3,BD!$B$3:$B$5001,$A$89,BD!$AE$3:$AE$5001,"&lt;&gt;")=0,"",SUMIFS(BD!$AE$3:$AE$5001,BD!$A$3:$A$5001,X$3,BD!$B$3:$B$5001,$A$89)))</f>
        <v/>
      </c>
      <c r="Y108" s="206" t="str">
        <f>IF(Y$3="","",IF(COUNTIFS(BD!$A$3:$A$5001,Y$3,BD!$B$3:$B$5001,$A$89,BD!$AE$3:$AE$5001,"&lt;&gt;")=0,"",SUMIFS(BD!$AE$3:$AE$5001,BD!$A$3:$A$5001,Y$3,BD!$B$3:$B$5001,$A$89)))</f>
        <v/>
      </c>
      <c r="Z108" s="206" t="str">
        <f>IF(Z$3="","",IF(COUNTIFS(BD!$A$3:$A$5001,Z$3,BD!$B$3:$B$5001,$A$89,BD!$AE$3:$AE$5001,"&lt;&gt;")=0,"",SUMIFS(BD!$AE$3:$AE$5001,BD!$A$3:$A$5001,Z$3,BD!$B$3:$B$5001,$A$89)))</f>
        <v/>
      </c>
      <c r="AA108" s="206" t="str">
        <f>IF(AA$3="","",IF(COUNTIFS(BD!$A$3:$A$5001,AA$3,BD!$B$3:$B$5001,$A$89,BD!$AE$3:$AE$5001,"&lt;&gt;")=0,"",SUMIFS(BD!$AE$3:$AE$5001,BD!$A$3:$A$5001,AA$3,BD!$B$3:$B$5001,$A$89)))</f>
        <v/>
      </c>
      <c r="AB108" s="206" t="str">
        <f>IF(AB$3="","",IF(COUNTIFS(BD!$A$3:$A$5001,AB$3,BD!$B$3:$B$5001,$A$89,BD!$AE$3:$AE$5001,"&lt;&gt;")=0,"",SUMIFS(BD!$AE$3:$AE$5001,BD!$A$3:$A$5001,AB$3,BD!$B$3:$B$5001,$A$89)))</f>
        <v/>
      </c>
      <c r="AC108" s="206" t="str">
        <f>IF(AC$3="","",IF(COUNTIFS(BD!$A$3:$A$5001,AC$3,BD!$B$3:$B$5001,$A$89,BD!$AE$3:$AE$5001,"&lt;&gt;")=0,"",SUMIFS(BD!$AE$3:$AE$5001,BD!$A$3:$A$5001,AC$3,BD!$B$3:$B$5001,$A$89)))</f>
        <v/>
      </c>
      <c r="AD108" s="206" t="str">
        <f>IF(AD$3="","",IF(COUNTIFS(BD!$A$3:$A$5001,AD$3,BD!$B$3:$B$5001,$A$89,BD!$AE$3:$AE$5001,"&lt;&gt;")=0,"",SUMIFS(BD!$AE$3:$AE$5001,BD!$A$3:$A$5001,AD$3,BD!$B$3:$B$5001,$A$89)))</f>
        <v/>
      </c>
      <c r="AE108" s="206" t="str">
        <f>IF(AE$3="","",IF(COUNTIFS(BD!$A$3:$A$5001,AE$3,BD!$B$3:$B$5001,$A$89,BD!$AE$3:$AE$5001,"&lt;&gt;")=0,"",SUMIFS(BD!$AE$3:$AE$5001,BD!$A$3:$A$5001,AE$3,BD!$B$3:$B$5001,$A$89)))</f>
        <v/>
      </c>
      <c r="AF108" s="206" t="str">
        <f>IF(AF$3="","",IF(COUNTIFS(BD!$A$3:$A$5001,AF$3,BD!$B$3:$B$5001,$A$89,BD!$AE$3:$AE$5001,"&lt;&gt;")=0,"",SUMIFS(BD!$AE$3:$AE$5001,BD!$A$3:$A$5001,AF$3,BD!$B$3:$B$5001,$A$89)))</f>
        <v/>
      </c>
      <c r="AG108" s="206" t="str">
        <f>IF(AG$3="","",IF(COUNTIFS(BD!$A$3:$A$5001,AG$3,BD!$B$3:$B$5001,$A$89,BD!$AE$3:$AE$5001,"&lt;&gt;")=0,"",SUMIFS(BD!$AE$3:$AE$5001,BD!$A$3:$A$5001,AG$3,BD!$B$3:$B$5001,$A$89)))</f>
        <v/>
      </c>
      <c r="AH108" s="206" t="str">
        <f>IF(AH$3="","",IF(COUNTIFS(BD!$A$3:$A$5001,AH$3,BD!$B$3:$B$5001,$A$89,BD!$AE$3:$AE$5001,"&lt;&gt;")=0,"",SUMIFS(BD!$AE$3:$AE$5001,BD!$A$3:$A$5001,AH$3,BD!$B$3:$B$5001,$A$89)))</f>
        <v/>
      </c>
      <c r="AI108" s="206" t="str">
        <f>IF(AI$3="","",IF(COUNTIFS(BD!$A$3:$A$5001,AI$3,BD!$B$3:$B$5001,$A$89,BD!$AE$3:$AE$5001,"&lt;&gt;")=0,"",SUMIFS(BD!$AE$3:$AE$5001,BD!$A$3:$A$5001,AI$3,BD!$B$3:$B$5001,$A$89)))</f>
        <v/>
      </c>
      <c r="AJ108" s="207" t="str">
        <f>IF(AJ$3="","",IF(COUNTIFS(BD!$A$3:$A$5001,AJ$3,BD!$B$3:$B$5001,$A$89,BD!$AE$3:$AE$5001,"&lt;&gt;")=0,"",SUMIFS(BD!$AE$3:$AE$5001,BD!$A$3:$A$5001,AJ$3,BD!$B$3:$B$5001,$A$89)))</f>
        <v/>
      </c>
      <c r="AK108" s="208" t="str">
        <f>IF(COUNT(F108:AJ108)=0,"",SUM(F108:AJ108))</f>
        <v/>
      </c>
    </row>
    <row r="109" ht="15.75" customHeight="1">
      <c r="A109" s="227"/>
      <c r="B109" s="224"/>
      <c r="C109" s="202" t="inlineStr">
        <is>
          <t xml:space="preserve">Acidentes CAF</t>
        </is>
      </c>
      <c r="D109" s="203" t="str">
        <f>IFERROR(1/(1/INDEX(BD!$AK$53:$AT$53,MATCH($A$89,BD!$AK$22:$AT$22,0))),"")</f>
        <v/>
      </c>
      <c r="E109" s="204"/>
      <c r="F109" s="205" t="str">
        <f>IF(F$3="","",IF(COUNTIFS(BD!$A$3:$A$5001,F$3,BD!$B$3:$B$5001,$A$89,BD!$AF$3:$AF$5001,"&lt;&gt;")=0,"",SUMIFS(BD!$AF$3:$AF$5001,BD!$A$3:$A$5001,F$3,BD!$B$3:$B$5001,$A$89)))</f>
        <v/>
      </c>
      <c r="G109" s="206" t="str">
        <f>IF(G$3="","",IF(COUNTIFS(BD!$A$3:$A$5001,G$3,BD!$B$3:$B$5001,$A$89,BD!$AF$3:$AF$5001,"&lt;&gt;")=0,"",SUMIFS(BD!$AF$3:$AF$5001,BD!$A$3:$A$5001,G$3,BD!$B$3:$B$5001,$A$89)))</f>
        <v/>
      </c>
      <c r="H109" s="206" t="str">
        <f>IF(H$3="","",IF(COUNTIFS(BD!$A$3:$A$5001,H$3,BD!$B$3:$B$5001,$A$89,BD!$AF$3:$AF$5001,"&lt;&gt;")=0,"",SUMIFS(BD!$AF$3:$AF$5001,BD!$A$3:$A$5001,H$3,BD!$B$3:$B$5001,$A$89)))</f>
        <v/>
      </c>
      <c r="I109" s="206" t="str">
        <f>IF(I$3="","",IF(COUNTIFS(BD!$A$3:$A$5001,I$3,BD!$B$3:$B$5001,$A$89,BD!$AF$3:$AF$5001,"&lt;&gt;")=0,"",SUMIFS(BD!$AF$3:$AF$5001,BD!$A$3:$A$5001,I$3,BD!$B$3:$B$5001,$A$89)))</f>
        <v/>
      </c>
      <c r="J109" s="206" t="str">
        <f>IF(J$3="","",IF(COUNTIFS(BD!$A$3:$A$5001,J$3,BD!$B$3:$B$5001,$A$89,BD!$AF$3:$AF$5001,"&lt;&gt;")=0,"",SUMIFS(BD!$AF$3:$AF$5001,BD!$A$3:$A$5001,J$3,BD!$B$3:$B$5001,$A$89)))</f>
        <v/>
      </c>
      <c r="K109" s="206" t="str">
        <f>IF(K$3="","",IF(COUNTIFS(BD!$A$3:$A$5001,K$3,BD!$B$3:$B$5001,$A$89,BD!$AF$3:$AF$5001,"&lt;&gt;")=0,"",SUMIFS(BD!$AF$3:$AF$5001,BD!$A$3:$A$5001,K$3,BD!$B$3:$B$5001,$A$89)))</f>
        <v/>
      </c>
      <c r="L109" s="206" t="str">
        <f>IF(L$3="","",IF(COUNTIFS(BD!$A$3:$A$5001,L$3,BD!$B$3:$B$5001,$A$89,BD!$AF$3:$AF$5001,"&lt;&gt;")=0,"",SUMIFS(BD!$AF$3:$AF$5001,BD!$A$3:$A$5001,L$3,BD!$B$3:$B$5001,$A$89)))</f>
        <v/>
      </c>
      <c r="M109" s="206" t="str">
        <f>IF(M$3="","",IF(COUNTIFS(BD!$A$3:$A$5001,M$3,BD!$B$3:$B$5001,$A$89,BD!$AF$3:$AF$5001,"&lt;&gt;")=0,"",SUMIFS(BD!$AF$3:$AF$5001,BD!$A$3:$A$5001,M$3,BD!$B$3:$B$5001,$A$89)))</f>
        <v/>
      </c>
      <c r="N109" s="206" t="str">
        <f>IF(N$3="","",IF(COUNTIFS(BD!$A$3:$A$5001,N$3,BD!$B$3:$B$5001,$A$89,BD!$AF$3:$AF$5001,"&lt;&gt;")=0,"",SUMIFS(BD!$AF$3:$AF$5001,BD!$A$3:$A$5001,N$3,BD!$B$3:$B$5001,$A$89)))</f>
        <v/>
      </c>
      <c r="O109" s="206" t="str">
        <f>IF(O$3="","",IF(COUNTIFS(BD!$A$3:$A$5001,O$3,BD!$B$3:$B$5001,$A$89,BD!$AF$3:$AF$5001,"&lt;&gt;")=0,"",SUMIFS(BD!$AF$3:$AF$5001,BD!$A$3:$A$5001,O$3,BD!$B$3:$B$5001,$A$89)))</f>
        <v/>
      </c>
      <c r="P109" s="206" t="str">
        <f>IF(P$3="","",IF(COUNTIFS(BD!$A$3:$A$5001,P$3,BD!$B$3:$B$5001,$A$89,BD!$AF$3:$AF$5001,"&lt;&gt;")=0,"",SUMIFS(BD!$AF$3:$AF$5001,BD!$A$3:$A$5001,P$3,BD!$B$3:$B$5001,$A$89)))</f>
        <v/>
      </c>
      <c r="Q109" s="206" t="str">
        <f>IF(Q$3="","",IF(COUNTIFS(BD!$A$3:$A$5001,Q$3,BD!$B$3:$B$5001,$A$89,BD!$AF$3:$AF$5001,"&lt;&gt;")=0,"",SUMIFS(BD!$AF$3:$AF$5001,BD!$A$3:$A$5001,Q$3,BD!$B$3:$B$5001,$A$89)))</f>
        <v/>
      </c>
      <c r="R109" s="206" t="str">
        <f>IF(R$3="","",IF(COUNTIFS(BD!$A$3:$A$5001,R$3,BD!$B$3:$B$5001,$A$89,BD!$AF$3:$AF$5001,"&lt;&gt;")=0,"",SUMIFS(BD!$AF$3:$AF$5001,BD!$A$3:$A$5001,R$3,BD!$B$3:$B$5001,$A$89)))</f>
        <v/>
      </c>
      <c r="S109" s="206" t="str">
        <f>IF(S$3="","",IF(COUNTIFS(BD!$A$3:$A$5001,S$3,BD!$B$3:$B$5001,$A$89,BD!$AF$3:$AF$5001,"&lt;&gt;")=0,"",SUMIFS(BD!$AF$3:$AF$5001,BD!$A$3:$A$5001,S$3,BD!$B$3:$B$5001,$A$89)))</f>
        <v/>
      </c>
      <c r="T109" s="206" t="str">
        <f>IF(T$3="","",IF(COUNTIFS(BD!$A$3:$A$5001,T$3,BD!$B$3:$B$5001,$A$89,BD!$AF$3:$AF$5001,"&lt;&gt;")=0,"",SUMIFS(BD!$AF$3:$AF$5001,BD!$A$3:$A$5001,T$3,BD!$B$3:$B$5001,$A$89)))</f>
        <v/>
      </c>
      <c r="U109" s="206" t="str">
        <f>IF(U$3="","",IF(COUNTIFS(BD!$A$3:$A$5001,U$3,BD!$B$3:$B$5001,$A$89,BD!$AF$3:$AF$5001,"&lt;&gt;")=0,"",SUMIFS(BD!$AF$3:$AF$5001,BD!$A$3:$A$5001,U$3,BD!$B$3:$B$5001,$A$89)))</f>
        <v/>
      </c>
      <c r="V109" s="206" t="str">
        <f>IF(V$3="","",IF(COUNTIFS(BD!$A$3:$A$5001,V$3,BD!$B$3:$B$5001,$A$89,BD!$AF$3:$AF$5001,"&lt;&gt;")=0,"",SUMIFS(BD!$AF$3:$AF$5001,BD!$A$3:$A$5001,V$3,BD!$B$3:$B$5001,$A$89)))</f>
        <v/>
      </c>
      <c r="W109" s="206" t="str">
        <f>IF(W$3="","",IF(COUNTIFS(BD!$A$3:$A$5001,W$3,BD!$B$3:$B$5001,$A$89,BD!$AF$3:$AF$5001,"&lt;&gt;")=0,"",SUMIFS(BD!$AF$3:$AF$5001,BD!$A$3:$A$5001,W$3,BD!$B$3:$B$5001,$A$89)))</f>
        <v/>
      </c>
      <c r="X109" s="206" t="str">
        <f>IF(X$3="","",IF(COUNTIFS(BD!$A$3:$A$5001,X$3,BD!$B$3:$B$5001,$A$89,BD!$AF$3:$AF$5001,"&lt;&gt;")=0,"",SUMIFS(BD!$AF$3:$AF$5001,BD!$A$3:$A$5001,X$3,BD!$B$3:$B$5001,$A$89)))</f>
        <v/>
      </c>
      <c r="Y109" s="206" t="str">
        <f>IF(Y$3="","",IF(COUNTIFS(BD!$A$3:$A$5001,Y$3,BD!$B$3:$B$5001,$A$89,BD!$AF$3:$AF$5001,"&lt;&gt;")=0,"",SUMIFS(BD!$AF$3:$AF$5001,BD!$A$3:$A$5001,Y$3,BD!$B$3:$B$5001,$A$89)))</f>
        <v/>
      </c>
      <c r="Z109" s="206" t="str">
        <f>IF(Z$3="","",IF(COUNTIFS(BD!$A$3:$A$5001,Z$3,BD!$B$3:$B$5001,$A$89,BD!$AF$3:$AF$5001,"&lt;&gt;")=0,"",SUMIFS(BD!$AF$3:$AF$5001,BD!$A$3:$A$5001,Z$3,BD!$B$3:$B$5001,$A$89)))</f>
        <v/>
      </c>
      <c r="AA109" s="206" t="str">
        <f>IF(AA$3="","",IF(COUNTIFS(BD!$A$3:$A$5001,AA$3,BD!$B$3:$B$5001,$A$89,BD!$AF$3:$AF$5001,"&lt;&gt;")=0,"",SUMIFS(BD!$AF$3:$AF$5001,BD!$A$3:$A$5001,AA$3,BD!$B$3:$B$5001,$A$89)))</f>
        <v/>
      </c>
      <c r="AB109" s="206" t="str">
        <f>IF(AB$3="","",IF(COUNTIFS(BD!$A$3:$A$5001,AB$3,BD!$B$3:$B$5001,$A$89,BD!$AF$3:$AF$5001,"&lt;&gt;")=0,"",SUMIFS(BD!$AF$3:$AF$5001,BD!$A$3:$A$5001,AB$3,BD!$B$3:$B$5001,$A$89)))</f>
        <v/>
      </c>
      <c r="AC109" s="206" t="str">
        <f>IF(AC$3="","",IF(COUNTIFS(BD!$A$3:$A$5001,AC$3,BD!$B$3:$B$5001,$A$89,BD!$AF$3:$AF$5001,"&lt;&gt;")=0,"",SUMIFS(BD!$AF$3:$AF$5001,BD!$A$3:$A$5001,AC$3,BD!$B$3:$B$5001,$A$89)))</f>
        <v/>
      </c>
      <c r="AD109" s="206" t="str">
        <f>IF(AD$3="","",IF(COUNTIFS(BD!$A$3:$A$5001,AD$3,BD!$B$3:$B$5001,$A$89,BD!$AF$3:$AF$5001,"&lt;&gt;")=0,"",SUMIFS(BD!$AF$3:$AF$5001,BD!$A$3:$A$5001,AD$3,BD!$B$3:$B$5001,$A$89)))</f>
        <v/>
      </c>
      <c r="AE109" s="206" t="str">
        <f>IF(AE$3="","",IF(COUNTIFS(BD!$A$3:$A$5001,AE$3,BD!$B$3:$B$5001,$A$89,BD!$AF$3:$AF$5001,"&lt;&gt;")=0,"",SUMIFS(BD!$AF$3:$AF$5001,BD!$A$3:$A$5001,AE$3,BD!$B$3:$B$5001,$A$89)))</f>
        <v/>
      </c>
      <c r="AF109" s="206" t="str">
        <f>IF(AF$3="","",IF(COUNTIFS(BD!$A$3:$A$5001,AF$3,BD!$B$3:$B$5001,$A$89,BD!$AF$3:$AF$5001,"&lt;&gt;")=0,"",SUMIFS(BD!$AF$3:$AF$5001,BD!$A$3:$A$5001,AF$3,BD!$B$3:$B$5001,$A$89)))</f>
        <v/>
      </c>
      <c r="AG109" s="206" t="str">
        <f>IF(AG$3="","",IF(COUNTIFS(BD!$A$3:$A$5001,AG$3,BD!$B$3:$B$5001,$A$89,BD!$AF$3:$AF$5001,"&lt;&gt;")=0,"",SUMIFS(BD!$AF$3:$AF$5001,BD!$A$3:$A$5001,AG$3,BD!$B$3:$B$5001,$A$89)))</f>
        <v/>
      </c>
      <c r="AH109" s="206" t="str">
        <f>IF(AH$3="","",IF(COUNTIFS(BD!$A$3:$A$5001,AH$3,BD!$B$3:$B$5001,$A$89,BD!$AF$3:$AF$5001,"&lt;&gt;")=0,"",SUMIFS(BD!$AF$3:$AF$5001,BD!$A$3:$A$5001,AH$3,BD!$B$3:$B$5001,$A$89)))</f>
        <v/>
      </c>
      <c r="AI109" s="206" t="str">
        <f>IF(AI$3="","",IF(COUNTIFS(BD!$A$3:$A$5001,AI$3,BD!$B$3:$B$5001,$A$89,BD!$AF$3:$AF$5001,"&lt;&gt;")=0,"",SUMIFS(BD!$AF$3:$AF$5001,BD!$A$3:$A$5001,AI$3,BD!$B$3:$B$5001,$A$89)))</f>
        <v/>
      </c>
      <c r="AJ109" s="207" t="str">
        <f>IF(AJ$3="","",IF(COUNTIFS(BD!$A$3:$A$5001,AJ$3,BD!$B$3:$B$5001,$A$89,BD!$AF$3:$AF$5001,"&lt;&gt;")=0,"",SUMIFS(BD!$AF$3:$AF$5001,BD!$A$3:$A$5001,AJ$3,BD!$B$3:$B$5001,$A$89)))</f>
        <v/>
      </c>
      <c r="AK109" s="208" t="str">
        <f>IF(COUNT(F109:AJ109)=0,"",SUM(F109:AJ109))</f>
        <v/>
      </c>
    </row>
    <row r="110" ht="15.75" customHeight="1">
      <c r="A110" s="228"/>
      <c r="B110" s="225"/>
      <c r="C110" s="209" t="inlineStr">
        <is>
          <t xml:space="preserve">Acidentes SAF</t>
        </is>
      </c>
      <c r="D110" s="210" t="str">
        <f>IFERROR(1/(1/INDEX(BD!$AK$54:$AT$54,MATCH($A$89,BD!$AK$22:$AT$22,0))),"")</f>
        <v/>
      </c>
      <c r="E110" s="211"/>
      <c r="F110" s="212" t="str">
        <f>IF(F$3="","",IF(COUNTIFS(BD!$A$3:$A$5001,F$3,BD!$B$3:$B$5001,$A$89,BD!$AG$3:$AG$5001,"&lt;&gt;")=0,"",SUMIFS(BD!$AG$3:$AG$5001,BD!$A$3:$A$5001,F$3,BD!$B$3:$B$5001,$A$89)))</f>
        <v/>
      </c>
      <c r="G110" s="213" t="str">
        <f>IF(G$3="","",IF(COUNTIFS(BD!$A$3:$A$5001,G$3,BD!$B$3:$B$5001,$A$89,BD!$AG$3:$AG$5001,"&lt;&gt;")=0,"",SUMIFS(BD!$AG$3:$AG$5001,BD!$A$3:$A$5001,G$3,BD!$B$3:$B$5001,$A$89)))</f>
        <v/>
      </c>
      <c r="H110" s="213" t="str">
        <f>IF(H$3="","",IF(COUNTIFS(BD!$A$3:$A$5001,H$3,BD!$B$3:$B$5001,$A$89,BD!$AG$3:$AG$5001,"&lt;&gt;")=0,"",SUMIFS(BD!$AG$3:$AG$5001,BD!$A$3:$A$5001,H$3,BD!$B$3:$B$5001,$A$89)))</f>
        <v/>
      </c>
      <c r="I110" s="213" t="str">
        <f>IF(I$3="","",IF(COUNTIFS(BD!$A$3:$A$5001,I$3,BD!$B$3:$B$5001,$A$89,BD!$AG$3:$AG$5001,"&lt;&gt;")=0,"",SUMIFS(BD!$AG$3:$AG$5001,BD!$A$3:$A$5001,I$3,BD!$B$3:$B$5001,$A$89)))</f>
        <v/>
      </c>
      <c r="J110" s="213" t="str">
        <f>IF(J$3="","",IF(COUNTIFS(BD!$A$3:$A$5001,J$3,BD!$B$3:$B$5001,$A$89,BD!$AG$3:$AG$5001,"&lt;&gt;")=0,"",SUMIFS(BD!$AG$3:$AG$5001,BD!$A$3:$A$5001,J$3,BD!$B$3:$B$5001,$A$89)))</f>
        <v/>
      </c>
      <c r="K110" s="213" t="str">
        <f>IF(K$3="","",IF(COUNTIFS(BD!$A$3:$A$5001,K$3,BD!$B$3:$B$5001,$A$89,BD!$AG$3:$AG$5001,"&lt;&gt;")=0,"",SUMIFS(BD!$AG$3:$AG$5001,BD!$A$3:$A$5001,K$3,BD!$B$3:$B$5001,$A$89)))</f>
        <v/>
      </c>
      <c r="L110" s="213" t="str">
        <f>IF(L$3="","",IF(COUNTIFS(BD!$A$3:$A$5001,L$3,BD!$B$3:$B$5001,$A$89,BD!$AG$3:$AG$5001,"&lt;&gt;")=0,"",SUMIFS(BD!$AG$3:$AG$5001,BD!$A$3:$A$5001,L$3,BD!$B$3:$B$5001,$A$89)))</f>
        <v/>
      </c>
      <c r="M110" s="213" t="str">
        <f>IF(M$3="","",IF(COUNTIFS(BD!$A$3:$A$5001,M$3,BD!$B$3:$B$5001,$A$89,BD!$AG$3:$AG$5001,"&lt;&gt;")=0,"",SUMIFS(BD!$AG$3:$AG$5001,BD!$A$3:$A$5001,M$3,BD!$B$3:$B$5001,$A$89)))</f>
        <v/>
      </c>
      <c r="N110" s="213" t="str">
        <f>IF(N$3="","",IF(COUNTIFS(BD!$A$3:$A$5001,N$3,BD!$B$3:$B$5001,$A$89,BD!$AG$3:$AG$5001,"&lt;&gt;")=0,"",SUMIFS(BD!$AG$3:$AG$5001,BD!$A$3:$A$5001,N$3,BD!$B$3:$B$5001,$A$89)))</f>
        <v/>
      </c>
      <c r="O110" s="213" t="str">
        <f>IF(O$3="","",IF(COUNTIFS(BD!$A$3:$A$5001,O$3,BD!$B$3:$B$5001,$A$89,BD!$AG$3:$AG$5001,"&lt;&gt;")=0,"",SUMIFS(BD!$AG$3:$AG$5001,BD!$A$3:$A$5001,O$3,BD!$B$3:$B$5001,$A$89)))</f>
        <v/>
      </c>
      <c r="P110" s="213" t="str">
        <f>IF(P$3="","",IF(COUNTIFS(BD!$A$3:$A$5001,P$3,BD!$B$3:$B$5001,$A$89,BD!$AG$3:$AG$5001,"&lt;&gt;")=0,"",SUMIFS(BD!$AG$3:$AG$5001,BD!$A$3:$A$5001,P$3,BD!$B$3:$B$5001,$A$89)))</f>
        <v/>
      </c>
      <c r="Q110" s="213" t="str">
        <f>IF(Q$3="","",IF(COUNTIFS(BD!$A$3:$A$5001,Q$3,BD!$B$3:$B$5001,$A$89,BD!$AG$3:$AG$5001,"&lt;&gt;")=0,"",SUMIFS(BD!$AG$3:$AG$5001,BD!$A$3:$A$5001,Q$3,BD!$B$3:$B$5001,$A$89)))</f>
        <v/>
      </c>
      <c r="R110" s="213" t="str">
        <f>IF(R$3="","",IF(COUNTIFS(BD!$A$3:$A$5001,R$3,BD!$B$3:$B$5001,$A$89,BD!$AG$3:$AG$5001,"&lt;&gt;")=0,"",SUMIFS(BD!$AG$3:$AG$5001,BD!$A$3:$A$5001,R$3,BD!$B$3:$B$5001,$A$89)))</f>
        <v/>
      </c>
      <c r="S110" s="213" t="str">
        <f>IF(S$3="","",IF(COUNTIFS(BD!$A$3:$A$5001,S$3,BD!$B$3:$B$5001,$A$89,BD!$AG$3:$AG$5001,"&lt;&gt;")=0,"",SUMIFS(BD!$AG$3:$AG$5001,BD!$A$3:$A$5001,S$3,BD!$B$3:$B$5001,$A$89)))</f>
        <v/>
      </c>
      <c r="T110" s="213" t="str">
        <f>IF(T$3="","",IF(COUNTIFS(BD!$A$3:$A$5001,T$3,BD!$B$3:$B$5001,$A$89,BD!$AG$3:$AG$5001,"&lt;&gt;")=0,"",SUMIFS(BD!$AG$3:$AG$5001,BD!$A$3:$A$5001,T$3,BD!$B$3:$B$5001,$A$89)))</f>
        <v/>
      </c>
      <c r="U110" s="213" t="str">
        <f>IF(U$3="","",IF(COUNTIFS(BD!$A$3:$A$5001,U$3,BD!$B$3:$B$5001,$A$89,BD!$AG$3:$AG$5001,"&lt;&gt;")=0,"",SUMIFS(BD!$AG$3:$AG$5001,BD!$A$3:$A$5001,U$3,BD!$B$3:$B$5001,$A$89)))</f>
        <v/>
      </c>
      <c r="V110" s="213" t="str">
        <f>IF(V$3="","",IF(COUNTIFS(BD!$A$3:$A$5001,V$3,BD!$B$3:$B$5001,$A$89,BD!$AG$3:$AG$5001,"&lt;&gt;")=0,"",SUMIFS(BD!$AG$3:$AG$5001,BD!$A$3:$A$5001,V$3,BD!$B$3:$B$5001,$A$89)))</f>
        <v/>
      </c>
      <c r="W110" s="213" t="str">
        <f>IF(W$3="","",IF(COUNTIFS(BD!$A$3:$A$5001,W$3,BD!$B$3:$B$5001,$A$89,BD!$AG$3:$AG$5001,"&lt;&gt;")=0,"",SUMIFS(BD!$AG$3:$AG$5001,BD!$A$3:$A$5001,W$3,BD!$B$3:$B$5001,$A$89)))</f>
        <v/>
      </c>
      <c r="X110" s="213" t="str">
        <f>IF(X$3="","",IF(COUNTIFS(BD!$A$3:$A$5001,X$3,BD!$B$3:$B$5001,$A$89,BD!$AG$3:$AG$5001,"&lt;&gt;")=0,"",SUMIFS(BD!$AG$3:$AG$5001,BD!$A$3:$A$5001,X$3,BD!$B$3:$B$5001,$A$89)))</f>
        <v/>
      </c>
      <c r="Y110" s="213" t="str">
        <f>IF(Y$3="","",IF(COUNTIFS(BD!$A$3:$A$5001,Y$3,BD!$B$3:$B$5001,$A$89,BD!$AG$3:$AG$5001,"&lt;&gt;")=0,"",SUMIFS(BD!$AG$3:$AG$5001,BD!$A$3:$A$5001,Y$3,BD!$B$3:$B$5001,$A$89)))</f>
        <v/>
      </c>
      <c r="Z110" s="213" t="str">
        <f>IF(Z$3="","",IF(COUNTIFS(BD!$A$3:$A$5001,Z$3,BD!$B$3:$B$5001,$A$89,BD!$AG$3:$AG$5001,"&lt;&gt;")=0,"",SUMIFS(BD!$AG$3:$AG$5001,BD!$A$3:$A$5001,Z$3,BD!$B$3:$B$5001,$A$89)))</f>
        <v/>
      </c>
      <c r="AA110" s="213" t="str">
        <f>IF(AA$3="","",IF(COUNTIFS(BD!$A$3:$A$5001,AA$3,BD!$B$3:$B$5001,$A$89,BD!$AG$3:$AG$5001,"&lt;&gt;")=0,"",SUMIFS(BD!$AG$3:$AG$5001,BD!$A$3:$A$5001,AA$3,BD!$B$3:$B$5001,$A$89)))</f>
        <v/>
      </c>
      <c r="AB110" s="213" t="str">
        <f>IF(AB$3="","",IF(COUNTIFS(BD!$A$3:$A$5001,AB$3,BD!$B$3:$B$5001,$A$89,BD!$AG$3:$AG$5001,"&lt;&gt;")=0,"",SUMIFS(BD!$AG$3:$AG$5001,BD!$A$3:$A$5001,AB$3,BD!$B$3:$B$5001,$A$89)))</f>
        <v/>
      </c>
      <c r="AC110" s="213" t="str">
        <f>IF(AC$3="","",IF(COUNTIFS(BD!$A$3:$A$5001,AC$3,BD!$B$3:$B$5001,$A$89,BD!$AG$3:$AG$5001,"&lt;&gt;")=0,"",SUMIFS(BD!$AG$3:$AG$5001,BD!$A$3:$A$5001,AC$3,BD!$B$3:$B$5001,$A$89)))</f>
        <v/>
      </c>
      <c r="AD110" s="213" t="str">
        <f>IF(AD$3="","",IF(COUNTIFS(BD!$A$3:$A$5001,AD$3,BD!$B$3:$B$5001,$A$89,BD!$AG$3:$AG$5001,"&lt;&gt;")=0,"",SUMIFS(BD!$AG$3:$AG$5001,BD!$A$3:$A$5001,AD$3,BD!$B$3:$B$5001,$A$89)))</f>
        <v/>
      </c>
      <c r="AE110" s="213" t="str">
        <f>IF(AE$3="","",IF(COUNTIFS(BD!$A$3:$A$5001,AE$3,BD!$B$3:$B$5001,$A$89,BD!$AG$3:$AG$5001,"&lt;&gt;")=0,"",SUMIFS(BD!$AG$3:$AG$5001,BD!$A$3:$A$5001,AE$3,BD!$B$3:$B$5001,$A$89)))</f>
        <v/>
      </c>
      <c r="AF110" s="213" t="str">
        <f>IF(AF$3="","",IF(COUNTIFS(BD!$A$3:$A$5001,AF$3,BD!$B$3:$B$5001,$A$89,BD!$AG$3:$AG$5001,"&lt;&gt;")=0,"",SUMIFS(BD!$AG$3:$AG$5001,BD!$A$3:$A$5001,AF$3,BD!$B$3:$B$5001,$A$89)))</f>
        <v/>
      </c>
      <c r="AG110" s="213" t="str">
        <f>IF(AG$3="","",IF(COUNTIFS(BD!$A$3:$A$5001,AG$3,BD!$B$3:$B$5001,$A$89,BD!$AG$3:$AG$5001,"&lt;&gt;")=0,"",SUMIFS(BD!$AG$3:$AG$5001,BD!$A$3:$A$5001,AG$3,BD!$B$3:$B$5001,$A$89)))</f>
        <v/>
      </c>
      <c r="AH110" s="213" t="str">
        <f>IF(AH$3="","",IF(COUNTIFS(BD!$A$3:$A$5001,AH$3,BD!$B$3:$B$5001,$A$89,BD!$AG$3:$AG$5001,"&lt;&gt;")=0,"",SUMIFS(BD!$AG$3:$AG$5001,BD!$A$3:$A$5001,AH$3,BD!$B$3:$B$5001,$A$89)))</f>
        <v/>
      </c>
      <c r="AI110" s="213" t="str">
        <f>IF(AI$3="","",IF(COUNTIFS(BD!$A$3:$A$5001,AI$3,BD!$B$3:$B$5001,$A$89,BD!$AG$3:$AG$5001,"&lt;&gt;")=0,"",SUMIFS(BD!$AG$3:$AG$5001,BD!$A$3:$A$5001,AI$3,BD!$B$3:$B$5001,$A$89)))</f>
        <v/>
      </c>
      <c r="AJ110" s="214" t="str">
        <f>IF(AJ$3="","",IF(COUNTIFS(BD!$A$3:$A$5001,AJ$3,BD!$B$3:$B$5001,$A$89,BD!$AG$3:$AG$5001,"&lt;&gt;")=0,"",SUMIFS(BD!$AG$3:$AG$5001,BD!$A$3:$A$5001,AJ$3,BD!$B$3:$B$5001,$A$89)))</f>
        <v/>
      </c>
      <c r="AK110" s="210" t="str">
        <f>IF(COUNT(F110:AJ110)=0,"",SUM(F110:AJ110))</f>
        <v/>
      </c>
    </row>
    <row r="112" ht="15.75" customHeight="1">
      <c r="A112" s="226" t="inlineStr">
        <is>
          <t xml:space="preserve">Omnilife</t>
        </is>
      </c>
      <c r="B112" s="215" t="inlineStr">
        <is>
          <t xml:space="preserve">IN</t>
        </is>
      </c>
      <c r="C112" s="138" t="inlineStr">
        <is>
          <t xml:space="preserve">Veículos Recebidos</t>
        </is>
      </c>
      <c r="D112" s="139" t="str">
        <f>IFERROR(1/(1/INDEX(BD!$AK$23:$AT$23,MATCH($A$112,BD!$AK$22:$AT$22,0))),"")</f>
        <v/>
      </c>
      <c r="E112" s="140"/>
      <c r="F112" s="141" t="str">
        <f>IF(F$3="","",IF(COUNTIFS(BD!$A$3:$A$5001,F$3,BD!$B$3:$B$5001,$A$112,BD!$C$3:$C$5001,"&lt;&gt;")=0,"",SUMIFS(BD!$C$3:$C$5001,BD!$A$3:$A$5001,F$3,BD!$B$3:$B$5001,$A$112)))</f>
        <v/>
      </c>
      <c r="G112" s="142" t="str">
        <f>IF(G$3="","",IF(COUNTIFS(BD!$A$3:$A$5001,G$3,BD!$B$3:$B$5001,$A$112,BD!$C$3:$C$5001,"&lt;&gt;")=0,"",SUMIFS(BD!$C$3:$C$5001,BD!$A$3:$A$5001,G$3,BD!$B$3:$B$5001,$A$112)))</f>
        <v/>
      </c>
      <c r="H112" s="142" t="str">
        <f>IF(H$3="","",IF(COUNTIFS(BD!$A$3:$A$5001,H$3,BD!$B$3:$B$5001,$A$112,BD!$C$3:$C$5001,"&lt;&gt;")=0,"",SUMIFS(BD!$C$3:$C$5001,BD!$A$3:$A$5001,H$3,BD!$B$3:$B$5001,$A$112)))</f>
        <v/>
      </c>
      <c r="I112" s="142" t="str">
        <f>IF(I$3="","",IF(COUNTIFS(BD!$A$3:$A$5001,I$3,BD!$B$3:$B$5001,$A$112,BD!$C$3:$C$5001,"&lt;&gt;")=0,"",SUMIFS(BD!$C$3:$C$5001,BD!$A$3:$A$5001,I$3,BD!$B$3:$B$5001,$A$112)))</f>
        <v/>
      </c>
      <c r="J112" s="142" t="str">
        <f>IF(J$3="","",IF(COUNTIFS(BD!$A$3:$A$5001,J$3,BD!$B$3:$B$5001,$A$112,BD!$C$3:$C$5001,"&lt;&gt;")=0,"",SUMIFS(BD!$C$3:$C$5001,BD!$A$3:$A$5001,J$3,BD!$B$3:$B$5001,$A$112)))</f>
        <v/>
      </c>
      <c r="K112" s="142" t="str">
        <f>IF(K$3="","",IF(COUNTIFS(BD!$A$3:$A$5001,K$3,BD!$B$3:$B$5001,$A$112,BD!$C$3:$C$5001,"&lt;&gt;")=0,"",SUMIFS(BD!$C$3:$C$5001,BD!$A$3:$A$5001,K$3,BD!$B$3:$B$5001,$A$112)))</f>
        <v/>
      </c>
      <c r="L112" s="142" t="str">
        <f>IF(L$3="","",IF(COUNTIFS(BD!$A$3:$A$5001,L$3,BD!$B$3:$B$5001,$A$112,BD!$C$3:$C$5001,"&lt;&gt;")=0,"",SUMIFS(BD!$C$3:$C$5001,BD!$A$3:$A$5001,L$3,BD!$B$3:$B$5001,$A$112)))</f>
        <v/>
      </c>
      <c r="M112" s="142" t="str">
        <f>IF(M$3="","",IF(COUNTIFS(BD!$A$3:$A$5001,M$3,BD!$B$3:$B$5001,$A$112,BD!$C$3:$C$5001,"&lt;&gt;")=0,"",SUMIFS(BD!$C$3:$C$5001,BD!$A$3:$A$5001,M$3,BD!$B$3:$B$5001,$A$112)))</f>
        <v/>
      </c>
      <c r="N112" s="142" t="str">
        <f>IF(N$3="","",IF(COUNTIFS(BD!$A$3:$A$5001,N$3,BD!$B$3:$B$5001,$A$112,BD!$C$3:$C$5001,"&lt;&gt;")=0,"",SUMIFS(BD!$C$3:$C$5001,BD!$A$3:$A$5001,N$3,BD!$B$3:$B$5001,$A$112)))</f>
        <v/>
      </c>
      <c r="O112" s="142" t="str">
        <f>IF(O$3="","",IF(COUNTIFS(BD!$A$3:$A$5001,O$3,BD!$B$3:$B$5001,$A$112,BD!$C$3:$C$5001,"&lt;&gt;")=0,"",SUMIFS(BD!$C$3:$C$5001,BD!$A$3:$A$5001,O$3,BD!$B$3:$B$5001,$A$112)))</f>
        <v/>
      </c>
      <c r="P112" s="142" t="str">
        <f>IF(P$3="","",IF(COUNTIFS(BD!$A$3:$A$5001,P$3,BD!$B$3:$B$5001,$A$112,BD!$C$3:$C$5001,"&lt;&gt;")=0,"",SUMIFS(BD!$C$3:$C$5001,BD!$A$3:$A$5001,P$3,BD!$B$3:$B$5001,$A$112)))</f>
        <v/>
      </c>
      <c r="Q112" s="142" t="str">
        <f>IF(Q$3="","",IF(COUNTIFS(BD!$A$3:$A$5001,Q$3,BD!$B$3:$B$5001,$A$112,BD!$C$3:$C$5001,"&lt;&gt;")=0,"",SUMIFS(BD!$C$3:$C$5001,BD!$A$3:$A$5001,Q$3,BD!$B$3:$B$5001,$A$112)))</f>
        <v/>
      </c>
      <c r="R112" s="142" t="str">
        <f>IF(R$3="","",IF(COUNTIFS(BD!$A$3:$A$5001,R$3,BD!$B$3:$B$5001,$A$112,BD!$C$3:$C$5001,"&lt;&gt;")=0,"",SUMIFS(BD!$C$3:$C$5001,BD!$A$3:$A$5001,R$3,BD!$B$3:$B$5001,$A$112)))</f>
        <v/>
      </c>
      <c r="S112" s="142" t="str">
        <f>IF(S$3="","",IF(COUNTIFS(BD!$A$3:$A$5001,S$3,BD!$B$3:$B$5001,$A$112,BD!$C$3:$C$5001,"&lt;&gt;")=0,"",SUMIFS(BD!$C$3:$C$5001,BD!$A$3:$A$5001,S$3,BD!$B$3:$B$5001,$A$112)))</f>
        <v/>
      </c>
      <c r="T112" s="142" t="str">
        <f>IF(T$3="","",IF(COUNTIFS(BD!$A$3:$A$5001,T$3,BD!$B$3:$B$5001,$A$112,BD!$C$3:$C$5001,"&lt;&gt;")=0,"",SUMIFS(BD!$C$3:$C$5001,BD!$A$3:$A$5001,T$3,BD!$B$3:$B$5001,$A$112)))</f>
        <v/>
      </c>
      <c r="U112" s="142" t="str">
        <f>IF(U$3="","",IF(COUNTIFS(BD!$A$3:$A$5001,U$3,BD!$B$3:$B$5001,$A$112,BD!$C$3:$C$5001,"&lt;&gt;")=0,"",SUMIFS(BD!$C$3:$C$5001,BD!$A$3:$A$5001,U$3,BD!$B$3:$B$5001,$A$112)))</f>
        <v/>
      </c>
      <c r="V112" s="142" t="str">
        <f>IF(V$3="","",IF(COUNTIFS(BD!$A$3:$A$5001,V$3,BD!$B$3:$B$5001,$A$112,BD!$C$3:$C$5001,"&lt;&gt;")=0,"",SUMIFS(BD!$C$3:$C$5001,BD!$A$3:$A$5001,V$3,BD!$B$3:$B$5001,$A$112)))</f>
        <v/>
      </c>
      <c r="W112" s="142" t="str">
        <f>IF(W$3="","",IF(COUNTIFS(BD!$A$3:$A$5001,W$3,BD!$B$3:$B$5001,$A$112,BD!$C$3:$C$5001,"&lt;&gt;")=0,"",SUMIFS(BD!$C$3:$C$5001,BD!$A$3:$A$5001,W$3,BD!$B$3:$B$5001,$A$112)))</f>
        <v/>
      </c>
      <c r="X112" s="142" t="str">
        <f>IF(X$3="","",IF(COUNTIFS(BD!$A$3:$A$5001,X$3,BD!$B$3:$B$5001,$A$112,BD!$C$3:$C$5001,"&lt;&gt;")=0,"",SUMIFS(BD!$C$3:$C$5001,BD!$A$3:$A$5001,X$3,BD!$B$3:$B$5001,$A$112)))</f>
        <v/>
      </c>
      <c r="Y112" s="142" t="str">
        <f>IF(Y$3="","",IF(COUNTIFS(BD!$A$3:$A$5001,Y$3,BD!$B$3:$B$5001,$A$112,BD!$C$3:$C$5001,"&lt;&gt;")=0,"",SUMIFS(BD!$C$3:$C$5001,BD!$A$3:$A$5001,Y$3,BD!$B$3:$B$5001,$A$112)))</f>
        <v/>
      </c>
      <c r="Z112" s="142" t="str">
        <f>IF(Z$3="","",IF(COUNTIFS(BD!$A$3:$A$5001,Z$3,BD!$B$3:$B$5001,$A$112,BD!$C$3:$C$5001,"&lt;&gt;")=0,"",SUMIFS(BD!$C$3:$C$5001,BD!$A$3:$A$5001,Z$3,BD!$B$3:$B$5001,$A$112)))</f>
        <v/>
      </c>
      <c r="AA112" s="142" t="str">
        <f>IF(AA$3="","",IF(COUNTIFS(BD!$A$3:$A$5001,AA$3,BD!$B$3:$B$5001,$A$112,BD!$C$3:$C$5001,"&lt;&gt;")=0,"",SUMIFS(BD!$C$3:$C$5001,BD!$A$3:$A$5001,AA$3,BD!$B$3:$B$5001,$A$112)))</f>
        <v/>
      </c>
      <c r="AB112" s="142" t="str">
        <f>IF(AB$3="","",IF(COUNTIFS(BD!$A$3:$A$5001,AB$3,BD!$B$3:$B$5001,$A$112,BD!$C$3:$C$5001,"&lt;&gt;")=0,"",SUMIFS(BD!$C$3:$C$5001,BD!$A$3:$A$5001,AB$3,BD!$B$3:$B$5001,$A$112)))</f>
        <v/>
      </c>
      <c r="AC112" s="142" t="str">
        <f>IF(AC$3="","",IF(COUNTIFS(BD!$A$3:$A$5001,AC$3,BD!$B$3:$B$5001,$A$112,BD!$C$3:$C$5001,"&lt;&gt;")=0,"",SUMIFS(BD!$C$3:$C$5001,BD!$A$3:$A$5001,AC$3,BD!$B$3:$B$5001,$A$112)))</f>
        <v/>
      </c>
      <c r="AD112" s="142" t="str">
        <f>IF(AD$3="","",IF(COUNTIFS(BD!$A$3:$A$5001,AD$3,BD!$B$3:$B$5001,$A$112,BD!$C$3:$C$5001,"&lt;&gt;")=0,"",SUMIFS(BD!$C$3:$C$5001,BD!$A$3:$A$5001,AD$3,BD!$B$3:$B$5001,$A$112)))</f>
        <v/>
      </c>
      <c r="AE112" s="142" t="str">
        <f>IF(AE$3="","",IF(COUNTIFS(BD!$A$3:$A$5001,AE$3,BD!$B$3:$B$5001,$A$112,BD!$C$3:$C$5001,"&lt;&gt;")=0,"",SUMIFS(BD!$C$3:$C$5001,BD!$A$3:$A$5001,AE$3,BD!$B$3:$B$5001,$A$112)))</f>
        <v/>
      </c>
      <c r="AF112" s="142" t="str">
        <f>IF(AF$3="","",IF(COUNTIFS(BD!$A$3:$A$5001,AF$3,BD!$B$3:$B$5001,$A$112,BD!$C$3:$C$5001,"&lt;&gt;")=0,"",SUMIFS(BD!$C$3:$C$5001,BD!$A$3:$A$5001,AF$3,BD!$B$3:$B$5001,$A$112)))</f>
        <v/>
      </c>
      <c r="AG112" s="142" t="str">
        <f>IF(AG$3="","",IF(COUNTIFS(BD!$A$3:$A$5001,AG$3,BD!$B$3:$B$5001,$A$112,BD!$C$3:$C$5001,"&lt;&gt;")=0,"",SUMIFS(BD!$C$3:$C$5001,BD!$A$3:$A$5001,AG$3,BD!$B$3:$B$5001,$A$112)))</f>
        <v/>
      </c>
      <c r="AH112" s="142" t="str">
        <f>IF(AH$3="","",IF(COUNTIFS(BD!$A$3:$A$5001,AH$3,BD!$B$3:$B$5001,$A$112,BD!$C$3:$C$5001,"&lt;&gt;")=0,"",SUMIFS(BD!$C$3:$C$5001,BD!$A$3:$A$5001,AH$3,BD!$B$3:$B$5001,$A$112)))</f>
        <v/>
      </c>
      <c r="AI112" s="142" t="str">
        <f>IF(AI$3="","",IF(COUNTIFS(BD!$A$3:$A$5001,AI$3,BD!$B$3:$B$5001,$A$112,BD!$C$3:$C$5001,"&lt;&gt;")=0,"",SUMIFS(BD!$C$3:$C$5001,BD!$A$3:$A$5001,AI$3,BD!$B$3:$B$5001,$A$112)))</f>
        <v/>
      </c>
      <c r="AJ112" s="143" t="str">
        <f>IF(AJ$3="","",IF(COUNTIFS(BD!$A$3:$A$5001,AJ$3,BD!$B$3:$B$5001,$A$112,BD!$C$3:$C$5001,"&lt;&gt;")=0,"",SUMIFS(BD!$C$3:$C$5001,BD!$A$3:$A$5001,AJ$3,BD!$B$3:$B$5001,$A$112)))</f>
        <v/>
      </c>
      <c r="AK112" s="144" t="str">
        <f>IF(COUNT(F112:AJ112)=0,"",SUM(F112:AJ112))</f>
        <v/>
      </c>
    </row>
    <row r="113" ht="15.75" customHeight="1">
      <c r="A113" s="227"/>
      <c r="B113" s="216"/>
      <c r="C113" s="145" t="inlineStr">
        <is>
          <t xml:space="preserve">Pallets Movimentados</t>
        </is>
      </c>
      <c r="D113" s="146" t="str">
        <f>IFERROR(1/(1/INDEX(BD!$AK$24:$AT$24,MATCH($A$112,BD!$AK$22:$AT$22,0))),"")</f>
        <v/>
      </c>
      <c r="E113" s="147"/>
      <c r="F113" s="148" t="str">
        <f>IF(F$3="","",IF(COUNTIFS(BD!$A$3:$A$5001,F$3,BD!$B$3:$B$5001,$A$112,BD!$D$3:$D$5001,"&lt;&gt;")=0,"",SUMIFS(BD!$D$3:$D$5001,BD!$A$3:$A$5001,F$3,BD!$B$3:$B$5001,$A$112)))</f>
        <v/>
      </c>
      <c r="G113" s="149" t="str">
        <f>IF(G$3="","",IF(COUNTIFS(BD!$A$3:$A$5001,G$3,BD!$B$3:$B$5001,$A$112,BD!$D$3:$D$5001,"&lt;&gt;")=0,"",SUMIFS(BD!$D$3:$D$5001,BD!$A$3:$A$5001,G$3,BD!$B$3:$B$5001,$A$112)))</f>
        <v/>
      </c>
      <c r="H113" s="149" t="str">
        <f>IF(H$3="","",IF(COUNTIFS(BD!$A$3:$A$5001,H$3,BD!$B$3:$B$5001,$A$112,BD!$D$3:$D$5001,"&lt;&gt;")=0,"",SUMIFS(BD!$D$3:$D$5001,BD!$A$3:$A$5001,H$3,BD!$B$3:$B$5001,$A$112)))</f>
        <v/>
      </c>
      <c r="I113" s="149" t="str">
        <f>IF(I$3="","",IF(COUNTIFS(BD!$A$3:$A$5001,I$3,BD!$B$3:$B$5001,$A$112,BD!$D$3:$D$5001,"&lt;&gt;")=0,"",SUMIFS(BD!$D$3:$D$5001,BD!$A$3:$A$5001,I$3,BD!$B$3:$B$5001,$A$112)))</f>
        <v/>
      </c>
      <c r="J113" s="149" t="str">
        <f>IF(J$3="","",IF(COUNTIFS(BD!$A$3:$A$5001,J$3,BD!$B$3:$B$5001,$A$112,BD!$D$3:$D$5001,"&lt;&gt;")=0,"",SUMIFS(BD!$D$3:$D$5001,BD!$A$3:$A$5001,J$3,BD!$B$3:$B$5001,$A$112)))</f>
        <v/>
      </c>
      <c r="K113" s="149" t="str">
        <f>IF(K$3="","",IF(COUNTIFS(BD!$A$3:$A$5001,K$3,BD!$B$3:$B$5001,$A$112,BD!$D$3:$D$5001,"&lt;&gt;")=0,"",SUMIFS(BD!$D$3:$D$5001,BD!$A$3:$A$5001,K$3,BD!$B$3:$B$5001,$A$112)))</f>
        <v/>
      </c>
      <c r="L113" s="149" t="str">
        <f>IF(L$3="","",IF(COUNTIFS(BD!$A$3:$A$5001,L$3,BD!$B$3:$B$5001,$A$112,BD!$D$3:$D$5001,"&lt;&gt;")=0,"",SUMIFS(BD!$D$3:$D$5001,BD!$A$3:$A$5001,L$3,BD!$B$3:$B$5001,$A$112)))</f>
        <v/>
      </c>
      <c r="M113" s="149" t="str">
        <f>IF(M$3="","",IF(COUNTIFS(BD!$A$3:$A$5001,M$3,BD!$B$3:$B$5001,$A$112,BD!$D$3:$D$5001,"&lt;&gt;")=0,"",SUMIFS(BD!$D$3:$D$5001,BD!$A$3:$A$5001,M$3,BD!$B$3:$B$5001,$A$112)))</f>
        <v/>
      </c>
      <c r="N113" s="149" t="str">
        <f>IF(N$3="","",IF(COUNTIFS(BD!$A$3:$A$5001,N$3,BD!$B$3:$B$5001,$A$112,BD!$D$3:$D$5001,"&lt;&gt;")=0,"",SUMIFS(BD!$D$3:$D$5001,BD!$A$3:$A$5001,N$3,BD!$B$3:$B$5001,$A$112)))</f>
        <v/>
      </c>
      <c r="O113" s="149" t="str">
        <f>IF(O$3="","",IF(COUNTIFS(BD!$A$3:$A$5001,O$3,BD!$B$3:$B$5001,$A$112,BD!$D$3:$D$5001,"&lt;&gt;")=0,"",SUMIFS(BD!$D$3:$D$5001,BD!$A$3:$A$5001,O$3,BD!$B$3:$B$5001,$A$112)))</f>
        <v/>
      </c>
      <c r="P113" s="149" t="str">
        <f>IF(P$3="","",IF(COUNTIFS(BD!$A$3:$A$5001,P$3,BD!$B$3:$B$5001,$A$112,BD!$D$3:$D$5001,"&lt;&gt;")=0,"",SUMIFS(BD!$D$3:$D$5001,BD!$A$3:$A$5001,P$3,BD!$B$3:$B$5001,$A$112)))</f>
        <v/>
      </c>
      <c r="Q113" s="149" t="str">
        <f>IF(Q$3="","",IF(COUNTIFS(BD!$A$3:$A$5001,Q$3,BD!$B$3:$B$5001,$A$112,BD!$D$3:$D$5001,"&lt;&gt;")=0,"",SUMIFS(BD!$D$3:$D$5001,BD!$A$3:$A$5001,Q$3,BD!$B$3:$B$5001,$A$112)))</f>
        <v/>
      </c>
      <c r="R113" s="149" t="str">
        <f>IF(R$3="","",IF(COUNTIFS(BD!$A$3:$A$5001,R$3,BD!$B$3:$B$5001,$A$112,BD!$D$3:$D$5001,"&lt;&gt;")=0,"",SUMIFS(BD!$D$3:$D$5001,BD!$A$3:$A$5001,R$3,BD!$B$3:$B$5001,$A$112)))</f>
        <v/>
      </c>
      <c r="S113" s="149" t="str">
        <f>IF(S$3="","",IF(COUNTIFS(BD!$A$3:$A$5001,S$3,BD!$B$3:$B$5001,$A$112,BD!$D$3:$D$5001,"&lt;&gt;")=0,"",SUMIFS(BD!$D$3:$D$5001,BD!$A$3:$A$5001,S$3,BD!$B$3:$B$5001,$A$112)))</f>
        <v/>
      </c>
      <c r="T113" s="149" t="str">
        <f>IF(T$3="","",IF(COUNTIFS(BD!$A$3:$A$5001,T$3,BD!$B$3:$B$5001,$A$112,BD!$D$3:$D$5001,"&lt;&gt;")=0,"",SUMIFS(BD!$D$3:$D$5001,BD!$A$3:$A$5001,T$3,BD!$B$3:$B$5001,$A$112)))</f>
        <v/>
      </c>
      <c r="U113" s="149" t="str">
        <f>IF(U$3="","",IF(COUNTIFS(BD!$A$3:$A$5001,U$3,BD!$B$3:$B$5001,$A$112,BD!$D$3:$D$5001,"&lt;&gt;")=0,"",SUMIFS(BD!$D$3:$D$5001,BD!$A$3:$A$5001,U$3,BD!$B$3:$B$5001,$A$112)))</f>
        <v/>
      </c>
      <c r="V113" s="149" t="str">
        <f>IF(V$3="","",IF(COUNTIFS(BD!$A$3:$A$5001,V$3,BD!$B$3:$B$5001,$A$112,BD!$D$3:$D$5001,"&lt;&gt;")=0,"",SUMIFS(BD!$D$3:$D$5001,BD!$A$3:$A$5001,V$3,BD!$B$3:$B$5001,$A$112)))</f>
        <v/>
      </c>
      <c r="W113" s="149" t="str">
        <f>IF(W$3="","",IF(COUNTIFS(BD!$A$3:$A$5001,W$3,BD!$B$3:$B$5001,$A$112,BD!$D$3:$D$5001,"&lt;&gt;")=0,"",SUMIFS(BD!$D$3:$D$5001,BD!$A$3:$A$5001,W$3,BD!$B$3:$B$5001,$A$112)))</f>
        <v/>
      </c>
      <c r="X113" s="149" t="str">
        <f>IF(X$3="","",IF(COUNTIFS(BD!$A$3:$A$5001,X$3,BD!$B$3:$B$5001,$A$112,BD!$D$3:$D$5001,"&lt;&gt;")=0,"",SUMIFS(BD!$D$3:$D$5001,BD!$A$3:$A$5001,X$3,BD!$B$3:$B$5001,$A$112)))</f>
        <v/>
      </c>
      <c r="Y113" s="149" t="str">
        <f>IF(Y$3="","",IF(COUNTIFS(BD!$A$3:$A$5001,Y$3,BD!$B$3:$B$5001,$A$112,BD!$D$3:$D$5001,"&lt;&gt;")=0,"",SUMIFS(BD!$D$3:$D$5001,BD!$A$3:$A$5001,Y$3,BD!$B$3:$B$5001,$A$112)))</f>
        <v/>
      </c>
      <c r="Z113" s="149" t="str">
        <f>IF(Z$3="","",IF(COUNTIFS(BD!$A$3:$A$5001,Z$3,BD!$B$3:$B$5001,$A$112,BD!$D$3:$D$5001,"&lt;&gt;")=0,"",SUMIFS(BD!$D$3:$D$5001,BD!$A$3:$A$5001,Z$3,BD!$B$3:$B$5001,$A$112)))</f>
        <v/>
      </c>
      <c r="AA113" s="149" t="str">
        <f>IF(AA$3="","",IF(COUNTIFS(BD!$A$3:$A$5001,AA$3,BD!$B$3:$B$5001,$A$112,BD!$D$3:$D$5001,"&lt;&gt;")=0,"",SUMIFS(BD!$D$3:$D$5001,BD!$A$3:$A$5001,AA$3,BD!$B$3:$B$5001,$A$112)))</f>
        <v/>
      </c>
      <c r="AB113" s="149" t="str">
        <f>IF(AB$3="","",IF(COUNTIFS(BD!$A$3:$A$5001,AB$3,BD!$B$3:$B$5001,$A$112,BD!$D$3:$D$5001,"&lt;&gt;")=0,"",SUMIFS(BD!$D$3:$D$5001,BD!$A$3:$A$5001,AB$3,BD!$B$3:$B$5001,$A$112)))</f>
        <v/>
      </c>
      <c r="AC113" s="149" t="str">
        <f>IF(AC$3="","",IF(COUNTIFS(BD!$A$3:$A$5001,AC$3,BD!$B$3:$B$5001,$A$112,BD!$D$3:$D$5001,"&lt;&gt;")=0,"",SUMIFS(BD!$D$3:$D$5001,BD!$A$3:$A$5001,AC$3,BD!$B$3:$B$5001,$A$112)))</f>
        <v/>
      </c>
      <c r="AD113" s="149" t="str">
        <f>IF(AD$3="","",IF(COUNTIFS(BD!$A$3:$A$5001,AD$3,BD!$B$3:$B$5001,$A$112,BD!$D$3:$D$5001,"&lt;&gt;")=0,"",SUMIFS(BD!$D$3:$D$5001,BD!$A$3:$A$5001,AD$3,BD!$B$3:$B$5001,$A$112)))</f>
        <v/>
      </c>
      <c r="AE113" s="149" t="str">
        <f>IF(AE$3="","",IF(COUNTIFS(BD!$A$3:$A$5001,AE$3,BD!$B$3:$B$5001,$A$112,BD!$D$3:$D$5001,"&lt;&gt;")=0,"",SUMIFS(BD!$D$3:$D$5001,BD!$A$3:$A$5001,AE$3,BD!$B$3:$B$5001,$A$112)))</f>
        <v/>
      </c>
      <c r="AF113" s="149" t="str">
        <f>IF(AF$3="","",IF(COUNTIFS(BD!$A$3:$A$5001,AF$3,BD!$B$3:$B$5001,$A$112,BD!$D$3:$D$5001,"&lt;&gt;")=0,"",SUMIFS(BD!$D$3:$D$5001,BD!$A$3:$A$5001,AF$3,BD!$B$3:$B$5001,$A$112)))</f>
        <v/>
      </c>
      <c r="AG113" s="149" t="str">
        <f>IF(AG$3="","",IF(COUNTIFS(BD!$A$3:$A$5001,AG$3,BD!$B$3:$B$5001,$A$112,BD!$D$3:$D$5001,"&lt;&gt;")=0,"",SUMIFS(BD!$D$3:$D$5001,BD!$A$3:$A$5001,AG$3,BD!$B$3:$B$5001,$A$112)))</f>
        <v/>
      </c>
      <c r="AH113" s="149" t="str">
        <f>IF(AH$3="","",IF(COUNTIFS(BD!$A$3:$A$5001,AH$3,BD!$B$3:$B$5001,$A$112,BD!$D$3:$D$5001,"&lt;&gt;")=0,"",SUMIFS(BD!$D$3:$D$5001,BD!$A$3:$A$5001,AH$3,BD!$B$3:$B$5001,$A$112)))</f>
        <v/>
      </c>
      <c r="AI113" s="149" t="str">
        <f>IF(AI$3="","",IF(COUNTIFS(BD!$A$3:$A$5001,AI$3,BD!$B$3:$B$5001,$A$112,BD!$D$3:$D$5001,"&lt;&gt;")=0,"",SUMIFS(BD!$D$3:$D$5001,BD!$A$3:$A$5001,AI$3,BD!$B$3:$B$5001,$A$112)))</f>
        <v/>
      </c>
      <c r="AJ113" s="150" t="str">
        <f>IF(AJ$3="","",IF(COUNTIFS(BD!$A$3:$A$5001,AJ$3,BD!$B$3:$B$5001,$A$112,BD!$D$3:$D$5001,"&lt;&gt;")=0,"",SUMIFS(BD!$D$3:$D$5001,BD!$A$3:$A$5001,AJ$3,BD!$B$3:$B$5001,$A$112)))</f>
        <v/>
      </c>
      <c r="AK113" s="146" t="str">
        <f>IF(COUNT(F113:AJ113)=0,"",SUM(F113:AJ113))</f>
        <v/>
      </c>
    </row>
    <row r="114" ht="15.75" customHeight="1">
      <c r="A114" s="227"/>
      <c r="B114" s="217" t="inlineStr">
        <is>
          <t xml:space="preserve">OUT</t>
        </is>
      </c>
      <c r="C114" s="151" t="inlineStr">
        <is>
          <t xml:space="preserve">Veículos Expedidos</t>
        </is>
      </c>
      <c r="D114" s="152" t="str">
        <f>IFERROR(1/(1/INDEX(BD!$AK$32:$AT$32,MATCH($A$112,BD!$AK$22:$AT$22,0))),"")</f>
        <v/>
      </c>
      <c r="E114" s="153"/>
      <c r="F114" s="154" t="str">
        <f>IF(F$3="","",IF(COUNTIFS(BD!$A$3:$A$5001,F$3,BD!$B$3:$B$5001,$A$112,BD!$L$3:$L$5001,"&lt;&gt;")=0,"",SUMIFS(BD!$L$3:$L$5001,BD!$A$3:$A$5001,F$3,BD!$B$3:$B$5001,$A$112)))</f>
        <v/>
      </c>
      <c r="G114" s="155" t="str">
        <f>IF(G$3="","",IF(COUNTIFS(BD!$A$3:$A$5001,G$3,BD!$B$3:$B$5001,$A$112,BD!$L$3:$L$5001,"&lt;&gt;")=0,"",SUMIFS(BD!$L$3:$L$5001,BD!$A$3:$A$5001,G$3,BD!$B$3:$B$5001,$A$112)))</f>
        <v/>
      </c>
      <c r="H114" s="155" t="str">
        <f>IF(H$3="","",IF(COUNTIFS(BD!$A$3:$A$5001,H$3,BD!$B$3:$B$5001,$A$112,BD!$L$3:$L$5001,"&lt;&gt;")=0,"",SUMIFS(BD!$L$3:$L$5001,BD!$A$3:$A$5001,H$3,BD!$B$3:$B$5001,$A$112)))</f>
        <v/>
      </c>
      <c r="I114" s="155" t="str">
        <f>IF(I$3="","",IF(COUNTIFS(BD!$A$3:$A$5001,I$3,BD!$B$3:$B$5001,$A$112,BD!$L$3:$L$5001,"&lt;&gt;")=0,"",SUMIFS(BD!$L$3:$L$5001,BD!$A$3:$A$5001,I$3,BD!$B$3:$B$5001,$A$112)))</f>
        <v/>
      </c>
      <c r="J114" s="155" t="str">
        <f>IF(J$3="","",IF(COUNTIFS(BD!$A$3:$A$5001,J$3,BD!$B$3:$B$5001,$A$112,BD!$L$3:$L$5001,"&lt;&gt;")=0,"",SUMIFS(BD!$L$3:$L$5001,BD!$A$3:$A$5001,J$3,BD!$B$3:$B$5001,$A$112)))</f>
        <v/>
      </c>
      <c r="K114" s="155" t="str">
        <f>IF(K$3="","",IF(COUNTIFS(BD!$A$3:$A$5001,K$3,BD!$B$3:$B$5001,$A$112,BD!$L$3:$L$5001,"&lt;&gt;")=0,"",SUMIFS(BD!$L$3:$L$5001,BD!$A$3:$A$5001,K$3,BD!$B$3:$B$5001,$A$112)))</f>
        <v/>
      </c>
      <c r="L114" s="155" t="str">
        <f>IF(L$3="","",IF(COUNTIFS(BD!$A$3:$A$5001,L$3,BD!$B$3:$B$5001,$A$112,BD!$L$3:$L$5001,"&lt;&gt;")=0,"",SUMIFS(BD!$L$3:$L$5001,BD!$A$3:$A$5001,L$3,BD!$B$3:$B$5001,$A$112)))</f>
        <v/>
      </c>
      <c r="M114" s="155" t="str">
        <f>IF(M$3="","",IF(COUNTIFS(BD!$A$3:$A$5001,M$3,BD!$B$3:$B$5001,$A$112,BD!$L$3:$L$5001,"&lt;&gt;")=0,"",SUMIFS(BD!$L$3:$L$5001,BD!$A$3:$A$5001,M$3,BD!$B$3:$B$5001,$A$112)))</f>
        <v/>
      </c>
      <c r="N114" s="155" t="str">
        <f>IF(N$3="","",IF(COUNTIFS(BD!$A$3:$A$5001,N$3,BD!$B$3:$B$5001,$A$112,BD!$L$3:$L$5001,"&lt;&gt;")=0,"",SUMIFS(BD!$L$3:$L$5001,BD!$A$3:$A$5001,N$3,BD!$B$3:$B$5001,$A$112)))</f>
        <v/>
      </c>
      <c r="O114" s="155" t="str">
        <f>IF(O$3="","",IF(COUNTIFS(BD!$A$3:$A$5001,O$3,BD!$B$3:$B$5001,$A$112,BD!$L$3:$L$5001,"&lt;&gt;")=0,"",SUMIFS(BD!$L$3:$L$5001,BD!$A$3:$A$5001,O$3,BD!$B$3:$B$5001,$A$112)))</f>
        <v/>
      </c>
      <c r="P114" s="155" t="str">
        <f>IF(P$3="","",IF(COUNTIFS(BD!$A$3:$A$5001,P$3,BD!$B$3:$B$5001,$A$112,BD!$L$3:$L$5001,"&lt;&gt;")=0,"",SUMIFS(BD!$L$3:$L$5001,BD!$A$3:$A$5001,P$3,BD!$B$3:$B$5001,$A$112)))</f>
        <v/>
      </c>
      <c r="Q114" s="155" t="str">
        <f>IF(Q$3="","",IF(COUNTIFS(BD!$A$3:$A$5001,Q$3,BD!$B$3:$B$5001,$A$112,BD!$L$3:$L$5001,"&lt;&gt;")=0,"",SUMIFS(BD!$L$3:$L$5001,BD!$A$3:$A$5001,Q$3,BD!$B$3:$B$5001,$A$112)))</f>
        <v/>
      </c>
      <c r="R114" s="155" t="str">
        <f>IF(R$3="","",IF(COUNTIFS(BD!$A$3:$A$5001,R$3,BD!$B$3:$B$5001,$A$112,BD!$L$3:$L$5001,"&lt;&gt;")=0,"",SUMIFS(BD!$L$3:$L$5001,BD!$A$3:$A$5001,R$3,BD!$B$3:$B$5001,$A$112)))</f>
        <v/>
      </c>
      <c r="S114" s="155" t="str">
        <f>IF(S$3="","",IF(COUNTIFS(BD!$A$3:$A$5001,S$3,BD!$B$3:$B$5001,$A$112,BD!$L$3:$L$5001,"&lt;&gt;")=0,"",SUMIFS(BD!$L$3:$L$5001,BD!$A$3:$A$5001,S$3,BD!$B$3:$B$5001,$A$112)))</f>
        <v/>
      </c>
      <c r="T114" s="155" t="str">
        <f>IF(T$3="","",IF(COUNTIFS(BD!$A$3:$A$5001,T$3,BD!$B$3:$B$5001,$A$112,BD!$L$3:$L$5001,"&lt;&gt;")=0,"",SUMIFS(BD!$L$3:$L$5001,BD!$A$3:$A$5001,T$3,BD!$B$3:$B$5001,$A$112)))</f>
        <v/>
      </c>
      <c r="U114" s="155" t="str">
        <f>IF(U$3="","",IF(COUNTIFS(BD!$A$3:$A$5001,U$3,BD!$B$3:$B$5001,$A$112,BD!$L$3:$L$5001,"&lt;&gt;")=0,"",SUMIFS(BD!$L$3:$L$5001,BD!$A$3:$A$5001,U$3,BD!$B$3:$B$5001,$A$112)))</f>
        <v/>
      </c>
      <c r="V114" s="155" t="str">
        <f>IF(V$3="","",IF(COUNTIFS(BD!$A$3:$A$5001,V$3,BD!$B$3:$B$5001,$A$112,BD!$L$3:$L$5001,"&lt;&gt;")=0,"",SUMIFS(BD!$L$3:$L$5001,BD!$A$3:$A$5001,V$3,BD!$B$3:$B$5001,$A$112)))</f>
        <v/>
      </c>
      <c r="W114" s="155" t="str">
        <f>IF(W$3="","",IF(COUNTIFS(BD!$A$3:$A$5001,W$3,BD!$B$3:$B$5001,$A$112,BD!$L$3:$L$5001,"&lt;&gt;")=0,"",SUMIFS(BD!$L$3:$L$5001,BD!$A$3:$A$5001,W$3,BD!$B$3:$B$5001,$A$112)))</f>
        <v/>
      </c>
      <c r="X114" s="155" t="str">
        <f>IF(X$3="","",IF(COUNTIFS(BD!$A$3:$A$5001,X$3,BD!$B$3:$B$5001,$A$112,BD!$L$3:$L$5001,"&lt;&gt;")=0,"",SUMIFS(BD!$L$3:$L$5001,BD!$A$3:$A$5001,X$3,BD!$B$3:$B$5001,$A$112)))</f>
        <v/>
      </c>
      <c r="Y114" s="155" t="str">
        <f>IF(Y$3="","",IF(COUNTIFS(BD!$A$3:$A$5001,Y$3,BD!$B$3:$B$5001,$A$112,BD!$L$3:$L$5001,"&lt;&gt;")=0,"",SUMIFS(BD!$L$3:$L$5001,BD!$A$3:$A$5001,Y$3,BD!$B$3:$B$5001,$A$112)))</f>
        <v/>
      </c>
      <c r="Z114" s="155" t="str">
        <f>IF(Z$3="","",IF(COUNTIFS(BD!$A$3:$A$5001,Z$3,BD!$B$3:$B$5001,$A$112,BD!$L$3:$L$5001,"&lt;&gt;")=0,"",SUMIFS(BD!$L$3:$L$5001,BD!$A$3:$A$5001,Z$3,BD!$B$3:$B$5001,$A$112)))</f>
        <v/>
      </c>
      <c r="AA114" s="155" t="str">
        <f>IF(AA$3="","",IF(COUNTIFS(BD!$A$3:$A$5001,AA$3,BD!$B$3:$B$5001,$A$112,BD!$L$3:$L$5001,"&lt;&gt;")=0,"",SUMIFS(BD!$L$3:$L$5001,BD!$A$3:$A$5001,AA$3,BD!$B$3:$B$5001,$A$112)))</f>
        <v/>
      </c>
      <c r="AB114" s="155" t="str">
        <f>IF(AB$3="","",IF(COUNTIFS(BD!$A$3:$A$5001,AB$3,BD!$B$3:$B$5001,$A$112,BD!$L$3:$L$5001,"&lt;&gt;")=0,"",SUMIFS(BD!$L$3:$L$5001,BD!$A$3:$A$5001,AB$3,BD!$B$3:$B$5001,$A$112)))</f>
        <v/>
      </c>
      <c r="AC114" s="155" t="str">
        <f>IF(AC$3="","",IF(COUNTIFS(BD!$A$3:$A$5001,AC$3,BD!$B$3:$B$5001,$A$112,BD!$L$3:$L$5001,"&lt;&gt;")=0,"",SUMIFS(BD!$L$3:$L$5001,BD!$A$3:$A$5001,AC$3,BD!$B$3:$B$5001,$A$112)))</f>
        <v/>
      </c>
      <c r="AD114" s="155" t="str">
        <f>IF(AD$3="","",IF(COUNTIFS(BD!$A$3:$A$5001,AD$3,BD!$B$3:$B$5001,$A$112,BD!$L$3:$L$5001,"&lt;&gt;")=0,"",SUMIFS(BD!$L$3:$L$5001,BD!$A$3:$A$5001,AD$3,BD!$B$3:$B$5001,$A$112)))</f>
        <v/>
      </c>
      <c r="AE114" s="155" t="str">
        <f>IF(AE$3="","",IF(COUNTIFS(BD!$A$3:$A$5001,AE$3,BD!$B$3:$B$5001,$A$112,BD!$L$3:$L$5001,"&lt;&gt;")=0,"",SUMIFS(BD!$L$3:$L$5001,BD!$A$3:$A$5001,AE$3,BD!$B$3:$B$5001,$A$112)))</f>
        <v/>
      </c>
      <c r="AF114" s="155" t="str">
        <f>IF(AF$3="","",IF(COUNTIFS(BD!$A$3:$A$5001,AF$3,BD!$B$3:$B$5001,$A$112,BD!$L$3:$L$5001,"&lt;&gt;")=0,"",SUMIFS(BD!$L$3:$L$5001,BD!$A$3:$A$5001,AF$3,BD!$B$3:$B$5001,$A$112)))</f>
        <v/>
      </c>
      <c r="AG114" s="155" t="str">
        <f>IF(AG$3="","",IF(COUNTIFS(BD!$A$3:$A$5001,AG$3,BD!$B$3:$B$5001,$A$112,BD!$L$3:$L$5001,"&lt;&gt;")=0,"",SUMIFS(BD!$L$3:$L$5001,BD!$A$3:$A$5001,AG$3,BD!$B$3:$B$5001,$A$112)))</f>
        <v/>
      </c>
      <c r="AH114" s="155" t="str">
        <f>IF(AH$3="","",IF(COUNTIFS(BD!$A$3:$A$5001,AH$3,BD!$B$3:$B$5001,$A$112,BD!$L$3:$L$5001,"&lt;&gt;")=0,"",SUMIFS(BD!$L$3:$L$5001,BD!$A$3:$A$5001,AH$3,BD!$B$3:$B$5001,$A$112)))</f>
        <v/>
      </c>
      <c r="AI114" s="155" t="str">
        <f>IF(AI$3="","",IF(COUNTIFS(BD!$A$3:$A$5001,AI$3,BD!$B$3:$B$5001,$A$112,BD!$L$3:$L$5001,"&lt;&gt;")=0,"",SUMIFS(BD!$L$3:$L$5001,BD!$A$3:$A$5001,AI$3,BD!$B$3:$B$5001,$A$112)))</f>
        <v/>
      </c>
      <c r="AJ114" s="156" t="str">
        <f>IF(AJ$3="","",IF(COUNTIFS(BD!$A$3:$A$5001,AJ$3,BD!$B$3:$B$5001,$A$112,BD!$L$3:$L$5001,"&lt;&gt;")=0,"",SUMIFS(BD!$L$3:$L$5001,BD!$A$3:$A$5001,AJ$3,BD!$B$3:$B$5001,$A$112)))</f>
        <v/>
      </c>
      <c r="AK114" s="157" t="str">
        <f>IF(COUNT(F114:AJ114)=0,"",SUM(F114:AJ114))</f>
        <v/>
      </c>
    </row>
    <row r="115" ht="15.75" customHeight="1">
      <c r="A115" s="227"/>
      <c r="B115" s="218"/>
      <c r="C115" s="158" t="inlineStr">
        <is>
          <t xml:space="preserve">Pallets Movimentados</t>
        </is>
      </c>
      <c r="D115" s="159" t="str">
        <f>IFERROR(1/(1/INDEX(BD!$AK$39:$AT$39,MATCH($A$112,BD!$AK$22:$AT$22,0))),"")</f>
        <v/>
      </c>
      <c r="E115" s="160"/>
      <c r="F115" s="161" t="str">
        <f>IF(F$3="","",IF(COUNTIFS(BD!$A$3:$A$5001,F$3,BD!$B$3:$B$5001,$A$112,BD!$S$3:$S$5001,"&lt;&gt;")=0,"",SUMIFS(BD!$S$3:$S$5001,BD!$A$3:$A$5001,F$3,BD!$B$3:$B$5001,$A$112)))</f>
        <v/>
      </c>
      <c r="G115" s="162" t="str">
        <f>IF(G$3="","",IF(COUNTIFS(BD!$A$3:$A$5001,G$3,BD!$B$3:$B$5001,$A$112,BD!$S$3:$S$5001,"&lt;&gt;")=0,"",SUMIFS(BD!$S$3:$S$5001,BD!$A$3:$A$5001,G$3,BD!$B$3:$B$5001,$A$112)))</f>
        <v/>
      </c>
      <c r="H115" s="162" t="str">
        <f>IF(H$3="","",IF(COUNTIFS(BD!$A$3:$A$5001,H$3,BD!$B$3:$B$5001,$A$112,BD!$S$3:$S$5001,"&lt;&gt;")=0,"",SUMIFS(BD!$S$3:$S$5001,BD!$A$3:$A$5001,H$3,BD!$B$3:$B$5001,$A$112)))</f>
        <v/>
      </c>
      <c r="I115" s="162" t="str">
        <f>IF(I$3="","",IF(COUNTIFS(BD!$A$3:$A$5001,I$3,BD!$B$3:$B$5001,$A$112,BD!$S$3:$S$5001,"&lt;&gt;")=0,"",SUMIFS(BD!$S$3:$S$5001,BD!$A$3:$A$5001,I$3,BD!$B$3:$B$5001,$A$112)))</f>
        <v/>
      </c>
      <c r="J115" s="162" t="str">
        <f>IF(J$3="","",IF(COUNTIFS(BD!$A$3:$A$5001,J$3,BD!$B$3:$B$5001,$A$112,BD!$S$3:$S$5001,"&lt;&gt;")=0,"",SUMIFS(BD!$S$3:$S$5001,BD!$A$3:$A$5001,J$3,BD!$B$3:$B$5001,$A$112)))</f>
        <v/>
      </c>
      <c r="K115" s="162" t="str">
        <f>IF(K$3="","",IF(COUNTIFS(BD!$A$3:$A$5001,K$3,BD!$B$3:$B$5001,$A$112,BD!$S$3:$S$5001,"&lt;&gt;")=0,"",SUMIFS(BD!$S$3:$S$5001,BD!$A$3:$A$5001,K$3,BD!$B$3:$B$5001,$A$112)))</f>
        <v/>
      </c>
      <c r="L115" s="162" t="str">
        <f>IF(L$3="","",IF(COUNTIFS(BD!$A$3:$A$5001,L$3,BD!$B$3:$B$5001,$A$112,BD!$S$3:$S$5001,"&lt;&gt;")=0,"",SUMIFS(BD!$S$3:$S$5001,BD!$A$3:$A$5001,L$3,BD!$B$3:$B$5001,$A$112)))</f>
        <v/>
      </c>
      <c r="M115" s="162" t="str">
        <f>IF(M$3="","",IF(COUNTIFS(BD!$A$3:$A$5001,M$3,BD!$B$3:$B$5001,$A$112,BD!$S$3:$S$5001,"&lt;&gt;")=0,"",SUMIFS(BD!$S$3:$S$5001,BD!$A$3:$A$5001,M$3,BD!$B$3:$B$5001,$A$112)))</f>
        <v/>
      </c>
      <c r="N115" s="162" t="str">
        <f>IF(N$3="","",IF(COUNTIFS(BD!$A$3:$A$5001,N$3,BD!$B$3:$B$5001,$A$112,BD!$S$3:$S$5001,"&lt;&gt;")=0,"",SUMIFS(BD!$S$3:$S$5001,BD!$A$3:$A$5001,N$3,BD!$B$3:$B$5001,$A$112)))</f>
        <v/>
      </c>
      <c r="O115" s="162" t="str">
        <f>IF(O$3="","",IF(COUNTIFS(BD!$A$3:$A$5001,O$3,BD!$B$3:$B$5001,$A$112,BD!$S$3:$S$5001,"&lt;&gt;")=0,"",SUMIFS(BD!$S$3:$S$5001,BD!$A$3:$A$5001,O$3,BD!$B$3:$B$5001,$A$112)))</f>
        <v/>
      </c>
      <c r="P115" s="162" t="str">
        <f>IF(P$3="","",IF(COUNTIFS(BD!$A$3:$A$5001,P$3,BD!$B$3:$B$5001,$A$112,BD!$S$3:$S$5001,"&lt;&gt;")=0,"",SUMIFS(BD!$S$3:$S$5001,BD!$A$3:$A$5001,P$3,BD!$B$3:$B$5001,$A$112)))</f>
        <v/>
      </c>
      <c r="Q115" s="162" t="str">
        <f>IF(Q$3="","",IF(COUNTIFS(BD!$A$3:$A$5001,Q$3,BD!$B$3:$B$5001,$A$112,BD!$S$3:$S$5001,"&lt;&gt;")=0,"",SUMIFS(BD!$S$3:$S$5001,BD!$A$3:$A$5001,Q$3,BD!$B$3:$B$5001,$A$112)))</f>
        <v/>
      </c>
      <c r="R115" s="162" t="str">
        <f>IF(R$3="","",IF(COUNTIFS(BD!$A$3:$A$5001,R$3,BD!$B$3:$B$5001,$A$112,BD!$S$3:$S$5001,"&lt;&gt;")=0,"",SUMIFS(BD!$S$3:$S$5001,BD!$A$3:$A$5001,R$3,BD!$B$3:$B$5001,$A$112)))</f>
        <v/>
      </c>
      <c r="S115" s="162" t="str">
        <f>IF(S$3="","",IF(COUNTIFS(BD!$A$3:$A$5001,S$3,BD!$B$3:$B$5001,$A$112,BD!$S$3:$S$5001,"&lt;&gt;")=0,"",SUMIFS(BD!$S$3:$S$5001,BD!$A$3:$A$5001,S$3,BD!$B$3:$B$5001,$A$112)))</f>
        <v/>
      </c>
      <c r="T115" s="162" t="str">
        <f>IF(T$3="","",IF(COUNTIFS(BD!$A$3:$A$5001,T$3,BD!$B$3:$B$5001,$A$112,BD!$S$3:$S$5001,"&lt;&gt;")=0,"",SUMIFS(BD!$S$3:$S$5001,BD!$A$3:$A$5001,T$3,BD!$B$3:$B$5001,$A$112)))</f>
        <v/>
      </c>
      <c r="U115" s="162" t="str">
        <f>IF(U$3="","",IF(COUNTIFS(BD!$A$3:$A$5001,U$3,BD!$B$3:$B$5001,$A$112,BD!$S$3:$S$5001,"&lt;&gt;")=0,"",SUMIFS(BD!$S$3:$S$5001,BD!$A$3:$A$5001,U$3,BD!$B$3:$B$5001,$A$112)))</f>
        <v/>
      </c>
      <c r="V115" s="162" t="str">
        <f>IF(V$3="","",IF(COUNTIFS(BD!$A$3:$A$5001,V$3,BD!$B$3:$B$5001,$A$112,BD!$S$3:$S$5001,"&lt;&gt;")=0,"",SUMIFS(BD!$S$3:$S$5001,BD!$A$3:$A$5001,V$3,BD!$B$3:$B$5001,$A$112)))</f>
        <v/>
      </c>
      <c r="W115" s="162" t="str">
        <f>IF(W$3="","",IF(COUNTIFS(BD!$A$3:$A$5001,W$3,BD!$B$3:$B$5001,$A$112,BD!$S$3:$S$5001,"&lt;&gt;")=0,"",SUMIFS(BD!$S$3:$S$5001,BD!$A$3:$A$5001,W$3,BD!$B$3:$B$5001,$A$112)))</f>
        <v/>
      </c>
      <c r="X115" s="162" t="str">
        <f>IF(X$3="","",IF(COUNTIFS(BD!$A$3:$A$5001,X$3,BD!$B$3:$B$5001,$A$112,BD!$S$3:$S$5001,"&lt;&gt;")=0,"",SUMIFS(BD!$S$3:$S$5001,BD!$A$3:$A$5001,X$3,BD!$B$3:$B$5001,$A$112)))</f>
        <v/>
      </c>
      <c r="Y115" s="162" t="str">
        <f>IF(Y$3="","",IF(COUNTIFS(BD!$A$3:$A$5001,Y$3,BD!$B$3:$B$5001,$A$112,BD!$S$3:$S$5001,"&lt;&gt;")=0,"",SUMIFS(BD!$S$3:$S$5001,BD!$A$3:$A$5001,Y$3,BD!$B$3:$B$5001,$A$112)))</f>
        <v/>
      </c>
      <c r="Z115" s="162" t="str">
        <f>IF(Z$3="","",IF(COUNTIFS(BD!$A$3:$A$5001,Z$3,BD!$B$3:$B$5001,$A$112,BD!$S$3:$S$5001,"&lt;&gt;")=0,"",SUMIFS(BD!$S$3:$S$5001,BD!$A$3:$A$5001,Z$3,BD!$B$3:$B$5001,$A$112)))</f>
        <v/>
      </c>
      <c r="AA115" s="162" t="str">
        <f>IF(AA$3="","",IF(COUNTIFS(BD!$A$3:$A$5001,AA$3,BD!$B$3:$B$5001,$A$112,BD!$S$3:$S$5001,"&lt;&gt;")=0,"",SUMIFS(BD!$S$3:$S$5001,BD!$A$3:$A$5001,AA$3,BD!$B$3:$B$5001,$A$112)))</f>
        <v/>
      </c>
      <c r="AB115" s="162" t="str">
        <f>IF(AB$3="","",IF(COUNTIFS(BD!$A$3:$A$5001,AB$3,BD!$B$3:$B$5001,$A$112,BD!$S$3:$S$5001,"&lt;&gt;")=0,"",SUMIFS(BD!$S$3:$S$5001,BD!$A$3:$A$5001,AB$3,BD!$B$3:$B$5001,$A$112)))</f>
        <v/>
      </c>
      <c r="AC115" s="162" t="str">
        <f>IF(AC$3="","",IF(COUNTIFS(BD!$A$3:$A$5001,AC$3,BD!$B$3:$B$5001,$A$112,BD!$S$3:$S$5001,"&lt;&gt;")=0,"",SUMIFS(BD!$S$3:$S$5001,BD!$A$3:$A$5001,AC$3,BD!$B$3:$B$5001,$A$112)))</f>
        <v/>
      </c>
      <c r="AD115" s="162" t="str">
        <f>IF(AD$3="","",IF(COUNTIFS(BD!$A$3:$A$5001,AD$3,BD!$B$3:$B$5001,$A$112,BD!$S$3:$S$5001,"&lt;&gt;")=0,"",SUMIFS(BD!$S$3:$S$5001,BD!$A$3:$A$5001,AD$3,BD!$B$3:$B$5001,$A$112)))</f>
        <v/>
      </c>
      <c r="AE115" s="162" t="str">
        <f>IF(AE$3="","",IF(COUNTIFS(BD!$A$3:$A$5001,AE$3,BD!$B$3:$B$5001,$A$112,BD!$S$3:$S$5001,"&lt;&gt;")=0,"",SUMIFS(BD!$S$3:$S$5001,BD!$A$3:$A$5001,AE$3,BD!$B$3:$B$5001,$A$112)))</f>
        <v/>
      </c>
      <c r="AF115" s="162" t="str">
        <f>IF(AF$3="","",IF(COUNTIFS(BD!$A$3:$A$5001,AF$3,BD!$B$3:$B$5001,$A$112,BD!$S$3:$S$5001,"&lt;&gt;")=0,"",SUMIFS(BD!$S$3:$S$5001,BD!$A$3:$A$5001,AF$3,BD!$B$3:$B$5001,$A$112)))</f>
        <v/>
      </c>
      <c r="AG115" s="162" t="str">
        <f>IF(AG$3="","",IF(COUNTIFS(BD!$A$3:$A$5001,AG$3,BD!$B$3:$B$5001,$A$112,BD!$S$3:$S$5001,"&lt;&gt;")=0,"",SUMIFS(BD!$S$3:$S$5001,BD!$A$3:$A$5001,AG$3,BD!$B$3:$B$5001,$A$112)))</f>
        <v/>
      </c>
      <c r="AH115" s="162" t="str">
        <f>IF(AH$3="","",IF(COUNTIFS(BD!$A$3:$A$5001,AH$3,BD!$B$3:$B$5001,$A$112,BD!$S$3:$S$5001,"&lt;&gt;")=0,"",SUMIFS(BD!$S$3:$S$5001,BD!$A$3:$A$5001,AH$3,BD!$B$3:$B$5001,$A$112)))</f>
        <v/>
      </c>
      <c r="AI115" s="162" t="str">
        <f>IF(AI$3="","",IF(COUNTIFS(BD!$A$3:$A$5001,AI$3,BD!$B$3:$B$5001,$A$112,BD!$S$3:$S$5001,"&lt;&gt;")=0,"",SUMIFS(BD!$S$3:$S$5001,BD!$A$3:$A$5001,AI$3,BD!$B$3:$B$5001,$A$112)))</f>
        <v/>
      </c>
      <c r="AJ115" s="163" t="str">
        <f>IF(AJ$3="","",IF(COUNTIFS(BD!$A$3:$A$5001,AJ$3,BD!$B$3:$B$5001,$A$112,BD!$S$3:$S$5001,"&lt;&gt;")=0,"",SUMIFS(BD!$S$3:$S$5001,BD!$A$3:$A$5001,AJ$3,BD!$B$3:$B$5001,$A$112)))</f>
        <v/>
      </c>
      <c r="AK115" s="159" t="str">
        <f>IF(COUNT(F115:AJ115)=0,"",SUM(F115:AJ115))</f>
        <v/>
      </c>
    </row>
    <row r="116" ht="15.75" customHeight="1">
      <c r="A116" s="227"/>
      <c r="B116" s="219" t="inlineStr">
        <is>
          <t xml:space="preserve">NC</t>
        </is>
      </c>
      <c r="C116" s="164" t="inlineStr">
        <is>
          <t xml:space="preserve">Incidentes</t>
        </is>
      </c>
      <c r="D116" s="165" t="str">
        <f>IFERROR(1/(1/INDEX(BD!$AK$41:$AT$41,MATCH($A$112,BD!$AK$22:$AT$22,0))),"")</f>
        <v/>
      </c>
      <c r="E116" s="166"/>
      <c r="F116" s="167" t="str">
        <f>IF(F$3="","",IF(COUNTIFS(BD!$A$3:$A$5001,F$3,BD!$B$3:$B$5001,$A$112,BD!$U$3:$U$5001,"&lt;&gt;")=0,"",SUMIFS(BD!$U$3:$U$5001,BD!$A$3:$A$5001,F$3,BD!$B$3:$B$5001,$A$112)))</f>
        <v/>
      </c>
      <c r="G116" s="168" t="str">
        <f>IF(G$3="","",IF(COUNTIFS(BD!$A$3:$A$5001,G$3,BD!$B$3:$B$5001,$A$112,BD!$U$3:$U$5001,"&lt;&gt;")=0,"",SUMIFS(BD!$U$3:$U$5001,BD!$A$3:$A$5001,G$3,BD!$B$3:$B$5001,$A$112)))</f>
        <v/>
      </c>
      <c r="H116" s="168" t="str">
        <f>IF(H$3="","",IF(COUNTIFS(BD!$A$3:$A$5001,H$3,BD!$B$3:$B$5001,$A$112,BD!$U$3:$U$5001,"&lt;&gt;")=0,"",SUMIFS(BD!$U$3:$U$5001,BD!$A$3:$A$5001,H$3,BD!$B$3:$B$5001,$A$112)))</f>
        <v/>
      </c>
      <c r="I116" s="168" t="str">
        <f>IF(I$3="","",IF(COUNTIFS(BD!$A$3:$A$5001,I$3,BD!$B$3:$B$5001,$A$112,BD!$U$3:$U$5001,"&lt;&gt;")=0,"",SUMIFS(BD!$U$3:$U$5001,BD!$A$3:$A$5001,I$3,BD!$B$3:$B$5001,$A$112)))</f>
        <v/>
      </c>
      <c r="J116" s="168" t="str">
        <f>IF(J$3="","",IF(COUNTIFS(BD!$A$3:$A$5001,J$3,BD!$B$3:$B$5001,$A$112,BD!$U$3:$U$5001,"&lt;&gt;")=0,"",SUMIFS(BD!$U$3:$U$5001,BD!$A$3:$A$5001,J$3,BD!$B$3:$B$5001,$A$112)))</f>
        <v/>
      </c>
      <c r="K116" s="168" t="str">
        <f>IF(K$3="","",IF(COUNTIFS(BD!$A$3:$A$5001,K$3,BD!$B$3:$B$5001,$A$112,BD!$U$3:$U$5001,"&lt;&gt;")=0,"",SUMIFS(BD!$U$3:$U$5001,BD!$A$3:$A$5001,K$3,BD!$B$3:$B$5001,$A$112)))</f>
        <v/>
      </c>
      <c r="L116" s="168" t="str">
        <f>IF(L$3="","",IF(COUNTIFS(BD!$A$3:$A$5001,L$3,BD!$B$3:$B$5001,$A$112,BD!$U$3:$U$5001,"&lt;&gt;")=0,"",SUMIFS(BD!$U$3:$U$5001,BD!$A$3:$A$5001,L$3,BD!$B$3:$B$5001,$A$112)))</f>
        <v/>
      </c>
      <c r="M116" s="168" t="str">
        <f>IF(M$3="","",IF(COUNTIFS(BD!$A$3:$A$5001,M$3,BD!$B$3:$B$5001,$A$112,BD!$U$3:$U$5001,"&lt;&gt;")=0,"",SUMIFS(BD!$U$3:$U$5001,BD!$A$3:$A$5001,M$3,BD!$B$3:$B$5001,$A$112)))</f>
        <v/>
      </c>
      <c r="N116" s="168" t="str">
        <f>IF(N$3="","",IF(COUNTIFS(BD!$A$3:$A$5001,N$3,BD!$B$3:$B$5001,$A$112,BD!$U$3:$U$5001,"&lt;&gt;")=0,"",SUMIFS(BD!$U$3:$U$5001,BD!$A$3:$A$5001,N$3,BD!$B$3:$B$5001,$A$112)))</f>
        <v/>
      </c>
      <c r="O116" s="168" t="str">
        <f>IF(O$3="","",IF(COUNTIFS(BD!$A$3:$A$5001,O$3,BD!$B$3:$B$5001,$A$112,BD!$U$3:$U$5001,"&lt;&gt;")=0,"",SUMIFS(BD!$U$3:$U$5001,BD!$A$3:$A$5001,O$3,BD!$B$3:$B$5001,$A$112)))</f>
        <v/>
      </c>
      <c r="P116" s="168" t="str">
        <f>IF(P$3="","",IF(COUNTIFS(BD!$A$3:$A$5001,P$3,BD!$B$3:$B$5001,$A$112,BD!$U$3:$U$5001,"&lt;&gt;")=0,"",SUMIFS(BD!$U$3:$U$5001,BD!$A$3:$A$5001,P$3,BD!$B$3:$B$5001,$A$112)))</f>
        <v/>
      </c>
      <c r="Q116" s="168" t="str">
        <f>IF(Q$3="","",IF(COUNTIFS(BD!$A$3:$A$5001,Q$3,BD!$B$3:$B$5001,$A$112,BD!$U$3:$U$5001,"&lt;&gt;")=0,"",SUMIFS(BD!$U$3:$U$5001,BD!$A$3:$A$5001,Q$3,BD!$B$3:$B$5001,$A$112)))</f>
        <v/>
      </c>
      <c r="R116" s="168" t="str">
        <f>IF(R$3="","",IF(COUNTIFS(BD!$A$3:$A$5001,R$3,BD!$B$3:$B$5001,$A$112,BD!$U$3:$U$5001,"&lt;&gt;")=0,"",SUMIFS(BD!$U$3:$U$5001,BD!$A$3:$A$5001,R$3,BD!$B$3:$B$5001,$A$112)))</f>
        <v/>
      </c>
      <c r="S116" s="168" t="str">
        <f>IF(S$3="","",IF(COUNTIFS(BD!$A$3:$A$5001,S$3,BD!$B$3:$B$5001,$A$112,BD!$U$3:$U$5001,"&lt;&gt;")=0,"",SUMIFS(BD!$U$3:$U$5001,BD!$A$3:$A$5001,S$3,BD!$B$3:$B$5001,$A$112)))</f>
        <v/>
      </c>
      <c r="T116" s="168" t="str">
        <f>IF(T$3="","",IF(COUNTIFS(BD!$A$3:$A$5001,T$3,BD!$B$3:$B$5001,$A$112,BD!$U$3:$U$5001,"&lt;&gt;")=0,"",SUMIFS(BD!$U$3:$U$5001,BD!$A$3:$A$5001,T$3,BD!$B$3:$B$5001,$A$112)))</f>
        <v/>
      </c>
      <c r="U116" s="168" t="str">
        <f>IF(U$3="","",IF(COUNTIFS(BD!$A$3:$A$5001,U$3,BD!$B$3:$B$5001,$A$112,BD!$U$3:$U$5001,"&lt;&gt;")=0,"",SUMIFS(BD!$U$3:$U$5001,BD!$A$3:$A$5001,U$3,BD!$B$3:$B$5001,$A$112)))</f>
        <v/>
      </c>
      <c r="V116" s="168" t="str">
        <f>IF(V$3="","",IF(COUNTIFS(BD!$A$3:$A$5001,V$3,BD!$B$3:$B$5001,$A$112,BD!$U$3:$U$5001,"&lt;&gt;")=0,"",SUMIFS(BD!$U$3:$U$5001,BD!$A$3:$A$5001,V$3,BD!$B$3:$B$5001,$A$112)))</f>
        <v/>
      </c>
      <c r="W116" s="168" t="str">
        <f>IF(W$3="","",IF(COUNTIFS(BD!$A$3:$A$5001,W$3,BD!$B$3:$B$5001,$A$112,BD!$U$3:$U$5001,"&lt;&gt;")=0,"",SUMIFS(BD!$U$3:$U$5001,BD!$A$3:$A$5001,W$3,BD!$B$3:$B$5001,$A$112)))</f>
        <v/>
      </c>
      <c r="X116" s="168" t="str">
        <f>IF(X$3="","",IF(COUNTIFS(BD!$A$3:$A$5001,X$3,BD!$B$3:$B$5001,$A$112,BD!$U$3:$U$5001,"&lt;&gt;")=0,"",SUMIFS(BD!$U$3:$U$5001,BD!$A$3:$A$5001,X$3,BD!$B$3:$B$5001,$A$112)))</f>
        <v/>
      </c>
      <c r="Y116" s="168" t="str">
        <f>IF(Y$3="","",IF(COUNTIFS(BD!$A$3:$A$5001,Y$3,BD!$B$3:$B$5001,$A$112,BD!$U$3:$U$5001,"&lt;&gt;")=0,"",SUMIFS(BD!$U$3:$U$5001,BD!$A$3:$A$5001,Y$3,BD!$B$3:$B$5001,$A$112)))</f>
        <v/>
      </c>
      <c r="Z116" s="168" t="str">
        <f>IF(Z$3="","",IF(COUNTIFS(BD!$A$3:$A$5001,Z$3,BD!$B$3:$B$5001,$A$112,BD!$U$3:$U$5001,"&lt;&gt;")=0,"",SUMIFS(BD!$U$3:$U$5001,BD!$A$3:$A$5001,Z$3,BD!$B$3:$B$5001,$A$112)))</f>
        <v/>
      </c>
      <c r="AA116" s="168" t="str">
        <f>IF(AA$3="","",IF(COUNTIFS(BD!$A$3:$A$5001,AA$3,BD!$B$3:$B$5001,$A$112,BD!$U$3:$U$5001,"&lt;&gt;")=0,"",SUMIFS(BD!$U$3:$U$5001,BD!$A$3:$A$5001,AA$3,BD!$B$3:$B$5001,$A$112)))</f>
        <v/>
      </c>
      <c r="AB116" s="168" t="str">
        <f>IF(AB$3="","",IF(COUNTIFS(BD!$A$3:$A$5001,AB$3,BD!$B$3:$B$5001,$A$112,BD!$U$3:$U$5001,"&lt;&gt;")=0,"",SUMIFS(BD!$U$3:$U$5001,BD!$A$3:$A$5001,AB$3,BD!$B$3:$B$5001,$A$112)))</f>
        <v/>
      </c>
      <c r="AC116" s="168" t="str">
        <f>IF(AC$3="","",IF(COUNTIFS(BD!$A$3:$A$5001,AC$3,BD!$B$3:$B$5001,$A$112,BD!$U$3:$U$5001,"&lt;&gt;")=0,"",SUMIFS(BD!$U$3:$U$5001,BD!$A$3:$A$5001,AC$3,BD!$B$3:$B$5001,$A$112)))</f>
        <v/>
      </c>
      <c r="AD116" s="168" t="str">
        <f>IF(AD$3="","",IF(COUNTIFS(BD!$A$3:$A$5001,AD$3,BD!$B$3:$B$5001,$A$112,BD!$U$3:$U$5001,"&lt;&gt;")=0,"",SUMIFS(BD!$U$3:$U$5001,BD!$A$3:$A$5001,AD$3,BD!$B$3:$B$5001,$A$112)))</f>
        <v/>
      </c>
      <c r="AE116" s="168" t="str">
        <f>IF(AE$3="","",IF(COUNTIFS(BD!$A$3:$A$5001,AE$3,BD!$B$3:$B$5001,$A$112,BD!$U$3:$U$5001,"&lt;&gt;")=0,"",SUMIFS(BD!$U$3:$U$5001,BD!$A$3:$A$5001,AE$3,BD!$B$3:$B$5001,$A$112)))</f>
        <v/>
      </c>
      <c r="AF116" s="168" t="str">
        <f>IF(AF$3="","",IF(COUNTIFS(BD!$A$3:$A$5001,AF$3,BD!$B$3:$B$5001,$A$112,BD!$U$3:$U$5001,"&lt;&gt;")=0,"",SUMIFS(BD!$U$3:$U$5001,BD!$A$3:$A$5001,AF$3,BD!$B$3:$B$5001,$A$112)))</f>
        <v/>
      </c>
      <c r="AG116" s="168" t="str">
        <f>IF(AG$3="","",IF(COUNTIFS(BD!$A$3:$A$5001,AG$3,BD!$B$3:$B$5001,$A$112,BD!$U$3:$U$5001,"&lt;&gt;")=0,"",SUMIFS(BD!$U$3:$U$5001,BD!$A$3:$A$5001,AG$3,BD!$B$3:$B$5001,$A$112)))</f>
        <v/>
      </c>
      <c r="AH116" s="168" t="str">
        <f>IF(AH$3="","",IF(COUNTIFS(BD!$A$3:$A$5001,AH$3,BD!$B$3:$B$5001,$A$112,BD!$U$3:$U$5001,"&lt;&gt;")=0,"",SUMIFS(BD!$U$3:$U$5001,BD!$A$3:$A$5001,AH$3,BD!$B$3:$B$5001,$A$112)))</f>
        <v/>
      </c>
      <c r="AI116" s="168" t="str">
        <f>IF(AI$3="","",IF(COUNTIFS(BD!$A$3:$A$5001,AI$3,BD!$B$3:$B$5001,$A$112,BD!$U$3:$U$5001,"&lt;&gt;")=0,"",SUMIFS(BD!$U$3:$U$5001,BD!$A$3:$A$5001,AI$3,BD!$B$3:$B$5001,$A$112)))</f>
        <v/>
      </c>
      <c r="AJ116" s="169" t="str">
        <f>IF(AJ$3="","",IF(COUNTIFS(BD!$A$3:$A$5001,AJ$3,BD!$B$3:$B$5001,$A$112,BD!$U$3:$U$5001,"&lt;&gt;")=0,"",SUMIFS(BD!$U$3:$U$5001,BD!$A$3:$A$5001,AJ$3,BD!$B$3:$B$5001,$A$112)))</f>
        <v/>
      </c>
      <c r="AK116" s="170" t="str">
        <f>IF(COUNT(F116:AJ116)=0,"",SUM(F116:AJ116))</f>
        <v/>
      </c>
    </row>
    <row r="117" ht="15.75" customHeight="1">
      <c r="A117" s="227"/>
      <c r="B117" s="220"/>
      <c r="C117" s="171" t="inlineStr">
        <is>
          <t xml:space="preserve">No show</t>
        </is>
      </c>
      <c r="D117" s="172" t="str">
        <f>IFERROR(1/(1/INDEX(BD!$AK$42:$AT$42,MATCH($A$112,BD!$AK$22:$AT$22,0))),"")</f>
        <v/>
      </c>
      <c r="E117" s="173"/>
      <c r="F117" s="174" t="str">
        <f>IF(F$3="","",IF(COUNTIFS(BD!$A$3:$A$5001,F$3,BD!$B$3:$B$5001,$A$112,BD!$V$3:$V$5001,"&lt;&gt;")=0,"",SUMIFS(BD!$V$3:$V$5001,BD!$A$3:$A$5001,F$3,BD!$B$3:$B$5001,$A$112)))</f>
        <v/>
      </c>
      <c r="G117" s="175" t="str">
        <f>IF(G$3="","",IF(COUNTIFS(BD!$A$3:$A$5001,G$3,BD!$B$3:$B$5001,$A$112,BD!$V$3:$V$5001,"&lt;&gt;")=0,"",SUMIFS(BD!$V$3:$V$5001,BD!$A$3:$A$5001,G$3,BD!$B$3:$B$5001,$A$112)))</f>
        <v/>
      </c>
      <c r="H117" s="175" t="str">
        <f>IF(H$3="","",IF(COUNTIFS(BD!$A$3:$A$5001,H$3,BD!$B$3:$B$5001,$A$112,BD!$V$3:$V$5001,"&lt;&gt;")=0,"",SUMIFS(BD!$V$3:$V$5001,BD!$A$3:$A$5001,H$3,BD!$B$3:$B$5001,$A$112)))</f>
        <v/>
      </c>
      <c r="I117" s="175" t="str">
        <f>IF(I$3="","",IF(COUNTIFS(BD!$A$3:$A$5001,I$3,BD!$B$3:$B$5001,$A$112,BD!$V$3:$V$5001,"&lt;&gt;")=0,"",SUMIFS(BD!$V$3:$V$5001,BD!$A$3:$A$5001,I$3,BD!$B$3:$B$5001,$A$112)))</f>
        <v/>
      </c>
      <c r="J117" s="175" t="str">
        <f>IF(J$3="","",IF(COUNTIFS(BD!$A$3:$A$5001,J$3,BD!$B$3:$B$5001,$A$112,BD!$V$3:$V$5001,"&lt;&gt;")=0,"",SUMIFS(BD!$V$3:$V$5001,BD!$A$3:$A$5001,J$3,BD!$B$3:$B$5001,$A$112)))</f>
        <v/>
      </c>
      <c r="K117" s="175" t="str">
        <f>IF(K$3="","",IF(COUNTIFS(BD!$A$3:$A$5001,K$3,BD!$B$3:$B$5001,$A$112,BD!$V$3:$V$5001,"&lt;&gt;")=0,"",SUMIFS(BD!$V$3:$V$5001,BD!$A$3:$A$5001,K$3,BD!$B$3:$B$5001,$A$112)))</f>
        <v/>
      </c>
      <c r="L117" s="175" t="str">
        <f>IF(L$3="","",IF(COUNTIFS(BD!$A$3:$A$5001,L$3,BD!$B$3:$B$5001,$A$112,BD!$V$3:$V$5001,"&lt;&gt;")=0,"",SUMIFS(BD!$V$3:$V$5001,BD!$A$3:$A$5001,L$3,BD!$B$3:$B$5001,$A$112)))</f>
        <v/>
      </c>
      <c r="M117" s="175" t="str">
        <f>IF(M$3="","",IF(COUNTIFS(BD!$A$3:$A$5001,M$3,BD!$B$3:$B$5001,$A$112,BD!$V$3:$V$5001,"&lt;&gt;")=0,"",SUMIFS(BD!$V$3:$V$5001,BD!$A$3:$A$5001,M$3,BD!$B$3:$B$5001,$A$112)))</f>
        <v/>
      </c>
      <c r="N117" s="175" t="str">
        <f>IF(N$3="","",IF(COUNTIFS(BD!$A$3:$A$5001,N$3,BD!$B$3:$B$5001,$A$112,BD!$V$3:$V$5001,"&lt;&gt;")=0,"",SUMIFS(BD!$V$3:$V$5001,BD!$A$3:$A$5001,N$3,BD!$B$3:$B$5001,$A$112)))</f>
        <v/>
      </c>
      <c r="O117" s="175" t="str">
        <f>IF(O$3="","",IF(COUNTIFS(BD!$A$3:$A$5001,O$3,BD!$B$3:$B$5001,$A$112,BD!$V$3:$V$5001,"&lt;&gt;")=0,"",SUMIFS(BD!$V$3:$V$5001,BD!$A$3:$A$5001,O$3,BD!$B$3:$B$5001,$A$112)))</f>
        <v/>
      </c>
      <c r="P117" s="175" t="str">
        <f>IF(P$3="","",IF(COUNTIFS(BD!$A$3:$A$5001,P$3,BD!$B$3:$B$5001,$A$112,BD!$V$3:$V$5001,"&lt;&gt;")=0,"",SUMIFS(BD!$V$3:$V$5001,BD!$A$3:$A$5001,P$3,BD!$B$3:$B$5001,$A$112)))</f>
        <v/>
      </c>
      <c r="Q117" s="175" t="str">
        <f>IF(Q$3="","",IF(COUNTIFS(BD!$A$3:$A$5001,Q$3,BD!$B$3:$B$5001,$A$112,BD!$V$3:$V$5001,"&lt;&gt;")=0,"",SUMIFS(BD!$V$3:$V$5001,BD!$A$3:$A$5001,Q$3,BD!$B$3:$B$5001,$A$112)))</f>
        <v/>
      </c>
      <c r="R117" s="175" t="str">
        <f>IF(R$3="","",IF(COUNTIFS(BD!$A$3:$A$5001,R$3,BD!$B$3:$B$5001,$A$112,BD!$V$3:$V$5001,"&lt;&gt;")=0,"",SUMIFS(BD!$V$3:$V$5001,BD!$A$3:$A$5001,R$3,BD!$B$3:$B$5001,$A$112)))</f>
        <v/>
      </c>
      <c r="S117" s="175" t="str">
        <f>IF(S$3="","",IF(COUNTIFS(BD!$A$3:$A$5001,S$3,BD!$B$3:$B$5001,$A$112,BD!$V$3:$V$5001,"&lt;&gt;")=0,"",SUMIFS(BD!$V$3:$V$5001,BD!$A$3:$A$5001,S$3,BD!$B$3:$B$5001,$A$112)))</f>
        <v/>
      </c>
      <c r="T117" s="175" t="str">
        <f>IF(T$3="","",IF(COUNTIFS(BD!$A$3:$A$5001,T$3,BD!$B$3:$B$5001,$A$112,BD!$V$3:$V$5001,"&lt;&gt;")=0,"",SUMIFS(BD!$V$3:$V$5001,BD!$A$3:$A$5001,T$3,BD!$B$3:$B$5001,$A$112)))</f>
        <v/>
      </c>
      <c r="U117" s="175" t="str">
        <f>IF(U$3="","",IF(COUNTIFS(BD!$A$3:$A$5001,U$3,BD!$B$3:$B$5001,$A$112,BD!$V$3:$V$5001,"&lt;&gt;")=0,"",SUMIFS(BD!$V$3:$V$5001,BD!$A$3:$A$5001,U$3,BD!$B$3:$B$5001,$A$112)))</f>
        <v/>
      </c>
      <c r="V117" s="175" t="str">
        <f>IF(V$3="","",IF(COUNTIFS(BD!$A$3:$A$5001,V$3,BD!$B$3:$B$5001,$A$112,BD!$V$3:$V$5001,"&lt;&gt;")=0,"",SUMIFS(BD!$V$3:$V$5001,BD!$A$3:$A$5001,V$3,BD!$B$3:$B$5001,$A$112)))</f>
        <v/>
      </c>
      <c r="W117" s="175" t="str">
        <f>IF(W$3="","",IF(COUNTIFS(BD!$A$3:$A$5001,W$3,BD!$B$3:$B$5001,$A$112,BD!$V$3:$V$5001,"&lt;&gt;")=0,"",SUMIFS(BD!$V$3:$V$5001,BD!$A$3:$A$5001,W$3,BD!$B$3:$B$5001,$A$112)))</f>
        <v/>
      </c>
      <c r="X117" s="175" t="str">
        <f>IF(X$3="","",IF(COUNTIFS(BD!$A$3:$A$5001,X$3,BD!$B$3:$B$5001,$A$112,BD!$V$3:$V$5001,"&lt;&gt;")=0,"",SUMIFS(BD!$V$3:$V$5001,BD!$A$3:$A$5001,X$3,BD!$B$3:$B$5001,$A$112)))</f>
        <v/>
      </c>
      <c r="Y117" s="175" t="str">
        <f>IF(Y$3="","",IF(COUNTIFS(BD!$A$3:$A$5001,Y$3,BD!$B$3:$B$5001,$A$112,BD!$V$3:$V$5001,"&lt;&gt;")=0,"",SUMIFS(BD!$V$3:$V$5001,BD!$A$3:$A$5001,Y$3,BD!$B$3:$B$5001,$A$112)))</f>
        <v/>
      </c>
      <c r="Z117" s="175" t="str">
        <f>IF(Z$3="","",IF(COUNTIFS(BD!$A$3:$A$5001,Z$3,BD!$B$3:$B$5001,$A$112,BD!$V$3:$V$5001,"&lt;&gt;")=0,"",SUMIFS(BD!$V$3:$V$5001,BD!$A$3:$A$5001,Z$3,BD!$B$3:$B$5001,$A$112)))</f>
        <v/>
      </c>
      <c r="AA117" s="175" t="str">
        <f>IF(AA$3="","",IF(COUNTIFS(BD!$A$3:$A$5001,AA$3,BD!$B$3:$B$5001,$A$112,BD!$V$3:$V$5001,"&lt;&gt;")=0,"",SUMIFS(BD!$V$3:$V$5001,BD!$A$3:$A$5001,AA$3,BD!$B$3:$B$5001,$A$112)))</f>
        <v/>
      </c>
      <c r="AB117" s="175" t="str">
        <f>IF(AB$3="","",IF(COUNTIFS(BD!$A$3:$A$5001,AB$3,BD!$B$3:$B$5001,$A$112,BD!$V$3:$V$5001,"&lt;&gt;")=0,"",SUMIFS(BD!$V$3:$V$5001,BD!$A$3:$A$5001,AB$3,BD!$B$3:$B$5001,$A$112)))</f>
        <v/>
      </c>
      <c r="AC117" s="175" t="str">
        <f>IF(AC$3="","",IF(COUNTIFS(BD!$A$3:$A$5001,AC$3,BD!$B$3:$B$5001,$A$112,BD!$V$3:$V$5001,"&lt;&gt;")=0,"",SUMIFS(BD!$V$3:$V$5001,BD!$A$3:$A$5001,AC$3,BD!$B$3:$B$5001,$A$112)))</f>
        <v/>
      </c>
      <c r="AD117" s="175" t="str">
        <f>IF(AD$3="","",IF(COUNTIFS(BD!$A$3:$A$5001,AD$3,BD!$B$3:$B$5001,$A$112,BD!$V$3:$V$5001,"&lt;&gt;")=0,"",SUMIFS(BD!$V$3:$V$5001,BD!$A$3:$A$5001,AD$3,BD!$B$3:$B$5001,$A$112)))</f>
        <v/>
      </c>
      <c r="AE117" s="175" t="str">
        <f>IF(AE$3="","",IF(COUNTIFS(BD!$A$3:$A$5001,AE$3,BD!$B$3:$B$5001,$A$112,BD!$V$3:$V$5001,"&lt;&gt;")=0,"",SUMIFS(BD!$V$3:$V$5001,BD!$A$3:$A$5001,AE$3,BD!$B$3:$B$5001,$A$112)))</f>
        <v/>
      </c>
      <c r="AF117" s="175" t="str">
        <f>IF(AF$3="","",IF(COUNTIFS(BD!$A$3:$A$5001,AF$3,BD!$B$3:$B$5001,$A$112,BD!$V$3:$V$5001,"&lt;&gt;")=0,"",SUMIFS(BD!$V$3:$V$5001,BD!$A$3:$A$5001,AF$3,BD!$B$3:$B$5001,$A$112)))</f>
        <v/>
      </c>
      <c r="AG117" s="175" t="str">
        <f>IF(AG$3="","",IF(COUNTIFS(BD!$A$3:$A$5001,AG$3,BD!$B$3:$B$5001,$A$112,BD!$V$3:$V$5001,"&lt;&gt;")=0,"",SUMIFS(BD!$V$3:$V$5001,BD!$A$3:$A$5001,AG$3,BD!$B$3:$B$5001,$A$112)))</f>
        <v/>
      </c>
      <c r="AH117" s="175" t="str">
        <f>IF(AH$3="","",IF(COUNTIFS(BD!$A$3:$A$5001,AH$3,BD!$B$3:$B$5001,$A$112,BD!$V$3:$V$5001,"&lt;&gt;")=0,"",SUMIFS(BD!$V$3:$V$5001,BD!$A$3:$A$5001,AH$3,BD!$B$3:$B$5001,$A$112)))</f>
        <v/>
      </c>
      <c r="AI117" s="175" t="str">
        <f>IF(AI$3="","",IF(COUNTIFS(BD!$A$3:$A$5001,AI$3,BD!$B$3:$B$5001,$A$112,BD!$V$3:$V$5001,"&lt;&gt;")=0,"",SUMIFS(BD!$V$3:$V$5001,BD!$A$3:$A$5001,AI$3,BD!$B$3:$B$5001,$A$112)))</f>
        <v/>
      </c>
      <c r="AJ117" s="176" t="str">
        <f>IF(AJ$3="","",IF(COUNTIFS(BD!$A$3:$A$5001,AJ$3,BD!$B$3:$B$5001,$A$112,BD!$V$3:$V$5001,"&lt;&gt;")=0,"",SUMIFS(BD!$V$3:$V$5001,BD!$A$3:$A$5001,AJ$3,BD!$B$3:$B$5001,$A$112)))</f>
        <v/>
      </c>
      <c r="AK117" s="177" t="str">
        <f>IF(COUNT(F117:AJ117)=0,"",SUM(F117:AJ117))</f>
        <v/>
      </c>
    </row>
    <row r="118" ht="15.75" customHeight="1">
      <c r="A118" s="227"/>
      <c r="B118" s="221"/>
      <c r="C118" s="178" t="inlineStr">
        <is>
          <t xml:space="preserve">Backlog</t>
        </is>
      </c>
      <c r="D118" s="179" t="str">
        <f>IFERROR(1/(1/INDEX(BD!$AK$43:$AT$43,MATCH($A$112,BD!$AK$22:$AT$22,0))),"")</f>
        <v/>
      </c>
      <c r="E118" s="180"/>
      <c r="F118" s="181" t="str">
        <f>IF(F$3="","",IF(COUNTIFS(BD!$A$3:$A$5001,F$3,BD!$B$3:$B$5001,$A$112,BD!$W$3:$W$5001,"&lt;&gt;")=0,"",SUMIFS(BD!$W$3:$W$5001,BD!$A$3:$A$5001,F$3,BD!$B$3:$B$5001,$A$112)))</f>
        <v/>
      </c>
      <c r="G118" s="182" t="str">
        <f>IF(G$3="","",IF(COUNTIFS(BD!$A$3:$A$5001,G$3,BD!$B$3:$B$5001,$A$112,BD!$W$3:$W$5001,"&lt;&gt;")=0,"",SUMIFS(BD!$W$3:$W$5001,BD!$A$3:$A$5001,G$3,BD!$B$3:$B$5001,$A$112)))</f>
        <v/>
      </c>
      <c r="H118" s="182" t="str">
        <f>IF(H$3="","",IF(COUNTIFS(BD!$A$3:$A$5001,H$3,BD!$B$3:$B$5001,$A$112,BD!$W$3:$W$5001,"&lt;&gt;")=0,"",SUMIFS(BD!$W$3:$W$5001,BD!$A$3:$A$5001,H$3,BD!$B$3:$B$5001,$A$112)))</f>
        <v/>
      </c>
      <c r="I118" s="182" t="str">
        <f>IF(I$3="","",IF(COUNTIFS(BD!$A$3:$A$5001,I$3,BD!$B$3:$B$5001,$A$112,BD!$W$3:$W$5001,"&lt;&gt;")=0,"",SUMIFS(BD!$W$3:$W$5001,BD!$A$3:$A$5001,I$3,BD!$B$3:$B$5001,$A$112)))</f>
        <v/>
      </c>
      <c r="J118" s="182" t="str">
        <f>IF(J$3="","",IF(COUNTIFS(BD!$A$3:$A$5001,J$3,BD!$B$3:$B$5001,$A$112,BD!$W$3:$W$5001,"&lt;&gt;")=0,"",SUMIFS(BD!$W$3:$W$5001,BD!$A$3:$A$5001,J$3,BD!$B$3:$B$5001,$A$112)))</f>
        <v/>
      </c>
      <c r="K118" s="182" t="str">
        <f>IF(K$3="","",IF(COUNTIFS(BD!$A$3:$A$5001,K$3,BD!$B$3:$B$5001,$A$112,BD!$W$3:$W$5001,"&lt;&gt;")=0,"",SUMIFS(BD!$W$3:$W$5001,BD!$A$3:$A$5001,K$3,BD!$B$3:$B$5001,$A$112)))</f>
        <v/>
      </c>
      <c r="L118" s="182" t="str">
        <f>IF(L$3="","",IF(COUNTIFS(BD!$A$3:$A$5001,L$3,BD!$B$3:$B$5001,$A$112,BD!$W$3:$W$5001,"&lt;&gt;")=0,"",SUMIFS(BD!$W$3:$W$5001,BD!$A$3:$A$5001,L$3,BD!$B$3:$B$5001,$A$112)))</f>
        <v/>
      </c>
      <c r="M118" s="182" t="str">
        <f>IF(M$3="","",IF(COUNTIFS(BD!$A$3:$A$5001,M$3,BD!$B$3:$B$5001,$A$112,BD!$W$3:$W$5001,"&lt;&gt;")=0,"",SUMIFS(BD!$W$3:$W$5001,BD!$A$3:$A$5001,M$3,BD!$B$3:$B$5001,$A$112)))</f>
        <v/>
      </c>
      <c r="N118" s="182" t="str">
        <f>IF(N$3="","",IF(COUNTIFS(BD!$A$3:$A$5001,N$3,BD!$B$3:$B$5001,$A$112,BD!$W$3:$W$5001,"&lt;&gt;")=0,"",SUMIFS(BD!$W$3:$W$5001,BD!$A$3:$A$5001,N$3,BD!$B$3:$B$5001,$A$112)))</f>
        <v/>
      </c>
      <c r="O118" s="182" t="str">
        <f>IF(O$3="","",IF(COUNTIFS(BD!$A$3:$A$5001,O$3,BD!$B$3:$B$5001,$A$112,BD!$W$3:$W$5001,"&lt;&gt;")=0,"",SUMIFS(BD!$W$3:$W$5001,BD!$A$3:$A$5001,O$3,BD!$B$3:$B$5001,$A$112)))</f>
        <v/>
      </c>
      <c r="P118" s="182" t="str">
        <f>IF(P$3="","",IF(COUNTIFS(BD!$A$3:$A$5001,P$3,BD!$B$3:$B$5001,$A$112,BD!$W$3:$W$5001,"&lt;&gt;")=0,"",SUMIFS(BD!$W$3:$W$5001,BD!$A$3:$A$5001,P$3,BD!$B$3:$B$5001,$A$112)))</f>
        <v/>
      </c>
      <c r="Q118" s="182" t="str">
        <f>IF(Q$3="","",IF(COUNTIFS(BD!$A$3:$A$5001,Q$3,BD!$B$3:$B$5001,$A$112,BD!$W$3:$W$5001,"&lt;&gt;")=0,"",SUMIFS(BD!$W$3:$W$5001,BD!$A$3:$A$5001,Q$3,BD!$B$3:$B$5001,$A$112)))</f>
        <v/>
      </c>
      <c r="R118" s="182" t="str">
        <f>IF(R$3="","",IF(COUNTIFS(BD!$A$3:$A$5001,R$3,BD!$B$3:$B$5001,$A$112,BD!$W$3:$W$5001,"&lt;&gt;")=0,"",SUMIFS(BD!$W$3:$W$5001,BD!$A$3:$A$5001,R$3,BD!$B$3:$B$5001,$A$112)))</f>
        <v/>
      </c>
      <c r="S118" s="182" t="str">
        <f>IF(S$3="","",IF(COUNTIFS(BD!$A$3:$A$5001,S$3,BD!$B$3:$B$5001,$A$112,BD!$W$3:$W$5001,"&lt;&gt;")=0,"",SUMIFS(BD!$W$3:$W$5001,BD!$A$3:$A$5001,S$3,BD!$B$3:$B$5001,$A$112)))</f>
        <v/>
      </c>
      <c r="T118" s="182" t="str">
        <f>IF(T$3="","",IF(COUNTIFS(BD!$A$3:$A$5001,T$3,BD!$B$3:$B$5001,$A$112,BD!$W$3:$W$5001,"&lt;&gt;")=0,"",SUMIFS(BD!$W$3:$W$5001,BD!$A$3:$A$5001,T$3,BD!$B$3:$B$5001,$A$112)))</f>
        <v/>
      </c>
      <c r="U118" s="182" t="str">
        <f>IF(U$3="","",IF(COUNTIFS(BD!$A$3:$A$5001,U$3,BD!$B$3:$B$5001,$A$112,BD!$W$3:$W$5001,"&lt;&gt;")=0,"",SUMIFS(BD!$W$3:$W$5001,BD!$A$3:$A$5001,U$3,BD!$B$3:$B$5001,$A$112)))</f>
        <v/>
      </c>
      <c r="V118" s="182" t="str">
        <f>IF(V$3="","",IF(COUNTIFS(BD!$A$3:$A$5001,V$3,BD!$B$3:$B$5001,$A$112,BD!$W$3:$W$5001,"&lt;&gt;")=0,"",SUMIFS(BD!$W$3:$W$5001,BD!$A$3:$A$5001,V$3,BD!$B$3:$B$5001,$A$112)))</f>
        <v/>
      </c>
      <c r="W118" s="182" t="str">
        <f>IF(W$3="","",IF(COUNTIFS(BD!$A$3:$A$5001,W$3,BD!$B$3:$B$5001,$A$112,BD!$W$3:$W$5001,"&lt;&gt;")=0,"",SUMIFS(BD!$W$3:$W$5001,BD!$A$3:$A$5001,W$3,BD!$B$3:$B$5001,$A$112)))</f>
        <v/>
      </c>
      <c r="X118" s="182" t="str">
        <f>IF(X$3="","",IF(COUNTIFS(BD!$A$3:$A$5001,X$3,BD!$B$3:$B$5001,$A$112,BD!$W$3:$W$5001,"&lt;&gt;")=0,"",SUMIFS(BD!$W$3:$W$5001,BD!$A$3:$A$5001,X$3,BD!$B$3:$B$5001,$A$112)))</f>
        <v/>
      </c>
      <c r="Y118" s="182" t="str">
        <f>IF(Y$3="","",IF(COUNTIFS(BD!$A$3:$A$5001,Y$3,BD!$B$3:$B$5001,$A$112,BD!$W$3:$W$5001,"&lt;&gt;")=0,"",SUMIFS(BD!$W$3:$W$5001,BD!$A$3:$A$5001,Y$3,BD!$B$3:$B$5001,$A$112)))</f>
        <v/>
      </c>
      <c r="Z118" s="182" t="str">
        <f>IF(Z$3="","",IF(COUNTIFS(BD!$A$3:$A$5001,Z$3,BD!$B$3:$B$5001,$A$112,BD!$W$3:$W$5001,"&lt;&gt;")=0,"",SUMIFS(BD!$W$3:$W$5001,BD!$A$3:$A$5001,Z$3,BD!$B$3:$B$5001,$A$112)))</f>
        <v/>
      </c>
      <c r="AA118" s="182" t="str">
        <f>IF(AA$3="","",IF(COUNTIFS(BD!$A$3:$A$5001,AA$3,BD!$B$3:$B$5001,$A$112,BD!$W$3:$W$5001,"&lt;&gt;")=0,"",SUMIFS(BD!$W$3:$W$5001,BD!$A$3:$A$5001,AA$3,BD!$B$3:$B$5001,$A$112)))</f>
        <v/>
      </c>
      <c r="AB118" s="182" t="str">
        <f>IF(AB$3="","",IF(COUNTIFS(BD!$A$3:$A$5001,AB$3,BD!$B$3:$B$5001,$A$112,BD!$W$3:$W$5001,"&lt;&gt;")=0,"",SUMIFS(BD!$W$3:$W$5001,BD!$A$3:$A$5001,AB$3,BD!$B$3:$B$5001,$A$112)))</f>
        <v/>
      </c>
      <c r="AC118" s="182" t="str">
        <f>IF(AC$3="","",IF(COUNTIFS(BD!$A$3:$A$5001,AC$3,BD!$B$3:$B$5001,$A$112,BD!$W$3:$W$5001,"&lt;&gt;")=0,"",SUMIFS(BD!$W$3:$W$5001,BD!$A$3:$A$5001,AC$3,BD!$B$3:$B$5001,$A$112)))</f>
        <v/>
      </c>
      <c r="AD118" s="182" t="str">
        <f>IF(AD$3="","",IF(COUNTIFS(BD!$A$3:$A$5001,AD$3,BD!$B$3:$B$5001,$A$112,BD!$W$3:$W$5001,"&lt;&gt;")=0,"",SUMIFS(BD!$W$3:$W$5001,BD!$A$3:$A$5001,AD$3,BD!$B$3:$B$5001,$A$112)))</f>
        <v/>
      </c>
      <c r="AE118" s="182" t="str">
        <f>IF(AE$3="","",IF(COUNTIFS(BD!$A$3:$A$5001,AE$3,BD!$B$3:$B$5001,$A$112,BD!$W$3:$W$5001,"&lt;&gt;")=0,"",SUMIFS(BD!$W$3:$W$5001,BD!$A$3:$A$5001,AE$3,BD!$B$3:$B$5001,$A$112)))</f>
        <v/>
      </c>
      <c r="AF118" s="182" t="str">
        <f>IF(AF$3="","",IF(COUNTIFS(BD!$A$3:$A$5001,AF$3,BD!$B$3:$B$5001,$A$112,BD!$W$3:$W$5001,"&lt;&gt;")=0,"",SUMIFS(BD!$W$3:$W$5001,BD!$A$3:$A$5001,AF$3,BD!$B$3:$B$5001,$A$112)))</f>
        <v/>
      </c>
      <c r="AG118" s="182" t="str">
        <f>IF(AG$3="","",IF(COUNTIFS(BD!$A$3:$A$5001,AG$3,BD!$B$3:$B$5001,$A$112,BD!$W$3:$W$5001,"&lt;&gt;")=0,"",SUMIFS(BD!$W$3:$W$5001,BD!$A$3:$A$5001,AG$3,BD!$B$3:$B$5001,$A$112)))</f>
        <v/>
      </c>
      <c r="AH118" s="182" t="str">
        <f>IF(AH$3="","",IF(COUNTIFS(BD!$A$3:$A$5001,AH$3,BD!$B$3:$B$5001,$A$112,BD!$W$3:$W$5001,"&lt;&gt;")=0,"",SUMIFS(BD!$W$3:$W$5001,BD!$A$3:$A$5001,AH$3,BD!$B$3:$B$5001,$A$112)))</f>
        <v/>
      </c>
      <c r="AI118" s="182" t="str">
        <f>IF(AI$3="","",IF(COUNTIFS(BD!$A$3:$A$5001,AI$3,BD!$B$3:$B$5001,$A$112,BD!$W$3:$W$5001,"&lt;&gt;")=0,"",SUMIFS(BD!$W$3:$W$5001,BD!$A$3:$A$5001,AI$3,BD!$B$3:$B$5001,$A$112)))</f>
        <v/>
      </c>
      <c r="AJ118" s="183" t="str">
        <f>IF(AJ$3="","",IF(COUNTIFS(BD!$A$3:$A$5001,AJ$3,BD!$B$3:$B$5001,$A$112,BD!$W$3:$W$5001,"&lt;&gt;")=0,"",SUMIFS(BD!$W$3:$W$5001,BD!$A$3:$A$5001,AJ$3,BD!$B$3:$B$5001,$A$112)))</f>
        <v/>
      </c>
      <c r="AK118" s="179" t="str">
        <f>IFERROR(LOOKUP(9.99E+307,F118:AJ118),"")</f>
        <v/>
      </c>
    </row>
    <row r="119" ht="15.75" customHeight="1">
      <c r="A119" s="227"/>
      <c r="B119" s="215" t="inlineStr">
        <is>
          <t xml:space="preserve">OCUPAÇÃO (P.P)</t>
        </is>
      </c>
      <c r="C119" s="138" t="inlineStr">
        <is>
          <t xml:space="preserve">Posições Disponíveis</t>
        </is>
      </c>
      <c r="D119" s="139" t="str">
        <f>IFERROR(1/(1/INDEX(BD!$AK$44:$AT$44,MATCH($A$112,BD!$AK$22:$AT$22,0))),"")</f>
        <v/>
      </c>
      <c r="E119" s="140"/>
      <c r="F119" s="141" t="str">
        <f>IF(F$3="","",IF(COUNTIFS(BD!$A$3:$A$5001,F$3,BD!$B$3:$B$5001,$A$112,BD!$X$3:$X$5001,"&lt;&gt;")=0,"",SUMIFS(BD!$X$3:$X$5001,BD!$A$3:$A$5001,F$3,BD!$B$3:$B$5001,$A$112)))</f>
        <v/>
      </c>
      <c r="G119" s="142" t="str">
        <f>IF(G$3="","",IF(COUNTIFS(BD!$A$3:$A$5001,G$3,BD!$B$3:$B$5001,$A$112,BD!$X$3:$X$5001,"&lt;&gt;")=0,"",SUMIFS(BD!$X$3:$X$5001,BD!$A$3:$A$5001,G$3,BD!$B$3:$B$5001,$A$112)))</f>
        <v/>
      </c>
      <c r="H119" s="142" t="str">
        <f>IF(H$3="","",IF(COUNTIFS(BD!$A$3:$A$5001,H$3,BD!$B$3:$B$5001,$A$112,BD!$X$3:$X$5001,"&lt;&gt;")=0,"",SUMIFS(BD!$X$3:$X$5001,BD!$A$3:$A$5001,H$3,BD!$B$3:$B$5001,$A$112)))</f>
        <v/>
      </c>
      <c r="I119" s="142" t="str">
        <f>IF(I$3="","",IF(COUNTIFS(BD!$A$3:$A$5001,I$3,BD!$B$3:$B$5001,$A$112,BD!$X$3:$X$5001,"&lt;&gt;")=0,"",SUMIFS(BD!$X$3:$X$5001,BD!$A$3:$A$5001,I$3,BD!$B$3:$B$5001,$A$112)))</f>
        <v/>
      </c>
      <c r="J119" s="142" t="str">
        <f>IF(J$3="","",IF(COUNTIFS(BD!$A$3:$A$5001,J$3,BD!$B$3:$B$5001,$A$112,BD!$X$3:$X$5001,"&lt;&gt;")=0,"",SUMIFS(BD!$X$3:$X$5001,BD!$A$3:$A$5001,J$3,BD!$B$3:$B$5001,$A$112)))</f>
        <v/>
      </c>
      <c r="K119" s="142" t="str">
        <f>IF(K$3="","",IF(COUNTIFS(BD!$A$3:$A$5001,K$3,BD!$B$3:$B$5001,$A$112,BD!$X$3:$X$5001,"&lt;&gt;")=0,"",SUMIFS(BD!$X$3:$X$5001,BD!$A$3:$A$5001,K$3,BD!$B$3:$B$5001,$A$112)))</f>
        <v/>
      </c>
      <c r="L119" s="142" t="str">
        <f>IF(L$3="","",IF(COUNTIFS(BD!$A$3:$A$5001,L$3,BD!$B$3:$B$5001,$A$112,BD!$X$3:$X$5001,"&lt;&gt;")=0,"",SUMIFS(BD!$X$3:$X$5001,BD!$A$3:$A$5001,L$3,BD!$B$3:$B$5001,$A$112)))</f>
        <v/>
      </c>
      <c r="M119" s="142" t="str">
        <f>IF(M$3="","",IF(COUNTIFS(BD!$A$3:$A$5001,M$3,BD!$B$3:$B$5001,$A$112,BD!$X$3:$X$5001,"&lt;&gt;")=0,"",SUMIFS(BD!$X$3:$X$5001,BD!$A$3:$A$5001,M$3,BD!$B$3:$B$5001,$A$112)))</f>
        <v/>
      </c>
      <c r="N119" s="142" t="str">
        <f>IF(N$3="","",IF(COUNTIFS(BD!$A$3:$A$5001,N$3,BD!$B$3:$B$5001,$A$112,BD!$X$3:$X$5001,"&lt;&gt;")=0,"",SUMIFS(BD!$X$3:$X$5001,BD!$A$3:$A$5001,N$3,BD!$B$3:$B$5001,$A$112)))</f>
        <v/>
      </c>
      <c r="O119" s="142" t="str">
        <f>IF(O$3="","",IF(COUNTIFS(BD!$A$3:$A$5001,O$3,BD!$B$3:$B$5001,$A$112,BD!$X$3:$X$5001,"&lt;&gt;")=0,"",SUMIFS(BD!$X$3:$X$5001,BD!$A$3:$A$5001,O$3,BD!$B$3:$B$5001,$A$112)))</f>
        <v/>
      </c>
      <c r="P119" s="142" t="str">
        <f>IF(P$3="","",IF(COUNTIFS(BD!$A$3:$A$5001,P$3,BD!$B$3:$B$5001,$A$112,BD!$X$3:$X$5001,"&lt;&gt;")=0,"",SUMIFS(BD!$X$3:$X$5001,BD!$A$3:$A$5001,P$3,BD!$B$3:$B$5001,$A$112)))</f>
        <v/>
      </c>
      <c r="Q119" s="142" t="str">
        <f>IF(Q$3="","",IF(COUNTIFS(BD!$A$3:$A$5001,Q$3,BD!$B$3:$B$5001,$A$112,BD!$X$3:$X$5001,"&lt;&gt;")=0,"",SUMIFS(BD!$X$3:$X$5001,BD!$A$3:$A$5001,Q$3,BD!$B$3:$B$5001,$A$112)))</f>
        <v/>
      </c>
      <c r="R119" s="142" t="str">
        <f>IF(R$3="","",IF(COUNTIFS(BD!$A$3:$A$5001,R$3,BD!$B$3:$B$5001,$A$112,BD!$X$3:$X$5001,"&lt;&gt;")=0,"",SUMIFS(BD!$X$3:$X$5001,BD!$A$3:$A$5001,R$3,BD!$B$3:$B$5001,$A$112)))</f>
        <v/>
      </c>
      <c r="S119" s="142" t="str">
        <f>IF(S$3="","",IF(COUNTIFS(BD!$A$3:$A$5001,S$3,BD!$B$3:$B$5001,$A$112,BD!$X$3:$X$5001,"&lt;&gt;")=0,"",SUMIFS(BD!$X$3:$X$5001,BD!$A$3:$A$5001,S$3,BD!$B$3:$B$5001,$A$112)))</f>
        <v/>
      </c>
      <c r="T119" s="142" t="str">
        <f>IF(T$3="","",IF(COUNTIFS(BD!$A$3:$A$5001,T$3,BD!$B$3:$B$5001,$A$112,BD!$X$3:$X$5001,"&lt;&gt;")=0,"",SUMIFS(BD!$X$3:$X$5001,BD!$A$3:$A$5001,T$3,BD!$B$3:$B$5001,$A$112)))</f>
        <v/>
      </c>
      <c r="U119" s="142" t="str">
        <f>IF(U$3="","",IF(COUNTIFS(BD!$A$3:$A$5001,U$3,BD!$B$3:$B$5001,$A$112,BD!$X$3:$X$5001,"&lt;&gt;")=0,"",SUMIFS(BD!$X$3:$X$5001,BD!$A$3:$A$5001,U$3,BD!$B$3:$B$5001,$A$112)))</f>
        <v/>
      </c>
      <c r="V119" s="142" t="str">
        <f>IF(V$3="","",IF(COUNTIFS(BD!$A$3:$A$5001,V$3,BD!$B$3:$B$5001,$A$112,BD!$X$3:$X$5001,"&lt;&gt;")=0,"",SUMIFS(BD!$X$3:$X$5001,BD!$A$3:$A$5001,V$3,BD!$B$3:$B$5001,$A$112)))</f>
        <v/>
      </c>
      <c r="W119" s="142" t="str">
        <f>IF(W$3="","",IF(COUNTIFS(BD!$A$3:$A$5001,W$3,BD!$B$3:$B$5001,$A$112,BD!$X$3:$X$5001,"&lt;&gt;")=0,"",SUMIFS(BD!$X$3:$X$5001,BD!$A$3:$A$5001,W$3,BD!$B$3:$B$5001,$A$112)))</f>
        <v/>
      </c>
      <c r="X119" s="142" t="str">
        <f>IF(X$3="","",IF(COUNTIFS(BD!$A$3:$A$5001,X$3,BD!$B$3:$B$5001,$A$112,BD!$X$3:$X$5001,"&lt;&gt;")=0,"",SUMIFS(BD!$X$3:$X$5001,BD!$A$3:$A$5001,X$3,BD!$B$3:$B$5001,$A$112)))</f>
        <v/>
      </c>
      <c r="Y119" s="142" t="str">
        <f>IF(Y$3="","",IF(COUNTIFS(BD!$A$3:$A$5001,Y$3,BD!$B$3:$B$5001,$A$112,BD!$X$3:$X$5001,"&lt;&gt;")=0,"",SUMIFS(BD!$X$3:$X$5001,BD!$A$3:$A$5001,Y$3,BD!$B$3:$B$5001,$A$112)))</f>
        <v/>
      </c>
      <c r="Z119" s="142" t="str">
        <f>IF(Z$3="","",IF(COUNTIFS(BD!$A$3:$A$5001,Z$3,BD!$B$3:$B$5001,$A$112,BD!$X$3:$X$5001,"&lt;&gt;")=0,"",SUMIFS(BD!$X$3:$X$5001,BD!$A$3:$A$5001,Z$3,BD!$B$3:$B$5001,$A$112)))</f>
        <v/>
      </c>
      <c r="AA119" s="142" t="str">
        <f>IF(AA$3="","",IF(COUNTIFS(BD!$A$3:$A$5001,AA$3,BD!$B$3:$B$5001,$A$112,BD!$X$3:$X$5001,"&lt;&gt;")=0,"",SUMIFS(BD!$X$3:$X$5001,BD!$A$3:$A$5001,AA$3,BD!$B$3:$B$5001,$A$112)))</f>
        <v/>
      </c>
      <c r="AB119" s="142" t="str">
        <f>IF(AB$3="","",IF(COUNTIFS(BD!$A$3:$A$5001,AB$3,BD!$B$3:$B$5001,$A$112,BD!$X$3:$X$5001,"&lt;&gt;")=0,"",SUMIFS(BD!$X$3:$X$5001,BD!$A$3:$A$5001,AB$3,BD!$B$3:$B$5001,$A$112)))</f>
        <v/>
      </c>
      <c r="AC119" s="142" t="str">
        <f>IF(AC$3="","",IF(COUNTIFS(BD!$A$3:$A$5001,AC$3,BD!$B$3:$B$5001,$A$112,BD!$X$3:$X$5001,"&lt;&gt;")=0,"",SUMIFS(BD!$X$3:$X$5001,BD!$A$3:$A$5001,AC$3,BD!$B$3:$B$5001,$A$112)))</f>
        <v/>
      </c>
      <c r="AD119" s="142" t="str">
        <f>IF(AD$3="","",IF(COUNTIFS(BD!$A$3:$A$5001,AD$3,BD!$B$3:$B$5001,$A$112,BD!$X$3:$X$5001,"&lt;&gt;")=0,"",SUMIFS(BD!$X$3:$X$5001,BD!$A$3:$A$5001,AD$3,BD!$B$3:$B$5001,$A$112)))</f>
        <v/>
      </c>
      <c r="AE119" s="142" t="str">
        <f>IF(AE$3="","",IF(COUNTIFS(BD!$A$3:$A$5001,AE$3,BD!$B$3:$B$5001,$A$112,BD!$X$3:$X$5001,"&lt;&gt;")=0,"",SUMIFS(BD!$X$3:$X$5001,BD!$A$3:$A$5001,AE$3,BD!$B$3:$B$5001,$A$112)))</f>
        <v/>
      </c>
      <c r="AF119" s="142" t="str">
        <f>IF(AF$3="","",IF(COUNTIFS(BD!$A$3:$A$5001,AF$3,BD!$B$3:$B$5001,$A$112,BD!$X$3:$X$5001,"&lt;&gt;")=0,"",SUMIFS(BD!$X$3:$X$5001,BD!$A$3:$A$5001,AF$3,BD!$B$3:$B$5001,$A$112)))</f>
        <v/>
      </c>
      <c r="AG119" s="142" t="str">
        <f>IF(AG$3="","",IF(COUNTIFS(BD!$A$3:$A$5001,AG$3,BD!$B$3:$B$5001,$A$112,BD!$X$3:$X$5001,"&lt;&gt;")=0,"",SUMIFS(BD!$X$3:$X$5001,BD!$A$3:$A$5001,AG$3,BD!$B$3:$B$5001,$A$112)))</f>
        <v/>
      </c>
      <c r="AH119" s="142" t="str">
        <f>IF(AH$3="","",IF(COUNTIFS(BD!$A$3:$A$5001,AH$3,BD!$B$3:$B$5001,$A$112,BD!$X$3:$X$5001,"&lt;&gt;")=0,"",SUMIFS(BD!$X$3:$X$5001,BD!$A$3:$A$5001,AH$3,BD!$B$3:$B$5001,$A$112)))</f>
        <v/>
      </c>
      <c r="AI119" s="142" t="str">
        <f>IF(AI$3="","",IF(COUNTIFS(BD!$A$3:$A$5001,AI$3,BD!$B$3:$B$5001,$A$112,BD!$X$3:$X$5001,"&lt;&gt;")=0,"",SUMIFS(BD!$X$3:$X$5001,BD!$A$3:$A$5001,AI$3,BD!$B$3:$B$5001,$A$112)))</f>
        <v/>
      </c>
      <c r="AJ119" s="143" t="str">
        <f>IF(AJ$3="","",IF(COUNTIFS(BD!$A$3:$A$5001,AJ$3,BD!$B$3:$B$5001,$A$112,BD!$X$3:$X$5001,"&lt;&gt;")=0,"",SUMIFS(BD!$X$3:$X$5001,BD!$A$3:$A$5001,AJ$3,BD!$B$3:$B$5001,$A$112)))</f>
        <v/>
      </c>
      <c r="AK119" s="144" t="str">
        <f>IF(COUNT(F119:AJ119)&gt;0,LOOKUP(9.99E+307,F119:AJ119),IFERROR(IF(INDEX(BD!$AH$3:$AH$5001,MATCH($A$112,BD!$B$3:$B$5001,0))&amp;""="Contrato","",INDEX(BD!$AH$3:$AH$5001,MATCH($A$112,BD!$B$3:$B$5001,0))&amp;""),""))</f>
        <v/>
      </c>
    </row>
    <row r="120" ht="15.75" customHeight="1">
      <c r="A120" s="227"/>
      <c r="B120" s="222"/>
      <c r="C120" s="184" t="inlineStr">
        <is>
          <t xml:space="preserve">Posições Ocupadas</t>
        </is>
      </c>
      <c r="D120" s="185" t="str">
        <f>IFERROR(1/(1/INDEX(BD!$AK$45:$AT$45,MATCH($A$112,BD!$AK$22:$AT$22,0))),"")</f>
        <v/>
      </c>
      <c r="E120" s="186"/>
      <c r="F120" s="187" t="str">
        <f>IF(F$3="","",IF(COUNTIFS(BD!$A$3:$A$5001,F$3,BD!$B$3:$B$5001,$A$112,BD!$Y$3:$Y$5001,"&lt;&gt;")=0,"",SUMIFS(BD!$Y$3:$Y$5001,BD!$A$3:$A$5001,F$3,BD!$B$3:$B$5001,$A$112)))</f>
        <v/>
      </c>
      <c r="G120" s="188" t="str">
        <f>IF(G$3="","",IF(COUNTIFS(BD!$A$3:$A$5001,G$3,BD!$B$3:$B$5001,$A$112,BD!$Y$3:$Y$5001,"&lt;&gt;")=0,"",SUMIFS(BD!$Y$3:$Y$5001,BD!$A$3:$A$5001,G$3,BD!$B$3:$B$5001,$A$112)))</f>
        <v/>
      </c>
      <c r="H120" s="188" t="str">
        <f>IF(H$3="","",IF(COUNTIFS(BD!$A$3:$A$5001,H$3,BD!$B$3:$B$5001,$A$112,BD!$Y$3:$Y$5001,"&lt;&gt;")=0,"",SUMIFS(BD!$Y$3:$Y$5001,BD!$A$3:$A$5001,H$3,BD!$B$3:$B$5001,$A$112)))</f>
        <v/>
      </c>
      <c r="I120" s="188" t="str">
        <f>IF(I$3="","",IF(COUNTIFS(BD!$A$3:$A$5001,I$3,BD!$B$3:$B$5001,$A$112,BD!$Y$3:$Y$5001,"&lt;&gt;")=0,"",SUMIFS(BD!$Y$3:$Y$5001,BD!$A$3:$A$5001,I$3,BD!$B$3:$B$5001,$A$112)))</f>
        <v/>
      </c>
      <c r="J120" s="188" t="str">
        <f>IF(J$3="","",IF(COUNTIFS(BD!$A$3:$A$5001,J$3,BD!$B$3:$B$5001,$A$112,BD!$Y$3:$Y$5001,"&lt;&gt;")=0,"",SUMIFS(BD!$Y$3:$Y$5001,BD!$A$3:$A$5001,J$3,BD!$B$3:$B$5001,$A$112)))</f>
        <v/>
      </c>
      <c r="K120" s="188" t="str">
        <f>IF(K$3="","",IF(COUNTIFS(BD!$A$3:$A$5001,K$3,BD!$B$3:$B$5001,$A$112,BD!$Y$3:$Y$5001,"&lt;&gt;")=0,"",SUMIFS(BD!$Y$3:$Y$5001,BD!$A$3:$A$5001,K$3,BD!$B$3:$B$5001,$A$112)))</f>
        <v/>
      </c>
      <c r="L120" s="188" t="str">
        <f>IF(L$3="","",IF(COUNTIFS(BD!$A$3:$A$5001,L$3,BD!$B$3:$B$5001,$A$112,BD!$Y$3:$Y$5001,"&lt;&gt;")=0,"",SUMIFS(BD!$Y$3:$Y$5001,BD!$A$3:$A$5001,L$3,BD!$B$3:$B$5001,$A$112)))</f>
        <v/>
      </c>
      <c r="M120" s="188" t="str">
        <f>IF(M$3="","",IF(COUNTIFS(BD!$A$3:$A$5001,M$3,BD!$B$3:$B$5001,$A$112,BD!$Y$3:$Y$5001,"&lt;&gt;")=0,"",SUMIFS(BD!$Y$3:$Y$5001,BD!$A$3:$A$5001,M$3,BD!$B$3:$B$5001,$A$112)))</f>
        <v/>
      </c>
      <c r="N120" s="188" t="str">
        <f>IF(N$3="","",IF(COUNTIFS(BD!$A$3:$A$5001,N$3,BD!$B$3:$B$5001,$A$112,BD!$Y$3:$Y$5001,"&lt;&gt;")=0,"",SUMIFS(BD!$Y$3:$Y$5001,BD!$A$3:$A$5001,N$3,BD!$B$3:$B$5001,$A$112)))</f>
        <v/>
      </c>
      <c r="O120" s="188" t="str">
        <f>IF(O$3="","",IF(COUNTIFS(BD!$A$3:$A$5001,O$3,BD!$B$3:$B$5001,$A$112,BD!$Y$3:$Y$5001,"&lt;&gt;")=0,"",SUMIFS(BD!$Y$3:$Y$5001,BD!$A$3:$A$5001,O$3,BD!$B$3:$B$5001,$A$112)))</f>
        <v/>
      </c>
      <c r="P120" s="188" t="str">
        <f>IF(P$3="","",IF(COUNTIFS(BD!$A$3:$A$5001,P$3,BD!$B$3:$B$5001,$A$112,BD!$Y$3:$Y$5001,"&lt;&gt;")=0,"",SUMIFS(BD!$Y$3:$Y$5001,BD!$A$3:$A$5001,P$3,BD!$B$3:$B$5001,$A$112)))</f>
        <v/>
      </c>
      <c r="Q120" s="188" t="str">
        <f>IF(Q$3="","",IF(COUNTIFS(BD!$A$3:$A$5001,Q$3,BD!$B$3:$B$5001,$A$112,BD!$Y$3:$Y$5001,"&lt;&gt;")=0,"",SUMIFS(BD!$Y$3:$Y$5001,BD!$A$3:$A$5001,Q$3,BD!$B$3:$B$5001,$A$112)))</f>
        <v/>
      </c>
      <c r="R120" s="188" t="str">
        <f>IF(R$3="","",IF(COUNTIFS(BD!$A$3:$A$5001,R$3,BD!$B$3:$B$5001,$A$112,BD!$Y$3:$Y$5001,"&lt;&gt;")=0,"",SUMIFS(BD!$Y$3:$Y$5001,BD!$A$3:$A$5001,R$3,BD!$B$3:$B$5001,$A$112)))</f>
        <v/>
      </c>
      <c r="S120" s="188" t="str">
        <f>IF(S$3="","",IF(COUNTIFS(BD!$A$3:$A$5001,S$3,BD!$B$3:$B$5001,$A$112,BD!$Y$3:$Y$5001,"&lt;&gt;")=0,"",SUMIFS(BD!$Y$3:$Y$5001,BD!$A$3:$A$5001,S$3,BD!$B$3:$B$5001,$A$112)))</f>
        <v/>
      </c>
      <c r="T120" s="188" t="str">
        <f>IF(T$3="","",IF(COUNTIFS(BD!$A$3:$A$5001,T$3,BD!$B$3:$B$5001,$A$112,BD!$Y$3:$Y$5001,"&lt;&gt;")=0,"",SUMIFS(BD!$Y$3:$Y$5001,BD!$A$3:$A$5001,T$3,BD!$B$3:$B$5001,$A$112)))</f>
        <v/>
      </c>
      <c r="U120" s="188" t="str">
        <f>IF(U$3="","",IF(COUNTIFS(BD!$A$3:$A$5001,U$3,BD!$B$3:$B$5001,$A$112,BD!$Y$3:$Y$5001,"&lt;&gt;")=0,"",SUMIFS(BD!$Y$3:$Y$5001,BD!$A$3:$A$5001,U$3,BD!$B$3:$B$5001,$A$112)))</f>
        <v/>
      </c>
      <c r="V120" s="188" t="str">
        <f>IF(V$3="","",IF(COUNTIFS(BD!$A$3:$A$5001,V$3,BD!$B$3:$B$5001,$A$112,BD!$Y$3:$Y$5001,"&lt;&gt;")=0,"",SUMIFS(BD!$Y$3:$Y$5001,BD!$A$3:$A$5001,V$3,BD!$B$3:$B$5001,$A$112)))</f>
        <v/>
      </c>
      <c r="W120" s="188" t="str">
        <f>IF(W$3="","",IF(COUNTIFS(BD!$A$3:$A$5001,W$3,BD!$B$3:$B$5001,$A$112,BD!$Y$3:$Y$5001,"&lt;&gt;")=0,"",SUMIFS(BD!$Y$3:$Y$5001,BD!$A$3:$A$5001,W$3,BD!$B$3:$B$5001,$A$112)))</f>
        <v/>
      </c>
      <c r="X120" s="188" t="str">
        <f>IF(X$3="","",IF(COUNTIFS(BD!$A$3:$A$5001,X$3,BD!$B$3:$B$5001,$A$112,BD!$Y$3:$Y$5001,"&lt;&gt;")=0,"",SUMIFS(BD!$Y$3:$Y$5001,BD!$A$3:$A$5001,X$3,BD!$B$3:$B$5001,$A$112)))</f>
        <v/>
      </c>
      <c r="Y120" s="188" t="str">
        <f>IF(Y$3="","",IF(COUNTIFS(BD!$A$3:$A$5001,Y$3,BD!$B$3:$B$5001,$A$112,BD!$Y$3:$Y$5001,"&lt;&gt;")=0,"",SUMIFS(BD!$Y$3:$Y$5001,BD!$A$3:$A$5001,Y$3,BD!$B$3:$B$5001,$A$112)))</f>
        <v/>
      </c>
      <c r="Z120" s="188" t="str">
        <f>IF(Z$3="","",IF(COUNTIFS(BD!$A$3:$A$5001,Z$3,BD!$B$3:$B$5001,$A$112,BD!$Y$3:$Y$5001,"&lt;&gt;")=0,"",SUMIFS(BD!$Y$3:$Y$5001,BD!$A$3:$A$5001,Z$3,BD!$B$3:$B$5001,$A$112)))</f>
        <v/>
      </c>
      <c r="AA120" s="188" t="str">
        <f>IF(AA$3="","",IF(COUNTIFS(BD!$A$3:$A$5001,AA$3,BD!$B$3:$B$5001,$A$112,BD!$Y$3:$Y$5001,"&lt;&gt;")=0,"",SUMIFS(BD!$Y$3:$Y$5001,BD!$A$3:$A$5001,AA$3,BD!$B$3:$B$5001,$A$112)))</f>
        <v/>
      </c>
      <c r="AB120" s="188" t="str">
        <f>IF(AB$3="","",IF(COUNTIFS(BD!$A$3:$A$5001,AB$3,BD!$B$3:$B$5001,$A$112,BD!$Y$3:$Y$5001,"&lt;&gt;")=0,"",SUMIFS(BD!$Y$3:$Y$5001,BD!$A$3:$A$5001,AB$3,BD!$B$3:$B$5001,$A$112)))</f>
        <v/>
      </c>
      <c r="AC120" s="188" t="str">
        <f>IF(AC$3="","",IF(COUNTIFS(BD!$A$3:$A$5001,AC$3,BD!$B$3:$B$5001,$A$112,BD!$Y$3:$Y$5001,"&lt;&gt;")=0,"",SUMIFS(BD!$Y$3:$Y$5001,BD!$A$3:$A$5001,AC$3,BD!$B$3:$B$5001,$A$112)))</f>
        <v/>
      </c>
      <c r="AD120" s="188" t="str">
        <f>IF(AD$3="","",IF(COUNTIFS(BD!$A$3:$A$5001,AD$3,BD!$B$3:$B$5001,$A$112,BD!$Y$3:$Y$5001,"&lt;&gt;")=0,"",SUMIFS(BD!$Y$3:$Y$5001,BD!$A$3:$A$5001,AD$3,BD!$B$3:$B$5001,$A$112)))</f>
        <v/>
      </c>
      <c r="AE120" s="188" t="str">
        <f>IF(AE$3="","",IF(COUNTIFS(BD!$A$3:$A$5001,AE$3,BD!$B$3:$B$5001,$A$112,BD!$Y$3:$Y$5001,"&lt;&gt;")=0,"",SUMIFS(BD!$Y$3:$Y$5001,BD!$A$3:$A$5001,AE$3,BD!$B$3:$B$5001,$A$112)))</f>
        <v/>
      </c>
      <c r="AF120" s="188" t="str">
        <f>IF(AF$3="","",IF(COUNTIFS(BD!$A$3:$A$5001,AF$3,BD!$B$3:$B$5001,$A$112,BD!$Y$3:$Y$5001,"&lt;&gt;")=0,"",SUMIFS(BD!$Y$3:$Y$5001,BD!$A$3:$A$5001,AF$3,BD!$B$3:$B$5001,$A$112)))</f>
        <v/>
      </c>
      <c r="AG120" s="188" t="str">
        <f>IF(AG$3="","",IF(COUNTIFS(BD!$A$3:$A$5001,AG$3,BD!$B$3:$B$5001,$A$112,BD!$Y$3:$Y$5001,"&lt;&gt;")=0,"",SUMIFS(BD!$Y$3:$Y$5001,BD!$A$3:$A$5001,AG$3,BD!$B$3:$B$5001,$A$112)))</f>
        <v/>
      </c>
      <c r="AH120" s="188" t="str">
        <f>IF(AH$3="","",IF(COUNTIFS(BD!$A$3:$A$5001,AH$3,BD!$B$3:$B$5001,$A$112,BD!$Y$3:$Y$5001,"&lt;&gt;")=0,"",SUMIFS(BD!$Y$3:$Y$5001,BD!$A$3:$A$5001,AH$3,BD!$B$3:$B$5001,$A$112)))</f>
        <v/>
      </c>
      <c r="AI120" s="188" t="str">
        <f>IF(AI$3="","",IF(COUNTIFS(BD!$A$3:$A$5001,AI$3,BD!$B$3:$B$5001,$A$112,BD!$Y$3:$Y$5001,"&lt;&gt;")=0,"",SUMIFS(BD!$Y$3:$Y$5001,BD!$A$3:$A$5001,AI$3,BD!$B$3:$B$5001,$A$112)))</f>
        <v/>
      </c>
      <c r="AJ120" s="189" t="str">
        <f>IF(AJ$3="","",IF(COUNTIFS(BD!$A$3:$A$5001,AJ$3,BD!$B$3:$B$5001,$A$112,BD!$Y$3:$Y$5001,"&lt;&gt;")=0,"",SUMIFS(BD!$Y$3:$Y$5001,BD!$A$3:$A$5001,AJ$3,BD!$B$3:$B$5001,$A$112)))</f>
        <v/>
      </c>
      <c r="AK120" s="190" t="str">
        <f>IFERROR(LOOKUP(9.99E+307,F120:AJ120),"")</f>
        <v/>
      </c>
    </row>
    <row r="121" ht="15.75" customHeight="1">
      <c r="A121" s="227"/>
      <c r="B121" s="216"/>
      <c r="C121" s="145" t="inlineStr">
        <is>
          <t xml:space="preserve">Taxa de Ocupação</t>
        </is>
      </c>
      <c r="D121" s="191" t="str">
        <f>IFERROR(1/(1/INDEX(BD!$AK$46:$AT$46,MATCH($A$112,BD!$AK$22:$AT$22,0))),"")</f>
        <v/>
      </c>
      <c r="E121" s="147"/>
      <c r="F121" s="192" t="str">
        <f>IF(AND(ISNUMBER(F119),ISNUMBER(F120)),IF(F119&gt;0,F120/F119,""),"")</f>
        <v/>
      </c>
      <c r="G121" s="193" t="str">
        <f>IF(AND(ISNUMBER(G119),ISNUMBER(G120)),IF(G119&gt;0,G120/G119,""),"")</f>
        <v/>
      </c>
      <c r="H121" s="193" t="str">
        <f>IF(AND(ISNUMBER(H119),ISNUMBER(H120)),IF(H119&gt;0,H120/H119,""),"")</f>
        <v/>
      </c>
      <c r="I121" s="193" t="str">
        <f>IF(AND(ISNUMBER(I119),ISNUMBER(I120)),IF(I119&gt;0,I120/I119,""),"")</f>
        <v/>
      </c>
      <c r="J121" s="193" t="str">
        <f>IF(AND(ISNUMBER(J119),ISNUMBER(J120)),IF(J119&gt;0,J120/J119,""),"")</f>
        <v/>
      </c>
      <c r="K121" s="193" t="str">
        <f>IF(AND(ISNUMBER(K119),ISNUMBER(K120)),IF(K119&gt;0,K120/K119,""),"")</f>
        <v/>
      </c>
      <c r="L121" s="193" t="str">
        <f>IF(AND(ISNUMBER(L119),ISNUMBER(L120)),IF(L119&gt;0,L120/L119,""),"")</f>
        <v/>
      </c>
      <c r="M121" s="193" t="str">
        <f>IF(AND(ISNUMBER(M119),ISNUMBER(M120)),IF(M119&gt;0,M120/M119,""),"")</f>
        <v/>
      </c>
      <c r="N121" s="193" t="str">
        <f>IF(AND(ISNUMBER(N119),ISNUMBER(N120)),IF(N119&gt;0,N120/N119,""),"")</f>
        <v/>
      </c>
      <c r="O121" s="193" t="str">
        <f>IF(AND(ISNUMBER(O119),ISNUMBER(O120)),IF(O119&gt;0,O120/O119,""),"")</f>
        <v/>
      </c>
      <c r="P121" s="193" t="str">
        <f>IF(AND(ISNUMBER(P119),ISNUMBER(P120)),IF(P119&gt;0,P120/P119,""),"")</f>
        <v/>
      </c>
      <c r="Q121" s="193" t="str">
        <f>IF(AND(ISNUMBER(Q119),ISNUMBER(Q120)),IF(Q119&gt;0,Q120/Q119,""),"")</f>
        <v/>
      </c>
      <c r="R121" s="193" t="str">
        <f>IF(AND(ISNUMBER(R119),ISNUMBER(R120)),IF(R119&gt;0,R120/R119,""),"")</f>
        <v/>
      </c>
      <c r="S121" s="193" t="str">
        <f>IF(AND(ISNUMBER(S119),ISNUMBER(S120)),IF(S119&gt;0,S120/S119,""),"")</f>
        <v/>
      </c>
      <c r="T121" s="193" t="str">
        <f>IF(AND(ISNUMBER(T119),ISNUMBER(T120)),IF(T119&gt;0,T120/T119,""),"")</f>
        <v/>
      </c>
      <c r="U121" s="193" t="str">
        <f>IF(AND(ISNUMBER(U119),ISNUMBER(U120)),IF(U119&gt;0,U120/U119,""),"")</f>
        <v/>
      </c>
      <c r="V121" s="193" t="str">
        <f>IF(AND(ISNUMBER(V119),ISNUMBER(V120)),IF(V119&gt;0,V120/V119,""),"")</f>
        <v/>
      </c>
      <c r="W121" s="193" t="str">
        <f>IF(AND(ISNUMBER(W119),ISNUMBER(W120)),IF(W119&gt;0,W120/W119,""),"")</f>
        <v/>
      </c>
      <c r="X121" s="193" t="str">
        <f>IF(AND(ISNUMBER(X119),ISNUMBER(X120)),IF(X119&gt;0,X120/X119,""),"")</f>
        <v/>
      </c>
      <c r="Y121" s="193" t="str">
        <f>IF(AND(ISNUMBER(Y119),ISNUMBER(Y120)),IF(Y119&gt;0,Y120/Y119,""),"")</f>
        <v/>
      </c>
      <c r="Z121" s="193" t="str">
        <f>IF(AND(ISNUMBER(Z119),ISNUMBER(Z120)),IF(Z119&gt;0,Z120/Z119,""),"")</f>
        <v/>
      </c>
      <c r="AA121" s="193" t="str">
        <f>IF(AND(ISNUMBER(AA119),ISNUMBER(AA120)),IF(AA119&gt;0,AA120/AA119,""),"")</f>
        <v/>
      </c>
      <c r="AB121" s="193" t="str">
        <f>IF(AND(ISNUMBER(AB119),ISNUMBER(AB120)),IF(AB119&gt;0,AB120/AB119,""),"")</f>
        <v/>
      </c>
      <c r="AC121" s="193" t="str">
        <f>IF(AND(ISNUMBER(AC119),ISNUMBER(AC120)),IF(AC119&gt;0,AC120/AC119,""),"")</f>
        <v/>
      </c>
      <c r="AD121" s="193" t="str">
        <f>IF(AND(ISNUMBER(AD119),ISNUMBER(AD120)),IF(AD119&gt;0,AD120/AD119,""),"")</f>
        <v/>
      </c>
      <c r="AE121" s="193" t="str">
        <f>IF(AND(ISNUMBER(AE119),ISNUMBER(AE120)),IF(AE119&gt;0,AE120/AE119,""),"")</f>
        <v/>
      </c>
      <c r="AF121" s="193" t="str">
        <f>IF(AND(ISNUMBER(AF119),ISNUMBER(AF120)),IF(AF119&gt;0,AF120/AF119,""),"")</f>
        <v/>
      </c>
      <c r="AG121" s="193" t="str">
        <f>IF(AND(ISNUMBER(AG119),ISNUMBER(AG120)),IF(AG119&gt;0,AG120/AG119,""),"")</f>
        <v/>
      </c>
      <c r="AH121" s="193" t="str">
        <f>IF(AND(ISNUMBER(AH119),ISNUMBER(AH120)),IF(AH119&gt;0,AH120/AH119,""),"")</f>
        <v/>
      </c>
      <c r="AI121" s="193" t="str">
        <f>IF(AND(ISNUMBER(AI119),ISNUMBER(AI120)),IF(AI119&gt;0,AI120/AI119,""),"")</f>
        <v/>
      </c>
      <c r="AJ121" s="194" t="str">
        <f>IF(AND(ISNUMBER(AJ119),ISNUMBER(AJ120)),IF(AJ119&gt;0,AJ120/AJ119,""),"")</f>
        <v/>
      </c>
      <c r="AK121" s="191" t="str">
        <f>IF(AND(ISNUMBER(AK119),ISNUMBER(AK120)),IF(AK119&gt;0,AK120/AK119,""),"")</f>
        <v/>
      </c>
    </row>
    <row r="122" ht="15.75" customHeight="1">
      <c r="A122" s="227"/>
      <c r="B122" s="223" t="inlineStr">
        <is>
          <t xml:space="preserve">GENTE</t>
        </is>
      </c>
      <c r="C122" s="195" t="inlineStr">
        <is>
          <t xml:space="preserve">Efetivo Op.</t>
        </is>
      </c>
      <c r="D122" s="196" t="str">
        <f>IFERROR(1/(1/INDEX(BD!$AK$47:$AT$47,MATCH($A$112,BD!$AK$22:$AT$22,0))),"")</f>
        <v/>
      </c>
      <c r="E122" s="197"/>
      <c r="F122" s="198" t="str">
        <f>IF(F$3="","",IF(COUNTIFS(BD!$A$3:$A$5001,F$3,BD!$B$3:$B$5001,$A$112,BD!$Z$3:$Z$5001,"&lt;&gt;")=0,"",SUMIFS(BD!$Z$3:$Z$5001,BD!$A$3:$A$5001,F$3,BD!$B$3:$B$5001,$A$112)))</f>
        <v/>
      </c>
      <c r="G122" s="199" t="str">
        <f>IF(G$3="","",IF(COUNTIFS(BD!$A$3:$A$5001,G$3,BD!$B$3:$B$5001,$A$112,BD!$Z$3:$Z$5001,"&lt;&gt;")=0,"",SUMIFS(BD!$Z$3:$Z$5001,BD!$A$3:$A$5001,G$3,BD!$B$3:$B$5001,$A$112)))</f>
        <v/>
      </c>
      <c r="H122" s="199" t="str">
        <f>IF(H$3="","",IF(COUNTIFS(BD!$A$3:$A$5001,H$3,BD!$B$3:$B$5001,$A$112,BD!$Z$3:$Z$5001,"&lt;&gt;")=0,"",SUMIFS(BD!$Z$3:$Z$5001,BD!$A$3:$A$5001,H$3,BD!$B$3:$B$5001,$A$112)))</f>
        <v/>
      </c>
      <c r="I122" s="199" t="str">
        <f>IF(I$3="","",IF(COUNTIFS(BD!$A$3:$A$5001,I$3,BD!$B$3:$B$5001,$A$112,BD!$Z$3:$Z$5001,"&lt;&gt;")=0,"",SUMIFS(BD!$Z$3:$Z$5001,BD!$A$3:$A$5001,I$3,BD!$B$3:$B$5001,$A$112)))</f>
        <v/>
      </c>
      <c r="J122" s="199" t="str">
        <f>IF(J$3="","",IF(COUNTIFS(BD!$A$3:$A$5001,J$3,BD!$B$3:$B$5001,$A$112,BD!$Z$3:$Z$5001,"&lt;&gt;")=0,"",SUMIFS(BD!$Z$3:$Z$5001,BD!$A$3:$A$5001,J$3,BD!$B$3:$B$5001,$A$112)))</f>
        <v/>
      </c>
      <c r="K122" s="199" t="str">
        <f>IF(K$3="","",IF(COUNTIFS(BD!$A$3:$A$5001,K$3,BD!$B$3:$B$5001,$A$112,BD!$Z$3:$Z$5001,"&lt;&gt;")=0,"",SUMIFS(BD!$Z$3:$Z$5001,BD!$A$3:$A$5001,K$3,BD!$B$3:$B$5001,$A$112)))</f>
        <v/>
      </c>
      <c r="L122" s="199" t="str">
        <f>IF(L$3="","",IF(COUNTIFS(BD!$A$3:$A$5001,L$3,BD!$B$3:$B$5001,$A$112,BD!$Z$3:$Z$5001,"&lt;&gt;")=0,"",SUMIFS(BD!$Z$3:$Z$5001,BD!$A$3:$A$5001,L$3,BD!$B$3:$B$5001,$A$112)))</f>
        <v/>
      </c>
      <c r="M122" s="199" t="str">
        <f>IF(M$3="","",IF(COUNTIFS(BD!$A$3:$A$5001,M$3,BD!$B$3:$B$5001,$A$112,BD!$Z$3:$Z$5001,"&lt;&gt;")=0,"",SUMIFS(BD!$Z$3:$Z$5001,BD!$A$3:$A$5001,M$3,BD!$B$3:$B$5001,$A$112)))</f>
        <v/>
      </c>
      <c r="N122" s="199" t="str">
        <f>IF(N$3="","",IF(COUNTIFS(BD!$A$3:$A$5001,N$3,BD!$B$3:$B$5001,$A$112,BD!$Z$3:$Z$5001,"&lt;&gt;")=0,"",SUMIFS(BD!$Z$3:$Z$5001,BD!$A$3:$A$5001,N$3,BD!$B$3:$B$5001,$A$112)))</f>
        <v/>
      </c>
      <c r="O122" s="199" t="str">
        <f>IF(O$3="","",IF(COUNTIFS(BD!$A$3:$A$5001,O$3,BD!$B$3:$B$5001,$A$112,BD!$Z$3:$Z$5001,"&lt;&gt;")=0,"",SUMIFS(BD!$Z$3:$Z$5001,BD!$A$3:$A$5001,O$3,BD!$B$3:$B$5001,$A$112)))</f>
        <v/>
      </c>
      <c r="P122" s="199" t="str">
        <f>IF(P$3="","",IF(COUNTIFS(BD!$A$3:$A$5001,P$3,BD!$B$3:$B$5001,$A$112,BD!$Z$3:$Z$5001,"&lt;&gt;")=0,"",SUMIFS(BD!$Z$3:$Z$5001,BD!$A$3:$A$5001,P$3,BD!$B$3:$B$5001,$A$112)))</f>
        <v/>
      </c>
      <c r="Q122" s="199" t="str">
        <f>IF(Q$3="","",IF(COUNTIFS(BD!$A$3:$A$5001,Q$3,BD!$B$3:$B$5001,$A$112,BD!$Z$3:$Z$5001,"&lt;&gt;")=0,"",SUMIFS(BD!$Z$3:$Z$5001,BD!$A$3:$A$5001,Q$3,BD!$B$3:$B$5001,$A$112)))</f>
        <v/>
      </c>
      <c r="R122" s="199" t="str">
        <f>IF(R$3="","",IF(COUNTIFS(BD!$A$3:$A$5001,R$3,BD!$B$3:$B$5001,$A$112,BD!$Z$3:$Z$5001,"&lt;&gt;")=0,"",SUMIFS(BD!$Z$3:$Z$5001,BD!$A$3:$A$5001,R$3,BD!$B$3:$B$5001,$A$112)))</f>
        <v/>
      </c>
      <c r="S122" s="199" t="str">
        <f>IF(S$3="","",IF(COUNTIFS(BD!$A$3:$A$5001,S$3,BD!$B$3:$B$5001,$A$112,BD!$Z$3:$Z$5001,"&lt;&gt;")=0,"",SUMIFS(BD!$Z$3:$Z$5001,BD!$A$3:$A$5001,S$3,BD!$B$3:$B$5001,$A$112)))</f>
        <v/>
      </c>
      <c r="T122" s="199" t="str">
        <f>IF(T$3="","",IF(COUNTIFS(BD!$A$3:$A$5001,T$3,BD!$B$3:$B$5001,$A$112,BD!$Z$3:$Z$5001,"&lt;&gt;")=0,"",SUMIFS(BD!$Z$3:$Z$5001,BD!$A$3:$A$5001,T$3,BD!$B$3:$B$5001,$A$112)))</f>
        <v/>
      </c>
      <c r="U122" s="199" t="str">
        <f>IF(U$3="","",IF(COUNTIFS(BD!$A$3:$A$5001,U$3,BD!$B$3:$B$5001,$A$112,BD!$Z$3:$Z$5001,"&lt;&gt;")=0,"",SUMIFS(BD!$Z$3:$Z$5001,BD!$A$3:$A$5001,U$3,BD!$B$3:$B$5001,$A$112)))</f>
        <v/>
      </c>
      <c r="V122" s="199" t="str">
        <f>IF(V$3="","",IF(COUNTIFS(BD!$A$3:$A$5001,V$3,BD!$B$3:$B$5001,$A$112,BD!$Z$3:$Z$5001,"&lt;&gt;")=0,"",SUMIFS(BD!$Z$3:$Z$5001,BD!$A$3:$A$5001,V$3,BD!$B$3:$B$5001,$A$112)))</f>
        <v/>
      </c>
      <c r="W122" s="199" t="str">
        <f>IF(W$3="","",IF(COUNTIFS(BD!$A$3:$A$5001,W$3,BD!$B$3:$B$5001,$A$112,BD!$Z$3:$Z$5001,"&lt;&gt;")=0,"",SUMIFS(BD!$Z$3:$Z$5001,BD!$A$3:$A$5001,W$3,BD!$B$3:$B$5001,$A$112)))</f>
        <v/>
      </c>
      <c r="X122" s="199" t="str">
        <f>IF(X$3="","",IF(COUNTIFS(BD!$A$3:$A$5001,X$3,BD!$B$3:$B$5001,$A$112,BD!$Z$3:$Z$5001,"&lt;&gt;")=0,"",SUMIFS(BD!$Z$3:$Z$5001,BD!$A$3:$A$5001,X$3,BD!$B$3:$B$5001,$A$112)))</f>
        <v/>
      </c>
      <c r="Y122" s="199" t="str">
        <f>IF(Y$3="","",IF(COUNTIFS(BD!$A$3:$A$5001,Y$3,BD!$B$3:$B$5001,$A$112,BD!$Z$3:$Z$5001,"&lt;&gt;")=0,"",SUMIFS(BD!$Z$3:$Z$5001,BD!$A$3:$A$5001,Y$3,BD!$B$3:$B$5001,$A$112)))</f>
        <v/>
      </c>
      <c r="Z122" s="199" t="str">
        <f>IF(Z$3="","",IF(COUNTIFS(BD!$A$3:$A$5001,Z$3,BD!$B$3:$B$5001,$A$112,BD!$Z$3:$Z$5001,"&lt;&gt;")=0,"",SUMIFS(BD!$Z$3:$Z$5001,BD!$A$3:$A$5001,Z$3,BD!$B$3:$B$5001,$A$112)))</f>
        <v/>
      </c>
      <c r="AA122" s="199" t="str">
        <f>IF(AA$3="","",IF(COUNTIFS(BD!$A$3:$A$5001,AA$3,BD!$B$3:$B$5001,$A$112,BD!$Z$3:$Z$5001,"&lt;&gt;")=0,"",SUMIFS(BD!$Z$3:$Z$5001,BD!$A$3:$A$5001,AA$3,BD!$B$3:$B$5001,$A$112)))</f>
        <v/>
      </c>
      <c r="AB122" s="199" t="str">
        <f>IF(AB$3="","",IF(COUNTIFS(BD!$A$3:$A$5001,AB$3,BD!$B$3:$B$5001,$A$112,BD!$Z$3:$Z$5001,"&lt;&gt;")=0,"",SUMIFS(BD!$Z$3:$Z$5001,BD!$A$3:$A$5001,AB$3,BD!$B$3:$B$5001,$A$112)))</f>
        <v/>
      </c>
      <c r="AC122" s="199" t="str">
        <f>IF(AC$3="","",IF(COUNTIFS(BD!$A$3:$A$5001,AC$3,BD!$B$3:$B$5001,$A$112,BD!$Z$3:$Z$5001,"&lt;&gt;")=0,"",SUMIFS(BD!$Z$3:$Z$5001,BD!$A$3:$A$5001,AC$3,BD!$B$3:$B$5001,$A$112)))</f>
        <v/>
      </c>
      <c r="AD122" s="199" t="str">
        <f>IF(AD$3="","",IF(COUNTIFS(BD!$A$3:$A$5001,AD$3,BD!$B$3:$B$5001,$A$112,BD!$Z$3:$Z$5001,"&lt;&gt;")=0,"",SUMIFS(BD!$Z$3:$Z$5001,BD!$A$3:$A$5001,AD$3,BD!$B$3:$B$5001,$A$112)))</f>
        <v/>
      </c>
      <c r="AE122" s="199" t="str">
        <f>IF(AE$3="","",IF(COUNTIFS(BD!$A$3:$A$5001,AE$3,BD!$B$3:$B$5001,$A$112,BD!$Z$3:$Z$5001,"&lt;&gt;")=0,"",SUMIFS(BD!$Z$3:$Z$5001,BD!$A$3:$A$5001,AE$3,BD!$B$3:$B$5001,$A$112)))</f>
        <v/>
      </c>
      <c r="AF122" s="199" t="str">
        <f>IF(AF$3="","",IF(COUNTIFS(BD!$A$3:$A$5001,AF$3,BD!$B$3:$B$5001,$A$112,BD!$Z$3:$Z$5001,"&lt;&gt;")=0,"",SUMIFS(BD!$Z$3:$Z$5001,BD!$A$3:$A$5001,AF$3,BD!$B$3:$B$5001,$A$112)))</f>
        <v/>
      </c>
      <c r="AG122" s="199" t="str">
        <f>IF(AG$3="","",IF(COUNTIFS(BD!$A$3:$A$5001,AG$3,BD!$B$3:$B$5001,$A$112,BD!$Z$3:$Z$5001,"&lt;&gt;")=0,"",SUMIFS(BD!$Z$3:$Z$5001,BD!$A$3:$A$5001,AG$3,BD!$B$3:$B$5001,$A$112)))</f>
        <v/>
      </c>
      <c r="AH122" s="199" t="str">
        <f>IF(AH$3="","",IF(COUNTIFS(BD!$A$3:$A$5001,AH$3,BD!$B$3:$B$5001,$A$112,BD!$Z$3:$Z$5001,"&lt;&gt;")=0,"",SUMIFS(BD!$Z$3:$Z$5001,BD!$A$3:$A$5001,AH$3,BD!$B$3:$B$5001,$A$112)))</f>
        <v/>
      </c>
      <c r="AI122" s="199" t="str">
        <f>IF(AI$3="","",IF(COUNTIFS(BD!$A$3:$A$5001,AI$3,BD!$B$3:$B$5001,$A$112,BD!$Z$3:$Z$5001,"&lt;&gt;")=0,"",SUMIFS(BD!$Z$3:$Z$5001,BD!$A$3:$A$5001,AI$3,BD!$B$3:$B$5001,$A$112)))</f>
        <v/>
      </c>
      <c r="AJ122" s="200" t="str">
        <f>IF(AJ$3="","",IF(COUNTIFS(BD!$A$3:$A$5001,AJ$3,BD!$B$3:$B$5001,$A$112,BD!$Z$3:$Z$5001,"&lt;&gt;")=0,"",SUMIFS(BD!$Z$3:$Z$5001,BD!$A$3:$A$5001,AJ$3,BD!$B$3:$B$5001,$A$112)))</f>
        <v/>
      </c>
      <c r="AK122" s="201" t="str">
        <f>IFERROR(LOOKUP(9.99E+307,F122:AJ122),"")</f>
        <v/>
      </c>
    </row>
    <row r="123" ht="15.75" customHeight="1">
      <c r="A123" s="227"/>
      <c r="B123" s="224"/>
      <c r="C123" s="202" t="inlineStr">
        <is>
          <t xml:space="preserve">Falta</t>
        </is>
      </c>
      <c r="D123" s="203" t="str">
        <f>IFERROR(1/(1/INDEX(BD!$AK$48:$AT$48,MATCH($A$112,BD!$AK$22:$AT$22,0))),"")</f>
        <v/>
      </c>
      <c r="E123" s="204"/>
      <c r="F123" s="205" t="str">
        <f>IF(F$3="","",IF(COUNTIFS(BD!$A$3:$A$5001,F$3,BD!$B$3:$B$5001,$A$112,BD!$AA$3:$AA$5001,"&lt;&gt;")=0,"",SUMIFS(BD!$AA$3:$AA$5001,BD!$A$3:$A$5001,F$3,BD!$B$3:$B$5001,$A$112)))</f>
        <v/>
      </c>
      <c r="G123" s="206" t="str">
        <f>IF(G$3="","",IF(COUNTIFS(BD!$A$3:$A$5001,G$3,BD!$B$3:$B$5001,$A$112,BD!$AA$3:$AA$5001,"&lt;&gt;")=0,"",SUMIFS(BD!$AA$3:$AA$5001,BD!$A$3:$A$5001,G$3,BD!$B$3:$B$5001,$A$112)))</f>
        <v/>
      </c>
      <c r="H123" s="206" t="str">
        <f>IF(H$3="","",IF(COUNTIFS(BD!$A$3:$A$5001,H$3,BD!$B$3:$B$5001,$A$112,BD!$AA$3:$AA$5001,"&lt;&gt;")=0,"",SUMIFS(BD!$AA$3:$AA$5001,BD!$A$3:$A$5001,H$3,BD!$B$3:$B$5001,$A$112)))</f>
        <v/>
      </c>
      <c r="I123" s="206" t="str">
        <f>IF(I$3="","",IF(COUNTIFS(BD!$A$3:$A$5001,I$3,BD!$B$3:$B$5001,$A$112,BD!$AA$3:$AA$5001,"&lt;&gt;")=0,"",SUMIFS(BD!$AA$3:$AA$5001,BD!$A$3:$A$5001,I$3,BD!$B$3:$B$5001,$A$112)))</f>
        <v/>
      </c>
      <c r="J123" s="206" t="str">
        <f>IF(J$3="","",IF(COUNTIFS(BD!$A$3:$A$5001,J$3,BD!$B$3:$B$5001,$A$112,BD!$AA$3:$AA$5001,"&lt;&gt;")=0,"",SUMIFS(BD!$AA$3:$AA$5001,BD!$A$3:$A$5001,J$3,BD!$B$3:$B$5001,$A$112)))</f>
        <v/>
      </c>
      <c r="K123" s="206" t="str">
        <f>IF(K$3="","",IF(COUNTIFS(BD!$A$3:$A$5001,K$3,BD!$B$3:$B$5001,$A$112,BD!$AA$3:$AA$5001,"&lt;&gt;")=0,"",SUMIFS(BD!$AA$3:$AA$5001,BD!$A$3:$A$5001,K$3,BD!$B$3:$B$5001,$A$112)))</f>
        <v/>
      </c>
      <c r="L123" s="206" t="str">
        <f>IF(L$3="","",IF(COUNTIFS(BD!$A$3:$A$5001,L$3,BD!$B$3:$B$5001,$A$112,BD!$AA$3:$AA$5001,"&lt;&gt;")=0,"",SUMIFS(BD!$AA$3:$AA$5001,BD!$A$3:$A$5001,L$3,BD!$B$3:$B$5001,$A$112)))</f>
        <v/>
      </c>
      <c r="M123" s="206" t="str">
        <f>IF(M$3="","",IF(COUNTIFS(BD!$A$3:$A$5001,M$3,BD!$B$3:$B$5001,$A$112,BD!$AA$3:$AA$5001,"&lt;&gt;")=0,"",SUMIFS(BD!$AA$3:$AA$5001,BD!$A$3:$A$5001,M$3,BD!$B$3:$B$5001,$A$112)))</f>
        <v/>
      </c>
      <c r="N123" s="206" t="str">
        <f>IF(N$3="","",IF(COUNTIFS(BD!$A$3:$A$5001,N$3,BD!$B$3:$B$5001,$A$112,BD!$AA$3:$AA$5001,"&lt;&gt;")=0,"",SUMIFS(BD!$AA$3:$AA$5001,BD!$A$3:$A$5001,N$3,BD!$B$3:$B$5001,$A$112)))</f>
        <v/>
      </c>
      <c r="O123" s="206" t="str">
        <f>IF(O$3="","",IF(COUNTIFS(BD!$A$3:$A$5001,O$3,BD!$B$3:$B$5001,$A$112,BD!$AA$3:$AA$5001,"&lt;&gt;")=0,"",SUMIFS(BD!$AA$3:$AA$5001,BD!$A$3:$A$5001,O$3,BD!$B$3:$B$5001,$A$112)))</f>
        <v/>
      </c>
      <c r="P123" s="206" t="str">
        <f>IF(P$3="","",IF(COUNTIFS(BD!$A$3:$A$5001,P$3,BD!$B$3:$B$5001,$A$112,BD!$AA$3:$AA$5001,"&lt;&gt;")=0,"",SUMIFS(BD!$AA$3:$AA$5001,BD!$A$3:$A$5001,P$3,BD!$B$3:$B$5001,$A$112)))</f>
        <v/>
      </c>
      <c r="Q123" s="206" t="str">
        <f>IF(Q$3="","",IF(COUNTIFS(BD!$A$3:$A$5001,Q$3,BD!$B$3:$B$5001,$A$112,BD!$AA$3:$AA$5001,"&lt;&gt;")=0,"",SUMIFS(BD!$AA$3:$AA$5001,BD!$A$3:$A$5001,Q$3,BD!$B$3:$B$5001,$A$112)))</f>
        <v/>
      </c>
      <c r="R123" s="206" t="str">
        <f>IF(R$3="","",IF(COUNTIFS(BD!$A$3:$A$5001,R$3,BD!$B$3:$B$5001,$A$112,BD!$AA$3:$AA$5001,"&lt;&gt;")=0,"",SUMIFS(BD!$AA$3:$AA$5001,BD!$A$3:$A$5001,R$3,BD!$B$3:$B$5001,$A$112)))</f>
        <v/>
      </c>
      <c r="S123" s="206" t="str">
        <f>IF(S$3="","",IF(COUNTIFS(BD!$A$3:$A$5001,S$3,BD!$B$3:$B$5001,$A$112,BD!$AA$3:$AA$5001,"&lt;&gt;")=0,"",SUMIFS(BD!$AA$3:$AA$5001,BD!$A$3:$A$5001,S$3,BD!$B$3:$B$5001,$A$112)))</f>
        <v/>
      </c>
      <c r="T123" s="206" t="str">
        <f>IF(T$3="","",IF(COUNTIFS(BD!$A$3:$A$5001,T$3,BD!$B$3:$B$5001,$A$112,BD!$AA$3:$AA$5001,"&lt;&gt;")=0,"",SUMIFS(BD!$AA$3:$AA$5001,BD!$A$3:$A$5001,T$3,BD!$B$3:$B$5001,$A$112)))</f>
        <v/>
      </c>
      <c r="U123" s="206" t="str">
        <f>IF(U$3="","",IF(COUNTIFS(BD!$A$3:$A$5001,U$3,BD!$B$3:$B$5001,$A$112,BD!$AA$3:$AA$5001,"&lt;&gt;")=0,"",SUMIFS(BD!$AA$3:$AA$5001,BD!$A$3:$A$5001,U$3,BD!$B$3:$B$5001,$A$112)))</f>
        <v/>
      </c>
      <c r="V123" s="206" t="str">
        <f>IF(V$3="","",IF(COUNTIFS(BD!$A$3:$A$5001,V$3,BD!$B$3:$B$5001,$A$112,BD!$AA$3:$AA$5001,"&lt;&gt;")=0,"",SUMIFS(BD!$AA$3:$AA$5001,BD!$A$3:$A$5001,V$3,BD!$B$3:$B$5001,$A$112)))</f>
        <v/>
      </c>
      <c r="W123" s="206" t="str">
        <f>IF(W$3="","",IF(COUNTIFS(BD!$A$3:$A$5001,W$3,BD!$B$3:$B$5001,$A$112,BD!$AA$3:$AA$5001,"&lt;&gt;")=0,"",SUMIFS(BD!$AA$3:$AA$5001,BD!$A$3:$A$5001,W$3,BD!$B$3:$B$5001,$A$112)))</f>
        <v/>
      </c>
      <c r="X123" s="206" t="str">
        <f>IF(X$3="","",IF(COUNTIFS(BD!$A$3:$A$5001,X$3,BD!$B$3:$B$5001,$A$112,BD!$AA$3:$AA$5001,"&lt;&gt;")=0,"",SUMIFS(BD!$AA$3:$AA$5001,BD!$A$3:$A$5001,X$3,BD!$B$3:$B$5001,$A$112)))</f>
        <v/>
      </c>
      <c r="Y123" s="206" t="str">
        <f>IF(Y$3="","",IF(COUNTIFS(BD!$A$3:$A$5001,Y$3,BD!$B$3:$B$5001,$A$112,BD!$AA$3:$AA$5001,"&lt;&gt;")=0,"",SUMIFS(BD!$AA$3:$AA$5001,BD!$A$3:$A$5001,Y$3,BD!$B$3:$B$5001,$A$112)))</f>
        <v/>
      </c>
      <c r="Z123" s="206" t="str">
        <f>IF(Z$3="","",IF(COUNTIFS(BD!$A$3:$A$5001,Z$3,BD!$B$3:$B$5001,$A$112,BD!$AA$3:$AA$5001,"&lt;&gt;")=0,"",SUMIFS(BD!$AA$3:$AA$5001,BD!$A$3:$A$5001,Z$3,BD!$B$3:$B$5001,$A$112)))</f>
        <v/>
      </c>
      <c r="AA123" s="206" t="str">
        <f>IF(AA$3="","",IF(COUNTIFS(BD!$A$3:$A$5001,AA$3,BD!$B$3:$B$5001,$A$112,BD!$AA$3:$AA$5001,"&lt;&gt;")=0,"",SUMIFS(BD!$AA$3:$AA$5001,BD!$A$3:$A$5001,AA$3,BD!$B$3:$B$5001,$A$112)))</f>
        <v/>
      </c>
      <c r="AB123" s="206" t="str">
        <f>IF(AB$3="","",IF(COUNTIFS(BD!$A$3:$A$5001,AB$3,BD!$B$3:$B$5001,$A$112,BD!$AA$3:$AA$5001,"&lt;&gt;")=0,"",SUMIFS(BD!$AA$3:$AA$5001,BD!$A$3:$A$5001,AB$3,BD!$B$3:$B$5001,$A$112)))</f>
        <v/>
      </c>
      <c r="AC123" s="206" t="str">
        <f>IF(AC$3="","",IF(COUNTIFS(BD!$A$3:$A$5001,AC$3,BD!$B$3:$B$5001,$A$112,BD!$AA$3:$AA$5001,"&lt;&gt;")=0,"",SUMIFS(BD!$AA$3:$AA$5001,BD!$A$3:$A$5001,AC$3,BD!$B$3:$B$5001,$A$112)))</f>
        <v/>
      </c>
      <c r="AD123" s="206" t="str">
        <f>IF(AD$3="","",IF(COUNTIFS(BD!$A$3:$A$5001,AD$3,BD!$B$3:$B$5001,$A$112,BD!$AA$3:$AA$5001,"&lt;&gt;")=0,"",SUMIFS(BD!$AA$3:$AA$5001,BD!$A$3:$A$5001,AD$3,BD!$B$3:$B$5001,$A$112)))</f>
        <v/>
      </c>
      <c r="AE123" s="206" t="str">
        <f>IF(AE$3="","",IF(COUNTIFS(BD!$A$3:$A$5001,AE$3,BD!$B$3:$B$5001,$A$112,BD!$AA$3:$AA$5001,"&lt;&gt;")=0,"",SUMIFS(BD!$AA$3:$AA$5001,BD!$A$3:$A$5001,AE$3,BD!$B$3:$B$5001,$A$112)))</f>
        <v/>
      </c>
      <c r="AF123" s="206" t="str">
        <f>IF(AF$3="","",IF(COUNTIFS(BD!$A$3:$A$5001,AF$3,BD!$B$3:$B$5001,$A$112,BD!$AA$3:$AA$5001,"&lt;&gt;")=0,"",SUMIFS(BD!$AA$3:$AA$5001,BD!$A$3:$A$5001,AF$3,BD!$B$3:$B$5001,$A$112)))</f>
        <v/>
      </c>
      <c r="AG123" s="206" t="str">
        <f>IF(AG$3="","",IF(COUNTIFS(BD!$A$3:$A$5001,AG$3,BD!$B$3:$B$5001,$A$112,BD!$AA$3:$AA$5001,"&lt;&gt;")=0,"",SUMIFS(BD!$AA$3:$AA$5001,BD!$A$3:$A$5001,AG$3,BD!$B$3:$B$5001,$A$112)))</f>
        <v/>
      </c>
      <c r="AH123" s="206" t="str">
        <f>IF(AH$3="","",IF(COUNTIFS(BD!$A$3:$A$5001,AH$3,BD!$B$3:$B$5001,$A$112,BD!$AA$3:$AA$5001,"&lt;&gt;")=0,"",SUMIFS(BD!$AA$3:$AA$5001,BD!$A$3:$A$5001,AH$3,BD!$B$3:$B$5001,$A$112)))</f>
        <v/>
      </c>
      <c r="AI123" s="206" t="str">
        <f>IF(AI$3="","",IF(COUNTIFS(BD!$A$3:$A$5001,AI$3,BD!$B$3:$B$5001,$A$112,BD!$AA$3:$AA$5001,"&lt;&gt;")=0,"",SUMIFS(BD!$AA$3:$AA$5001,BD!$A$3:$A$5001,AI$3,BD!$B$3:$B$5001,$A$112)))</f>
        <v/>
      </c>
      <c r="AJ123" s="207" t="str">
        <f>IF(AJ$3="","",IF(COUNTIFS(BD!$A$3:$A$5001,AJ$3,BD!$B$3:$B$5001,$A$112,BD!$AA$3:$AA$5001,"&lt;&gt;")=0,"",SUMIFS(BD!$AA$3:$AA$5001,BD!$A$3:$A$5001,AJ$3,BD!$B$3:$B$5001,$A$112)))</f>
        <v/>
      </c>
      <c r="AK123" s="208" t="str">
        <f>IF(COUNT(F123:AJ123)=0,"",SUM(F123:AJ123))</f>
        <v/>
      </c>
    </row>
    <row r="124" ht="15.75" customHeight="1">
      <c r="A124" s="227"/>
      <c r="B124" s="224"/>
      <c r="C124" s="202" t="inlineStr">
        <is>
          <t xml:space="preserve">Folga</t>
        </is>
      </c>
      <c r="D124" s="203" t="str">
        <f>IFERROR(1/(1/INDEX(BD!$AK$49:$AT$49,MATCH($A$112,BD!$AK$22:$AT$22,0))),"")</f>
        <v/>
      </c>
      <c r="E124" s="204"/>
      <c r="F124" s="205" t="str">
        <f>IF(F$3="","",IF(COUNTIFS(BD!$A$3:$A$5001,F$3,BD!$B$3:$B$5001,$A$112,BD!$AB$3:$AB$5001,"&lt;&gt;")=0,"",SUMIFS(BD!$AB$3:$AB$5001,BD!$A$3:$A$5001,F$3,BD!$B$3:$B$5001,$A$112)))</f>
        <v/>
      </c>
      <c r="G124" s="206" t="str">
        <f>IF(G$3="","",IF(COUNTIFS(BD!$A$3:$A$5001,G$3,BD!$B$3:$B$5001,$A$112,BD!$AB$3:$AB$5001,"&lt;&gt;")=0,"",SUMIFS(BD!$AB$3:$AB$5001,BD!$A$3:$A$5001,G$3,BD!$B$3:$B$5001,$A$112)))</f>
        <v/>
      </c>
      <c r="H124" s="206" t="str">
        <f>IF(H$3="","",IF(COUNTIFS(BD!$A$3:$A$5001,H$3,BD!$B$3:$B$5001,$A$112,BD!$AB$3:$AB$5001,"&lt;&gt;")=0,"",SUMIFS(BD!$AB$3:$AB$5001,BD!$A$3:$A$5001,H$3,BD!$B$3:$B$5001,$A$112)))</f>
        <v/>
      </c>
      <c r="I124" s="206" t="str">
        <f>IF(I$3="","",IF(COUNTIFS(BD!$A$3:$A$5001,I$3,BD!$B$3:$B$5001,$A$112,BD!$AB$3:$AB$5001,"&lt;&gt;")=0,"",SUMIFS(BD!$AB$3:$AB$5001,BD!$A$3:$A$5001,I$3,BD!$B$3:$B$5001,$A$112)))</f>
        <v/>
      </c>
      <c r="J124" s="206" t="str">
        <f>IF(J$3="","",IF(COUNTIFS(BD!$A$3:$A$5001,J$3,BD!$B$3:$B$5001,$A$112,BD!$AB$3:$AB$5001,"&lt;&gt;")=0,"",SUMIFS(BD!$AB$3:$AB$5001,BD!$A$3:$A$5001,J$3,BD!$B$3:$B$5001,$A$112)))</f>
        <v/>
      </c>
      <c r="K124" s="206" t="str">
        <f>IF(K$3="","",IF(COUNTIFS(BD!$A$3:$A$5001,K$3,BD!$B$3:$B$5001,$A$112,BD!$AB$3:$AB$5001,"&lt;&gt;")=0,"",SUMIFS(BD!$AB$3:$AB$5001,BD!$A$3:$A$5001,K$3,BD!$B$3:$B$5001,$A$112)))</f>
        <v/>
      </c>
      <c r="L124" s="206" t="str">
        <f>IF(L$3="","",IF(COUNTIFS(BD!$A$3:$A$5001,L$3,BD!$B$3:$B$5001,$A$112,BD!$AB$3:$AB$5001,"&lt;&gt;")=0,"",SUMIFS(BD!$AB$3:$AB$5001,BD!$A$3:$A$5001,L$3,BD!$B$3:$B$5001,$A$112)))</f>
        <v/>
      </c>
      <c r="M124" s="206" t="str">
        <f>IF(M$3="","",IF(COUNTIFS(BD!$A$3:$A$5001,M$3,BD!$B$3:$B$5001,$A$112,BD!$AB$3:$AB$5001,"&lt;&gt;")=0,"",SUMIFS(BD!$AB$3:$AB$5001,BD!$A$3:$A$5001,M$3,BD!$B$3:$B$5001,$A$112)))</f>
        <v/>
      </c>
      <c r="N124" s="206" t="str">
        <f>IF(N$3="","",IF(COUNTIFS(BD!$A$3:$A$5001,N$3,BD!$B$3:$B$5001,$A$112,BD!$AB$3:$AB$5001,"&lt;&gt;")=0,"",SUMIFS(BD!$AB$3:$AB$5001,BD!$A$3:$A$5001,N$3,BD!$B$3:$B$5001,$A$112)))</f>
        <v/>
      </c>
      <c r="O124" s="206" t="str">
        <f>IF(O$3="","",IF(COUNTIFS(BD!$A$3:$A$5001,O$3,BD!$B$3:$B$5001,$A$112,BD!$AB$3:$AB$5001,"&lt;&gt;")=0,"",SUMIFS(BD!$AB$3:$AB$5001,BD!$A$3:$A$5001,O$3,BD!$B$3:$B$5001,$A$112)))</f>
        <v/>
      </c>
      <c r="P124" s="206" t="str">
        <f>IF(P$3="","",IF(COUNTIFS(BD!$A$3:$A$5001,P$3,BD!$B$3:$B$5001,$A$112,BD!$AB$3:$AB$5001,"&lt;&gt;")=0,"",SUMIFS(BD!$AB$3:$AB$5001,BD!$A$3:$A$5001,P$3,BD!$B$3:$B$5001,$A$112)))</f>
        <v/>
      </c>
      <c r="Q124" s="206" t="str">
        <f>IF(Q$3="","",IF(COUNTIFS(BD!$A$3:$A$5001,Q$3,BD!$B$3:$B$5001,$A$112,BD!$AB$3:$AB$5001,"&lt;&gt;")=0,"",SUMIFS(BD!$AB$3:$AB$5001,BD!$A$3:$A$5001,Q$3,BD!$B$3:$B$5001,$A$112)))</f>
        <v/>
      </c>
      <c r="R124" s="206" t="str">
        <f>IF(R$3="","",IF(COUNTIFS(BD!$A$3:$A$5001,R$3,BD!$B$3:$B$5001,$A$112,BD!$AB$3:$AB$5001,"&lt;&gt;")=0,"",SUMIFS(BD!$AB$3:$AB$5001,BD!$A$3:$A$5001,R$3,BD!$B$3:$B$5001,$A$112)))</f>
        <v/>
      </c>
      <c r="S124" s="206" t="str">
        <f>IF(S$3="","",IF(COUNTIFS(BD!$A$3:$A$5001,S$3,BD!$B$3:$B$5001,$A$112,BD!$AB$3:$AB$5001,"&lt;&gt;")=0,"",SUMIFS(BD!$AB$3:$AB$5001,BD!$A$3:$A$5001,S$3,BD!$B$3:$B$5001,$A$112)))</f>
        <v/>
      </c>
      <c r="T124" s="206" t="str">
        <f>IF(T$3="","",IF(COUNTIFS(BD!$A$3:$A$5001,T$3,BD!$B$3:$B$5001,$A$112,BD!$AB$3:$AB$5001,"&lt;&gt;")=0,"",SUMIFS(BD!$AB$3:$AB$5001,BD!$A$3:$A$5001,T$3,BD!$B$3:$B$5001,$A$112)))</f>
        <v/>
      </c>
      <c r="U124" s="206" t="str">
        <f>IF(U$3="","",IF(COUNTIFS(BD!$A$3:$A$5001,U$3,BD!$B$3:$B$5001,$A$112,BD!$AB$3:$AB$5001,"&lt;&gt;")=0,"",SUMIFS(BD!$AB$3:$AB$5001,BD!$A$3:$A$5001,U$3,BD!$B$3:$B$5001,$A$112)))</f>
        <v/>
      </c>
      <c r="V124" s="206" t="str">
        <f>IF(V$3="","",IF(COUNTIFS(BD!$A$3:$A$5001,V$3,BD!$B$3:$B$5001,$A$112,BD!$AB$3:$AB$5001,"&lt;&gt;")=0,"",SUMIFS(BD!$AB$3:$AB$5001,BD!$A$3:$A$5001,V$3,BD!$B$3:$B$5001,$A$112)))</f>
        <v/>
      </c>
      <c r="W124" s="206" t="str">
        <f>IF(W$3="","",IF(COUNTIFS(BD!$A$3:$A$5001,W$3,BD!$B$3:$B$5001,$A$112,BD!$AB$3:$AB$5001,"&lt;&gt;")=0,"",SUMIFS(BD!$AB$3:$AB$5001,BD!$A$3:$A$5001,W$3,BD!$B$3:$B$5001,$A$112)))</f>
        <v/>
      </c>
      <c r="X124" s="206" t="str">
        <f>IF(X$3="","",IF(COUNTIFS(BD!$A$3:$A$5001,X$3,BD!$B$3:$B$5001,$A$112,BD!$AB$3:$AB$5001,"&lt;&gt;")=0,"",SUMIFS(BD!$AB$3:$AB$5001,BD!$A$3:$A$5001,X$3,BD!$B$3:$B$5001,$A$112)))</f>
        <v/>
      </c>
      <c r="Y124" s="206" t="str">
        <f>IF(Y$3="","",IF(COUNTIFS(BD!$A$3:$A$5001,Y$3,BD!$B$3:$B$5001,$A$112,BD!$AB$3:$AB$5001,"&lt;&gt;")=0,"",SUMIFS(BD!$AB$3:$AB$5001,BD!$A$3:$A$5001,Y$3,BD!$B$3:$B$5001,$A$112)))</f>
        <v/>
      </c>
      <c r="Z124" s="206" t="str">
        <f>IF(Z$3="","",IF(COUNTIFS(BD!$A$3:$A$5001,Z$3,BD!$B$3:$B$5001,$A$112,BD!$AB$3:$AB$5001,"&lt;&gt;")=0,"",SUMIFS(BD!$AB$3:$AB$5001,BD!$A$3:$A$5001,Z$3,BD!$B$3:$B$5001,$A$112)))</f>
        <v/>
      </c>
      <c r="AA124" s="206" t="str">
        <f>IF(AA$3="","",IF(COUNTIFS(BD!$A$3:$A$5001,AA$3,BD!$B$3:$B$5001,$A$112,BD!$AB$3:$AB$5001,"&lt;&gt;")=0,"",SUMIFS(BD!$AB$3:$AB$5001,BD!$A$3:$A$5001,AA$3,BD!$B$3:$B$5001,$A$112)))</f>
        <v/>
      </c>
      <c r="AB124" s="206" t="str">
        <f>IF(AB$3="","",IF(COUNTIFS(BD!$A$3:$A$5001,AB$3,BD!$B$3:$B$5001,$A$112,BD!$AB$3:$AB$5001,"&lt;&gt;")=0,"",SUMIFS(BD!$AB$3:$AB$5001,BD!$A$3:$A$5001,AB$3,BD!$B$3:$B$5001,$A$112)))</f>
        <v/>
      </c>
      <c r="AC124" s="206" t="str">
        <f>IF(AC$3="","",IF(COUNTIFS(BD!$A$3:$A$5001,AC$3,BD!$B$3:$B$5001,$A$112,BD!$AB$3:$AB$5001,"&lt;&gt;")=0,"",SUMIFS(BD!$AB$3:$AB$5001,BD!$A$3:$A$5001,AC$3,BD!$B$3:$B$5001,$A$112)))</f>
        <v/>
      </c>
      <c r="AD124" s="206" t="str">
        <f>IF(AD$3="","",IF(COUNTIFS(BD!$A$3:$A$5001,AD$3,BD!$B$3:$B$5001,$A$112,BD!$AB$3:$AB$5001,"&lt;&gt;")=0,"",SUMIFS(BD!$AB$3:$AB$5001,BD!$A$3:$A$5001,AD$3,BD!$B$3:$B$5001,$A$112)))</f>
        <v/>
      </c>
      <c r="AE124" s="206" t="str">
        <f>IF(AE$3="","",IF(COUNTIFS(BD!$A$3:$A$5001,AE$3,BD!$B$3:$B$5001,$A$112,BD!$AB$3:$AB$5001,"&lt;&gt;")=0,"",SUMIFS(BD!$AB$3:$AB$5001,BD!$A$3:$A$5001,AE$3,BD!$B$3:$B$5001,$A$112)))</f>
        <v/>
      </c>
      <c r="AF124" s="206" t="str">
        <f>IF(AF$3="","",IF(COUNTIFS(BD!$A$3:$A$5001,AF$3,BD!$B$3:$B$5001,$A$112,BD!$AB$3:$AB$5001,"&lt;&gt;")=0,"",SUMIFS(BD!$AB$3:$AB$5001,BD!$A$3:$A$5001,AF$3,BD!$B$3:$B$5001,$A$112)))</f>
        <v/>
      </c>
      <c r="AG124" s="206" t="str">
        <f>IF(AG$3="","",IF(COUNTIFS(BD!$A$3:$A$5001,AG$3,BD!$B$3:$B$5001,$A$112,BD!$AB$3:$AB$5001,"&lt;&gt;")=0,"",SUMIFS(BD!$AB$3:$AB$5001,BD!$A$3:$A$5001,AG$3,BD!$B$3:$B$5001,$A$112)))</f>
        <v/>
      </c>
      <c r="AH124" s="206" t="str">
        <f>IF(AH$3="","",IF(COUNTIFS(BD!$A$3:$A$5001,AH$3,BD!$B$3:$B$5001,$A$112,BD!$AB$3:$AB$5001,"&lt;&gt;")=0,"",SUMIFS(BD!$AB$3:$AB$5001,BD!$A$3:$A$5001,AH$3,BD!$B$3:$B$5001,$A$112)))</f>
        <v/>
      </c>
      <c r="AI124" s="206" t="str">
        <f>IF(AI$3="","",IF(COUNTIFS(BD!$A$3:$A$5001,AI$3,BD!$B$3:$B$5001,$A$112,BD!$AB$3:$AB$5001,"&lt;&gt;")=0,"",SUMIFS(BD!$AB$3:$AB$5001,BD!$A$3:$A$5001,AI$3,BD!$B$3:$B$5001,$A$112)))</f>
        <v/>
      </c>
      <c r="AJ124" s="207" t="str">
        <f>IF(AJ$3="","",IF(COUNTIFS(BD!$A$3:$A$5001,AJ$3,BD!$B$3:$B$5001,$A$112,BD!$AB$3:$AB$5001,"&lt;&gt;")=0,"",SUMIFS(BD!$AB$3:$AB$5001,BD!$A$3:$A$5001,AJ$3,BD!$B$3:$B$5001,$A$112)))</f>
        <v/>
      </c>
      <c r="AK124" s="208" t="str">
        <f>IF(COUNT(F124:AJ124)=0,"",SUM(F124:AJ124))</f>
        <v/>
      </c>
    </row>
    <row r="125" ht="15.75" customHeight="1">
      <c r="A125" s="227"/>
      <c r="B125" s="224"/>
      <c r="C125" s="202" t="inlineStr">
        <is>
          <t xml:space="preserve">Férias</t>
        </is>
      </c>
      <c r="D125" s="203" t="str">
        <f>IFERROR(1/(1/INDEX(BD!$AK$50:$AT$50,MATCH($A$112,BD!$AK$22:$AT$22,0))),"")</f>
        <v/>
      </c>
      <c r="E125" s="204"/>
      <c r="F125" s="205" t="str">
        <f>IF(F$3="","",IF(COUNTIFS(BD!$A$3:$A$5001,F$3,BD!$B$3:$B$5001,$A$112,BD!$AC$3:$AC$5001,"&lt;&gt;")=0,"",SUMIFS(BD!$AC$3:$AC$5001,BD!$A$3:$A$5001,F$3,BD!$B$3:$B$5001,$A$112)))</f>
        <v/>
      </c>
      <c r="G125" s="206" t="str">
        <f>IF(G$3="","",IF(COUNTIFS(BD!$A$3:$A$5001,G$3,BD!$B$3:$B$5001,$A$112,BD!$AC$3:$AC$5001,"&lt;&gt;")=0,"",SUMIFS(BD!$AC$3:$AC$5001,BD!$A$3:$A$5001,G$3,BD!$B$3:$B$5001,$A$112)))</f>
        <v/>
      </c>
      <c r="H125" s="206" t="str">
        <f>IF(H$3="","",IF(COUNTIFS(BD!$A$3:$A$5001,H$3,BD!$B$3:$B$5001,$A$112,BD!$AC$3:$AC$5001,"&lt;&gt;")=0,"",SUMIFS(BD!$AC$3:$AC$5001,BD!$A$3:$A$5001,H$3,BD!$B$3:$B$5001,$A$112)))</f>
        <v/>
      </c>
      <c r="I125" s="206" t="str">
        <f>IF(I$3="","",IF(COUNTIFS(BD!$A$3:$A$5001,I$3,BD!$B$3:$B$5001,$A$112,BD!$AC$3:$AC$5001,"&lt;&gt;")=0,"",SUMIFS(BD!$AC$3:$AC$5001,BD!$A$3:$A$5001,I$3,BD!$B$3:$B$5001,$A$112)))</f>
        <v/>
      </c>
      <c r="J125" s="206" t="str">
        <f>IF(J$3="","",IF(COUNTIFS(BD!$A$3:$A$5001,J$3,BD!$B$3:$B$5001,$A$112,BD!$AC$3:$AC$5001,"&lt;&gt;")=0,"",SUMIFS(BD!$AC$3:$AC$5001,BD!$A$3:$A$5001,J$3,BD!$B$3:$B$5001,$A$112)))</f>
        <v/>
      </c>
      <c r="K125" s="206" t="str">
        <f>IF(K$3="","",IF(COUNTIFS(BD!$A$3:$A$5001,K$3,BD!$B$3:$B$5001,$A$112,BD!$AC$3:$AC$5001,"&lt;&gt;")=0,"",SUMIFS(BD!$AC$3:$AC$5001,BD!$A$3:$A$5001,K$3,BD!$B$3:$B$5001,$A$112)))</f>
        <v/>
      </c>
      <c r="L125" s="206" t="str">
        <f>IF(L$3="","",IF(COUNTIFS(BD!$A$3:$A$5001,L$3,BD!$B$3:$B$5001,$A$112,BD!$AC$3:$AC$5001,"&lt;&gt;")=0,"",SUMIFS(BD!$AC$3:$AC$5001,BD!$A$3:$A$5001,L$3,BD!$B$3:$B$5001,$A$112)))</f>
        <v/>
      </c>
      <c r="M125" s="206" t="str">
        <f>IF(M$3="","",IF(COUNTIFS(BD!$A$3:$A$5001,M$3,BD!$B$3:$B$5001,$A$112,BD!$AC$3:$AC$5001,"&lt;&gt;")=0,"",SUMIFS(BD!$AC$3:$AC$5001,BD!$A$3:$A$5001,M$3,BD!$B$3:$B$5001,$A$112)))</f>
        <v/>
      </c>
      <c r="N125" s="206" t="str">
        <f>IF(N$3="","",IF(COUNTIFS(BD!$A$3:$A$5001,N$3,BD!$B$3:$B$5001,$A$112,BD!$AC$3:$AC$5001,"&lt;&gt;")=0,"",SUMIFS(BD!$AC$3:$AC$5001,BD!$A$3:$A$5001,N$3,BD!$B$3:$B$5001,$A$112)))</f>
        <v/>
      </c>
      <c r="O125" s="206" t="str">
        <f>IF(O$3="","",IF(COUNTIFS(BD!$A$3:$A$5001,O$3,BD!$B$3:$B$5001,$A$112,BD!$AC$3:$AC$5001,"&lt;&gt;")=0,"",SUMIFS(BD!$AC$3:$AC$5001,BD!$A$3:$A$5001,O$3,BD!$B$3:$B$5001,$A$112)))</f>
        <v/>
      </c>
      <c r="P125" s="206" t="str">
        <f>IF(P$3="","",IF(COUNTIFS(BD!$A$3:$A$5001,P$3,BD!$B$3:$B$5001,$A$112,BD!$AC$3:$AC$5001,"&lt;&gt;")=0,"",SUMIFS(BD!$AC$3:$AC$5001,BD!$A$3:$A$5001,P$3,BD!$B$3:$B$5001,$A$112)))</f>
        <v/>
      </c>
      <c r="Q125" s="206" t="str">
        <f>IF(Q$3="","",IF(COUNTIFS(BD!$A$3:$A$5001,Q$3,BD!$B$3:$B$5001,$A$112,BD!$AC$3:$AC$5001,"&lt;&gt;")=0,"",SUMIFS(BD!$AC$3:$AC$5001,BD!$A$3:$A$5001,Q$3,BD!$B$3:$B$5001,$A$112)))</f>
        <v/>
      </c>
      <c r="R125" s="206" t="str">
        <f>IF(R$3="","",IF(COUNTIFS(BD!$A$3:$A$5001,R$3,BD!$B$3:$B$5001,$A$112,BD!$AC$3:$AC$5001,"&lt;&gt;")=0,"",SUMIFS(BD!$AC$3:$AC$5001,BD!$A$3:$A$5001,R$3,BD!$B$3:$B$5001,$A$112)))</f>
        <v/>
      </c>
      <c r="S125" s="206" t="str">
        <f>IF(S$3="","",IF(COUNTIFS(BD!$A$3:$A$5001,S$3,BD!$B$3:$B$5001,$A$112,BD!$AC$3:$AC$5001,"&lt;&gt;")=0,"",SUMIFS(BD!$AC$3:$AC$5001,BD!$A$3:$A$5001,S$3,BD!$B$3:$B$5001,$A$112)))</f>
        <v/>
      </c>
      <c r="T125" s="206" t="str">
        <f>IF(T$3="","",IF(COUNTIFS(BD!$A$3:$A$5001,T$3,BD!$B$3:$B$5001,$A$112,BD!$AC$3:$AC$5001,"&lt;&gt;")=0,"",SUMIFS(BD!$AC$3:$AC$5001,BD!$A$3:$A$5001,T$3,BD!$B$3:$B$5001,$A$112)))</f>
        <v/>
      </c>
      <c r="U125" s="206" t="str">
        <f>IF(U$3="","",IF(COUNTIFS(BD!$A$3:$A$5001,U$3,BD!$B$3:$B$5001,$A$112,BD!$AC$3:$AC$5001,"&lt;&gt;")=0,"",SUMIFS(BD!$AC$3:$AC$5001,BD!$A$3:$A$5001,U$3,BD!$B$3:$B$5001,$A$112)))</f>
        <v/>
      </c>
      <c r="V125" s="206" t="str">
        <f>IF(V$3="","",IF(COUNTIFS(BD!$A$3:$A$5001,V$3,BD!$B$3:$B$5001,$A$112,BD!$AC$3:$AC$5001,"&lt;&gt;")=0,"",SUMIFS(BD!$AC$3:$AC$5001,BD!$A$3:$A$5001,V$3,BD!$B$3:$B$5001,$A$112)))</f>
        <v/>
      </c>
      <c r="W125" s="206" t="str">
        <f>IF(W$3="","",IF(COUNTIFS(BD!$A$3:$A$5001,W$3,BD!$B$3:$B$5001,$A$112,BD!$AC$3:$AC$5001,"&lt;&gt;")=0,"",SUMIFS(BD!$AC$3:$AC$5001,BD!$A$3:$A$5001,W$3,BD!$B$3:$B$5001,$A$112)))</f>
        <v/>
      </c>
      <c r="X125" s="206" t="str">
        <f>IF(X$3="","",IF(COUNTIFS(BD!$A$3:$A$5001,X$3,BD!$B$3:$B$5001,$A$112,BD!$AC$3:$AC$5001,"&lt;&gt;")=0,"",SUMIFS(BD!$AC$3:$AC$5001,BD!$A$3:$A$5001,X$3,BD!$B$3:$B$5001,$A$112)))</f>
        <v/>
      </c>
      <c r="Y125" s="206" t="str">
        <f>IF(Y$3="","",IF(COUNTIFS(BD!$A$3:$A$5001,Y$3,BD!$B$3:$B$5001,$A$112,BD!$AC$3:$AC$5001,"&lt;&gt;")=0,"",SUMIFS(BD!$AC$3:$AC$5001,BD!$A$3:$A$5001,Y$3,BD!$B$3:$B$5001,$A$112)))</f>
        <v/>
      </c>
      <c r="Z125" s="206" t="str">
        <f>IF(Z$3="","",IF(COUNTIFS(BD!$A$3:$A$5001,Z$3,BD!$B$3:$B$5001,$A$112,BD!$AC$3:$AC$5001,"&lt;&gt;")=0,"",SUMIFS(BD!$AC$3:$AC$5001,BD!$A$3:$A$5001,Z$3,BD!$B$3:$B$5001,$A$112)))</f>
        <v/>
      </c>
      <c r="AA125" s="206" t="str">
        <f>IF(AA$3="","",IF(COUNTIFS(BD!$A$3:$A$5001,AA$3,BD!$B$3:$B$5001,$A$112,BD!$AC$3:$AC$5001,"&lt;&gt;")=0,"",SUMIFS(BD!$AC$3:$AC$5001,BD!$A$3:$A$5001,AA$3,BD!$B$3:$B$5001,$A$112)))</f>
        <v/>
      </c>
      <c r="AB125" s="206" t="str">
        <f>IF(AB$3="","",IF(COUNTIFS(BD!$A$3:$A$5001,AB$3,BD!$B$3:$B$5001,$A$112,BD!$AC$3:$AC$5001,"&lt;&gt;")=0,"",SUMIFS(BD!$AC$3:$AC$5001,BD!$A$3:$A$5001,AB$3,BD!$B$3:$B$5001,$A$112)))</f>
        <v/>
      </c>
      <c r="AC125" s="206" t="str">
        <f>IF(AC$3="","",IF(COUNTIFS(BD!$A$3:$A$5001,AC$3,BD!$B$3:$B$5001,$A$112,BD!$AC$3:$AC$5001,"&lt;&gt;")=0,"",SUMIFS(BD!$AC$3:$AC$5001,BD!$A$3:$A$5001,AC$3,BD!$B$3:$B$5001,$A$112)))</f>
        <v/>
      </c>
      <c r="AD125" s="206" t="str">
        <f>IF(AD$3="","",IF(COUNTIFS(BD!$A$3:$A$5001,AD$3,BD!$B$3:$B$5001,$A$112,BD!$AC$3:$AC$5001,"&lt;&gt;")=0,"",SUMIFS(BD!$AC$3:$AC$5001,BD!$A$3:$A$5001,AD$3,BD!$B$3:$B$5001,$A$112)))</f>
        <v/>
      </c>
      <c r="AE125" s="206" t="str">
        <f>IF(AE$3="","",IF(COUNTIFS(BD!$A$3:$A$5001,AE$3,BD!$B$3:$B$5001,$A$112,BD!$AC$3:$AC$5001,"&lt;&gt;")=0,"",SUMIFS(BD!$AC$3:$AC$5001,BD!$A$3:$A$5001,AE$3,BD!$B$3:$B$5001,$A$112)))</f>
        <v/>
      </c>
      <c r="AF125" s="206" t="str">
        <f>IF(AF$3="","",IF(COUNTIFS(BD!$A$3:$A$5001,AF$3,BD!$B$3:$B$5001,$A$112,BD!$AC$3:$AC$5001,"&lt;&gt;")=0,"",SUMIFS(BD!$AC$3:$AC$5001,BD!$A$3:$A$5001,AF$3,BD!$B$3:$B$5001,$A$112)))</f>
        <v/>
      </c>
      <c r="AG125" s="206" t="str">
        <f>IF(AG$3="","",IF(COUNTIFS(BD!$A$3:$A$5001,AG$3,BD!$B$3:$B$5001,$A$112,BD!$AC$3:$AC$5001,"&lt;&gt;")=0,"",SUMIFS(BD!$AC$3:$AC$5001,BD!$A$3:$A$5001,AG$3,BD!$B$3:$B$5001,$A$112)))</f>
        <v/>
      </c>
      <c r="AH125" s="206" t="str">
        <f>IF(AH$3="","",IF(COUNTIFS(BD!$A$3:$A$5001,AH$3,BD!$B$3:$B$5001,$A$112,BD!$AC$3:$AC$5001,"&lt;&gt;")=0,"",SUMIFS(BD!$AC$3:$AC$5001,BD!$A$3:$A$5001,AH$3,BD!$B$3:$B$5001,$A$112)))</f>
        <v/>
      </c>
      <c r="AI125" s="206" t="str">
        <f>IF(AI$3="","",IF(COUNTIFS(BD!$A$3:$A$5001,AI$3,BD!$B$3:$B$5001,$A$112,BD!$AC$3:$AC$5001,"&lt;&gt;")=0,"",SUMIFS(BD!$AC$3:$AC$5001,BD!$A$3:$A$5001,AI$3,BD!$B$3:$B$5001,$A$112)))</f>
        <v/>
      </c>
      <c r="AJ125" s="207" t="str">
        <f>IF(AJ$3="","",IF(COUNTIFS(BD!$A$3:$A$5001,AJ$3,BD!$B$3:$B$5001,$A$112,BD!$AC$3:$AC$5001,"&lt;&gt;")=0,"",SUMIFS(BD!$AC$3:$AC$5001,BD!$A$3:$A$5001,AJ$3,BD!$B$3:$B$5001,$A$112)))</f>
        <v/>
      </c>
      <c r="AK125" s="208" t="str">
        <f>IF(COUNT(F125:AJ125)=0,"",SUM(F125:AJ125))</f>
        <v/>
      </c>
    </row>
    <row r="126" ht="15.75" customHeight="1">
      <c r="A126" s="227"/>
      <c r="B126" s="224"/>
      <c r="C126" s="202" t="inlineStr">
        <is>
          <t xml:space="preserve">Desligamento</t>
        </is>
      </c>
      <c r="D126" s="203" t="str">
        <f>IFERROR(1/(1/INDEX(BD!$AK$51:$AT$51,MATCH($A$112,BD!$AK$22:$AT$22,0))),"")</f>
        <v/>
      </c>
      <c r="E126" s="204"/>
      <c r="F126" s="205" t="str">
        <f>IF(F$3="","",IF(COUNTIFS(BD!$A$3:$A$5001,F$3,BD!$B$3:$B$5001,$A$112,BD!$AD$3:$AD$5001,"&lt;&gt;")=0,"",SUMIFS(BD!$AD$3:$AD$5001,BD!$A$3:$A$5001,F$3,BD!$B$3:$B$5001,$A$112)))</f>
        <v/>
      </c>
      <c r="G126" s="206" t="str">
        <f>IF(G$3="","",IF(COUNTIFS(BD!$A$3:$A$5001,G$3,BD!$B$3:$B$5001,$A$112,BD!$AD$3:$AD$5001,"&lt;&gt;")=0,"",SUMIFS(BD!$AD$3:$AD$5001,BD!$A$3:$A$5001,G$3,BD!$B$3:$B$5001,$A$112)))</f>
        <v/>
      </c>
      <c r="H126" s="206" t="str">
        <f>IF(H$3="","",IF(COUNTIFS(BD!$A$3:$A$5001,H$3,BD!$B$3:$B$5001,$A$112,BD!$AD$3:$AD$5001,"&lt;&gt;")=0,"",SUMIFS(BD!$AD$3:$AD$5001,BD!$A$3:$A$5001,H$3,BD!$B$3:$B$5001,$A$112)))</f>
        <v/>
      </c>
      <c r="I126" s="206" t="str">
        <f>IF(I$3="","",IF(COUNTIFS(BD!$A$3:$A$5001,I$3,BD!$B$3:$B$5001,$A$112,BD!$AD$3:$AD$5001,"&lt;&gt;")=0,"",SUMIFS(BD!$AD$3:$AD$5001,BD!$A$3:$A$5001,I$3,BD!$B$3:$B$5001,$A$112)))</f>
        <v/>
      </c>
      <c r="J126" s="206" t="str">
        <f>IF(J$3="","",IF(COUNTIFS(BD!$A$3:$A$5001,J$3,BD!$B$3:$B$5001,$A$112,BD!$AD$3:$AD$5001,"&lt;&gt;")=0,"",SUMIFS(BD!$AD$3:$AD$5001,BD!$A$3:$A$5001,J$3,BD!$B$3:$B$5001,$A$112)))</f>
        <v/>
      </c>
      <c r="K126" s="206" t="str">
        <f>IF(K$3="","",IF(COUNTIFS(BD!$A$3:$A$5001,K$3,BD!$B$3:$B$5001,$A$112,BD!$AD$3:$AD$5001,"&lt;&gt;")=0,"",SUMIFS(BD!$AD$3:$AD$5001,BD!$A$3:$A$5001,K$3,BD!$B$3:$B$5001,$A$112)))</f>
        <v/>
      </c>
      <c r="L126" s="206" t="str">
        <f>IF(L$3="","",IF(COUNTIFS(BD!$A$3:$A$5001,L$3,BD!$B$3:$B$5001,$A$112,BD!$AD$3:$AD$5001,"&lt;&gt;")=0,"",SUMIFS(BD!$AD$3:$AD$5001,BD!$A$3:$A$5001,L$3,BD!$B$3:$B$5001,$A$112)))</f>
        <v/>
      </c>
      <c r="M126" s="206" t="str">
        <f>IF(M$3="","",IF(COUNTIFS(BD!$A$3:$A$5001,M$3,BD!$B$3:$B$5001,$A$112,BD!$AD$3:$AD$5001,"&lt;&gt;")=0,"",SUMIFS(BD!$AD$3:$AD$5001,BD!$A$3:$A$5001,M$3,BD!$B$3:$B$5001,$A$112)))</f>
        <v/>
      </c>
      <c r="N126" s="206" t="str">
        <f>IF(N$3="","",IF(COUNTIFS(BD!$A$3:$A$5001,N$3,BD!$B$3:$B$5001,$A$112,BD!$AD$3:$AD$5001,"&lt;&gt;")=0,"",SUMIFS(BD!$AD$3:$AD$5001,BD!$A$3:$A$5001,N$3,BD!$B$3:$B$5001,$A$112)))</f>
        <v/>
      </c>
      <c r="O126" s="206" t="str">
        <f>IF(O$3="","",IF(COUNTIFS(BD!$A$3:$A$5001,O$3,BD!$B$3:$B$5001,$A$112,BD!$AD$3:$AD$5001,"&lt;&gt;")=0,"",SUMIFS(BD!$AD$3:$AD$5001,BD!$A$3:$A$5001,O$3,BD!$B$3:$B$5001,$A$112)))</f>
        <v/>
      </c>
      <c r="P126" s="206" t="str">
        <f>IF(P$3="","",IF(COUNTIFS(BD!$A$3:$A$5001,P$3,BD!$B$3:$B$5001,$A$112,BD!$AD$3:$AD$5001,"&lt;&gt;")=0,"",SUMIFS(BD!$AD$3:$AD$5001,BD!$A$3:$A$5001,P$3,BD!$B$3:$B$5001,$A$112)))</f>
        <v/>
      </c>
      <c r="Q126" s="206" t="str">
        <f>IF(Q$3="","",IF(COUNTIFS(BD!$A$3:$A$5001,Q$3,BD!$B$3:$B$5001,$A$112,BD!$AD$3:$AD$5001,"&lt;&gt;")=0,"",SUMIFS(BD!$AD$3:$AD$5001,BD!$A$3:$A$5001,Q$3,BD!$B$3:$B$5001,$A$112)))</f>
        <v/>
      </c>
      <c r="R126" s="206" t="str">
        <f>IF(R$3="","",IF(COUNTIFS(BD!$A$3:$A$5001,R$3,BD!$B$3:$B$5001,$A$112,BD!$AD$3:$AD$5001,"&lt;&gt;")=0,"",SUMIFS(BD!$AD$3:$AD$5001,BD!$A$3:$A$5001,R$3,BD!$B$3:$B$5001,$A$112)))</f>
        <v/>
      </c>
      <c r="S126" s="206" t="str">
        <f>IF(S$3="","",IF(COUNTIFS(BD!$A$3:$A$5001,S$3,BD!$B$3:$B$5001,$A$112,BD!$AD$3:$AD$5001,"&lt;&gt;")=0,"",SUMIFS(BD!$AD$3:$AD$5001,BD!$A$3:$A$5001,S$3,BD!$B$3:$B$5001,$A$112)))</f>
        <v/>
      </c>
      <c r="T126" s="206" t="str">
        <f>IF(T$3="","",IF(COUNTIFS(BD!$A$3:$A$5001,T$3,BD!$B$3:$B$5001,$A$112,BD!$AD$3:$AD$5001,"&lt;&gt;")=0,"",SUMIFS(BD!$AD$3:$AD$5001,BD!$A$3:$A$5001,T$3,BD!$B$3:$B$5001,$A$112)))</f>
        <v/>
      </c>
      <c r="U126" s="206" t="str">
        <f>IF(U$3="","",IF(COUNTIFS(BD!$A$3:$A$5001,U$3,BD!$B$3:$B$5001,$A$112,BD!$AD$3:$AD$5001,"&lt;&gt;")=0,"",SUMIFS(BD!$AD$3:$AD$5001,BD!$A$3:$A$5001,U$3,BD!$B$3:$B$5001,$A$112)))</f>
        <v/>
      </c>
      <c r="V126" s="206" t="str">
        <f>IF(V$3="","",IF(COUNTIFS(BD!$A$3:$A$5001,V$3,BD!$B$3:$B$5001,$A$112,BD!$AD$3:$AD$5001,"&lt;&gt;")=0,"",SUMIFS(BD!$AD$3:$AD$5001,BD!$A$3:$A$5001,V$3,BD!$B$3:$B$5001,$A$112)))</f>
        <v/>
      </c>
      <c r="W126" s="206" t="str">
        <f>IF(W$3="","",IF(COUNTIFS(BD!$A$3:$A$5001,W$3,BD!$B$3:$B$5001,$A$112,BD!$AD$3:$AD$5001,"&lt;&gt;")=0,"",SUMIFS(BD!$AD$3:$AD$5001,BD!$A$3:$A$5001,W$3,BD!$B$3:$B$5001,$A$112)))</f>
        <v/>
      </c>
      <c r="X126" s="206" t="str">
        <f>IF(X$3="","",IF(COUNTIFS(BD!$A$3:$A$5001,X$3,BD!$B$3:$B$5001,$A$112,BD!$AD$3:$AD$5001,"&lt;&gt;")=0,"",SUMIFS(BD!$AD$3:$AD$5001,BD!$A$3:$A$5001,X$3,BD!$B$3:$B$5001,$A$112)))</f>
        <v/>
      </c>
      <c r="Y126" s="206" t="str">
        <f>IF(Y$3="","",IF(COUNTIFS(BD!$A$3:$A$5001,Y$3,BD!$B$3:$B$5001,$A$112,BD!$AD$3:$AD$5001,"&lt;&gt;")=0,"",SUMIFS(BD!$AD$3:$AD$5001,BD!$A$3:$A$5001,Y$3,BD!$B$3:$B$5001,$A$112)))</f>
        <v/>
      </c>
      <c r="Z126" s="206" t="str">
        <f>IF(Z$3="","",IF(COUNTIFS(BD!$A$3:$A$5001,Z$3,BD!$B$3:$B$5001,$A$112,BD!$AD$3:$AD$5001,"&lt;&gt;")=0,"",SUMIFS(BD!$AD$3:$AD$5001,BD!$A$3:$A$5001,Z$3,BD!$B$3:$B$5001,$A$112)))</f>
        <v/>
      </c>
      <c r="AA126" s="206" t="str">
        <f>IF(AA$3="","",IF(COUNTIFS(BD!$A$3:$A$5001,AA$3,BD!$B$3:$B$5001,$A$112,BD!$AD$3:$AD$5001,"&lt;&gt;")=0,"",SUMIFS(BD!$AD$3:$AD$5001,BD!$A$3:$A$5001,AA$3,BD!$B$3:$B$5001,$A$112)))</f>
        <v/>
      </c>
      <c r="AB126" s="206" t="str">
        <f>IF(AB$3="","",IF(COUNTIFS(BD!$A$3:$A$5001,AB$3,BD!$B$3:$B$5001,$A$112,BD!$AD$3:$AD$5001,"&lt;&gt;")=0,"",SUMIFS(BD!$AD$3:$AD$5001,BD!$A$3:$A$5001,AB$3,BD!$B$3:$B$5001,$A$112)))</f>
        <v/>
      </c>
      <c r="AC126" s="206" t="str">
        <f>IF(AC$3="","",IF(COUNTIFS(BD!$A$3:$A$5001,AC$3,BD!$B$3:$B$5001,$A$112,BD!$AD$3:$AD$5001,"&lt;&gt;")=0,"",SUMIFS(BD!$AD$3:$AD$5001,BD!$A$3:$A$5001,AC$3,BD!$B$3:$B$5001,$A$112)))</f>
        <v/>
      </c>
      <c r="AD126" s="206" t="str">
        <f>IF(AD$3="","",IF(COUNTIFS(BD!$A$3:$A$5001,AD$3,BD!$B$3:$B$5001,$A$112,BD!$AD$3:$AD$5001,"&lt;&gt;")=0,"",SUMIFS(BD!$AD$3:$AD$5001,BD!$A$3:$A$5001,AD$3,BD!$B$3:$B$5001,$A$112)))</f>
        <v/>
      </c>
      <c r="AE126" s="206" t="str">
        <f>IF(AE$3="","",IF(COUNTIFS(BD!$A$3:$A$5001,AE$3,BD!$B$3:$B$5001,$A$112,BD!$AD$3:$AD$5001,"&lt;&gt;")=0,"",SUMIFS(BD!$AD$3:$AD$5001,BD!$A$3:$A$5001,AE$3,BD!$B$3:$B$5001,$A$112)))</f>
        <v/>
      </c>
      <c r="AF126" s="206" t="str">
        <f>IF(AF$3="","",IF(COUNTIFS(BD!$A$3:$A$5001,AF$3,BD!$B$3:$B$5001,$A$112,BD!$AD$3:$AD$5001,"&lt;&gt;")=0,"",SUMIFS(BD!$AD$3:$AD$5001,BD!$A$3:$A$5001,AF$3,BD!$B$3:$B$5001,$A$112)))</f>
        <v/>
      </c>
      <c r="AG126" s="206" t="str">
        <f>IF(AG$3="","",IF(COUNTIFS(BD!$A$3:$A$5001,AG$3,BD!$B$3:$B$5001,$A$112,BD!$AD$3:$AD$5001,"&lt;&gt;")=0,"",SUMIFS(BD!$AD$3:$AD$5001,BD!$A$3:$A$5001,AG$3,BD!$B$3:$B$5001,$A$112)))</f>
        <v/>
      </c>
      <c r="AH126" s="206" t="str">
        <f>IF(AH$3="","",IF(COUNTIFS(BD!$A$3:$A$5001,AH$3,BD!$B$3:$B$5001,$A$112,BD!$AD$3:$AD$5001,"&lt;&gt;")=0,"",SUMIFS(BD!$AD$3:$AD$5001,BD!$A$3:$A$5001,AH$3,BD!$B$3:$B$5001,$A$112)))</f>
        <v/>
      </c>
      <c r="AI126" s="206" t="str">
        <f>IF(AI$3="","",IF(COUNTIFS(BD!$A$3:$A$5001,AI$3,BD!$B$3:$B$5001,$A$112,BD!$AD$3:$AD$5001,"&lt;&gt;")=0,"",SUMIFS(BD!$AD$3:$AD$5001,BD!$A$3:$A$5001,AI$3,BD!$B$3:$B$5001,$A$112)))</f>
        <v/>
      </c>
      <c r="AJ126" s="207" t="str">
        <f>IF(AJ$3="","",IF(COUNTIFS(BD!$A$3:$A$5001,AJ$3,BD!$B$3:$B$5001,$A$112,BD!$AD$3:$AD$5001,"&lt;&gt;")=0,"",SUMIFS(BD!$AD$3:$AD$5001,BD!$A$3:$A$5001,AJ$3,BD!$B$3:$B$5001,$A$112)))</f>
        <v/>
      </c>
      <c r="AK126" s="208" t="str">
        <f>IF(COUNT(F126:AJ126)=0,"",SUM(F126:AJ126))</f>
        <v/>
      </c>
    </row>
    <row r="127" ht="15.75" customHeight="1">
      <c r="A127" s="227"/>
      <c r="B127" s="224"/>
      <c r="C127" s="202" t="inlineStr">
        <is>
          <t xml:space="preserve">Desvios Comportamentais</t>
        </is>
      </c>
      <c r="D127" s="203" t="str">
        <f>IFERROR(1/(1/INDEX(BD!$AK$52:$AT$52,MATCH($A$112,BD!$AK$22:$AT$22,0))),"")</f>
        <v/>
      </c>
      <c r="E127" s="204"/>
      <c r="F127" s="205" t="str">
        <f>IF(F$3="","",IF(COUNTIFS(BD!$A$3:$A$5001,F$3,BD!$B$3:$B$5001,$A$112,BD!$AE$3:$AE$5001,"&lt;&gt;")=0,"",SUMIFS(BD!$AE$3:$AE$5001,BD!$A$3:$A$5001,F$3,BD!$B$3:$B$5001,$A$112)))</f>
        <v/>
      </c>
      <c r="G127" s="206" t="str">
        <f>IF(G$3="","",IF(COUNTIFS(BD!$A$3:$A$5001,G$3,BD!$B$3:$B$5001,$A$112,BD!$AE$3:$AE$5001,"&lt;&gt;")=0,"",SUMIFS(BD!$AE$3:$AE$5001,BD!$A$3:$A$5001,G$3,BD!$B$3:$B$5001,$A$112)))</f>
        <v/>
      </c>
      <c r="H127" s="206" t="str">
        <f>IF(H$3="","",IF(COUNTIFS(BD!$A$3:$A$5001,H$3,BD!$B$3:$B$5001,$A$112,BD!$AE$3:$AE$5001,"&lt;&gt;")=0,"",SUMIFS(BD!$AE$3:$AE$5001,BD!$A$3:$A$5001,H$3,BD!$B$3:$B$5001,$A$112)))</f>
        <v/>
      </c>
      <c r="I127" s="206" t="str">
        <f>IF(I$3="","",IF(COUNTIFS(BD!$A$3:$A$5001,I$3,BD!$B$3:$B$5001,$A$112,BD!$AE$3:$AE$5001,"&lt;&gt;")=0,"",SUMIFS(BD!$AE$3:$AE$5001,BD!$A$3:$A$5001,I$3,BD!$B$3:$B$5001,$A$112)))</f>
        <v/>
      </c>
      <c r="J127" s="206" t="str">
        <f>IF(J$3="","",IF(COUNTIFS(BD!$A$3:$A$5001,J$3,BD!$B$3:$B$5001,$A$112,BD!$AE$3:$AE$5001,"&lt;&gt;")=0,"",SUMIFS(BD!$AE$3:$AE$5001,BD!$A$3:$A$5001,J$3,BD!$B$3:$B$5001,$A$112)))</f>
        <v/>
      </c>
      <c r="K127" s="206" t="str">
        <f>IF(K$3="","",IF(COUNTIFS(BD!$A$3:$A$5001,K$3,BD!$B$3:$B$5001,$A$112,BD!$AE$3:$AE$5001,"&lt;&gt;")=0,"",SUMIFS(BD!$AE$3:$AE$5001,BD!$A$3:$A$5001,K$3,BD!$B$3:$B$5001,$A$112)))</f>
        <v/>
      </c>
      <c r="L127" s="206" t="str">
        <f>IF(L$3="","",IF(COUNTIFS(BD!$A$3:$A$5001,L$3,BD!$B$3:$B$5001,$A$112,BD!$AE$3:$AE$5001,"&lt;&gt;")=0,"",SUMIFS(BD!$AE$3:$AE$5001,BD!$A$3:$A$5001,L$3,BD!$B$3:$B$5001,$A$112)))</f>
        <v/>
      </c>
      <c r="M127" s="206" t="str">
        <f>IF(M$3="","",IF(COUNTIFS(BD!$A$3:$A$5001,M$3,BD!$B$3:$B$5001,$A$112,BD!$AE$3:$AE$5001,"&lt;&gt;")=0,"",SUMIFS(BD!$AE$3:$AE$5001,BD!$A$3:$A$5001,M$3,BD!$B$3:$B$5001,$A$112)))</f>
        <v/>
      </c>
      <c r="N127" s="206" t="str">
        <f>IF(N$3="","",IF(COUNTIFS(BD!$A$3:$A$5001,N$3,BD!$B$3:$B$5001,$A$112,BD!$AE$3:$AE$5001,"&lt;&gt;")=0,"",SUMIFS(BD!$AE$3:$AE$5001,BD!$A$3:$A$5001,N$3,BD!$B$3:$B$5001,$A$112)))</f>
        <v/>
      </c>
      <c r="O127" s="206" t="str">
        <f>IF(O$3="","",IF(COUNTIFS(BD!$A$3:$A$5001,O$3,BD!$B$3:$B$5001,$A$112,BD!$AE$3:$AE$5001,"&lt;&gt;")=0,"",SUMIFS(BD!$AE$3:$AE$5001,BD!$A$3:$A$5001,O$3,BD!$B$3:$B$5001,$A$112)))</f>
        <v/>
      </c>
      <c r="P127" s="206" t="str">
        <f>IF(P$3="","",IF(COUNTIFS(BD!$A$3:$A$5001,P$3,BD!$B$3:$B$5001,$A$112,BD!$AE$3:$AE$5001,"&lt;&gt;")=0,"",SUMIFS(BD!$AE$3:$AE$5001,BD!$A$3:$A$5001,P$3,BD!$B$3:$B$5001,$A$112)))</f>
        <v/>
      </c>
      <c r="Q127" s="206" t="str">
        <f>IF(Q$3="","",IF(COUNTIFS(BD!$A$3:$A$5001,Q$3,BD!$B$3:$B$5001,$A$112,BD!$AE$3:$AE$5001,"&lt;&gt;")=0,"",SUMIFS(BD!$AE$3:$AE$5001,BD!$A$3:$A$5001,Q$3,BD!$B$3:$B$5001,$A$112)))</f>
        <v/>
      </c>
      <c r="R127" s="206" t="str">
        <f>IF(R$3="","",IF(COUNTIFS(BD!$A$3:$A$5001,R$3,BD!$B$3:$B$5001,$A$112,BD!$AE$3:$AE$5001,"&lt;&gt;")=0,"",SUMIFS(BD!$AE$3:$AE$5001,BD!$A$3:$A$5001,R$3,BD!$B$3:$B$5001,$A$112)))</f>
        <v/>
      </c>
      <c r="S127" s="206" t="str">
        <f>IF(S$3="","",IF(COUNTIFS(BD!$A$3:$A$5001,S$3,BD!$B$3:$B$5001,$A$112,BD!$AE$3:$AE$5001,"&lt;&gt;")=0,"",SUMIFS(BD!$AE$3:$AE$5001,BD!$A$3:$A$5001,S$3,BD!$B$3:$B$5001,$A$112)))</f>
        <v/>
      </c>
      <c r="T127" s="206" t="str">
        <f>IF(T$3="","",IF(COUNTIFS(BD!$A$3:$A$5001,T$3,BD!$B$3:$B$5001,$A$112,BD!$AE$3:$AE$5001,"&lt;&gt;")=0,"",SUMIFS(BD!$AE$3:$AE$5001,BD!$A$3:$A$5001,T$3,BD!$B$3:$B$5001,$A$112)))</f>
        <v/>
      </c>
      <c r="U127" s="206" t="str">
        <f>IF(U$3="","",IF(COUNTIFS(BD!$A$3:$A$5001,U$3,BD!$B$3:$B$5001,$A$112,BD!$AE$3:$AE$5001,"&lt;&gt;")=0,"",SUMIFS(BD!$AE$3:$AE$5001,BD!$A$3:$A$5001,U$3,BD!$B$3:$B$5001,$A$112)))</f>
        <v/>
      </c>
      <c r="V127" s="206" t="str">
        <f>IF(V$3="","",IF(COUNTIFS(BD!$A$3:$A$5001,V$3,BD!$B$3:$B$5001,$A$112,BD!$AE$3:$AE$5001,"&lt;&gt;")=0,"",SUMIFS(BD!$AE$3:$AE$5001,BD!$A$3:$A$5001,V$3,BD!$B$3:$B$5001,$A$112)))</f>
        <v/>
      </c>
      <c r="W127" s="206" t="str">
        <f>IF(W$3="","",IF(COUNTIFS(BD!$A$3:$A$5001,W$3,BD!$B$3:$B$5001,$A$112,BD!$AE$3:$AE$5001,"&lt;&gt;")=0,"",SUMIFS(BD!$AE$3:$AE$5001,BD!$A$3:$A$5001,W$3,BD!$B$3:$B$5001,$A$112)))</f>
        <v/>
      </c>
      <c r="X127" s="206" t="str">
        <f>IF(X$3="","",IF(COUNTIFS(BD!$A$3:$A$5001,X$3,BD!$B$3:$B$5001,$A$112,BD!$AE$3:$AE$5001,"&lt;&gt;")=0,"",SUMIFS(BD!$AE$3:$AE$5001,BD!$A$3:$A$5001,X$3,BD!$B$3:$B$5001,$A$112)))</f>
        <v/>
      </c>
      <c r="Y127" s="206" t="str">
        <f>IF(Y$3="","",IF(COUNTIFS(BD!$A$3:$A$5001,Y$3,BD!$B$3:$B$5001,$A$112,BD!$AE$3:$AE$5001,"&lt;&gt;")=0,"",SUMIFS(BD!$AE$3:$AE$5001,BD!$A$3:$A$5001,Y$3,BD!$B$3:$B$5001,$A$112)))</f>
        <v/>
      </c>
      <c r="Z127" s="206" t="str">
        <f>IF(Z$3="","",IF(COUNTIFS(BD!$A$3:$A$5001,Z$3,BD!$B$3:$B$5001,$A$112,BD!$AE$3:$AE$5001,"&lt;&gt;")=0,"",SUMIFS(BD!$AE$3:$AE$5001,BD!$A$3:$A$5001,Z$3,BD!$B$3:$B$5001,$A$112)))</f>
        <v/>
      </c>
      <c r="AA127" s="206" t="str">
        <f>IF(AA$3="","",IF(COUNTIFS(BD!$A$3:$A$5001,AA$3,BD!$B$3:$B$5001,$A$112,BD!$AE$3:$AE$5001,"&lt;&gt;")=0,"",SUMIFS(BD!$AE$3:$AE$5001,BD!$A$3:$A$5001,AA$3,BD!$B$3:$B$5001,$A$112)))</f>
        <v/>
      </c>
      <c r="AB127" s="206" t="str">
        <f>IF(AB$3="","",IF(COUNTIFS(BD!$A$3:$A$5001,AB$3,BD!$B$3:$B$5001,$A$112,BD!$AE$3:$AE$5001,"&lt;&gt;")=0,"",SUMIFS(BD!$AE$3:$AE$5001,BD!$A$3:$A$5001,AB$3,BD!$B$3:$B$5001,$A$112)))</f>
        <v/>
      </c>
      <c r="AC127" s="206" t="str">
        <f>IF(AC$3="","",IF(COUNTIFS(BD!$A$3:$A$5001,AC$3,BD!$B$3:$B$5001,$A$112,BD!$AE$3:$AE$5001,"&lt;&gt;")=0,"",SUMIFS(BD!$AE$3:$AE$5001,BD!$A$3:$A$5001,AC$3,BD!$B$3:$B$5001,$A$112)))</f>
        <v/>
      </c>
      <c r="AD127" s="206" t="str">
        <f>IF(AD$3="","",IF(COUNTIFS(BD!$A$3:$A$5001,AD$3,BD!$B$3:$B$5001,$A$112,BD!$AE$3:$AE$5001,"&lt;&gt;")=0,"",SUMIFS(BD!$AE$3:$AE$5001,BD!$A$3:$A$5001,AD$3,BD!$B$3:$B$5001,$A$112)))</f>
        <v/>
      </c>
      <c r="AE127" s="206" t="str">
        <f>IF(AE$3="","",IF(COUNTIFS(BD!$A$3:$A$5001,AE$3,BD!$B$3:$B$5001,$A$112,BD!$AE$3:$AE$5001,"&lt;&gt;")=0,"",SUMIFS(BD!$AE$3:$AE$5001,BD!$A$3:$A$5001,AE$3,BD!$B$3:$B$5001,$A$112)))</f>
        <v/>
      </c>
      <c r="AF127" s="206" t="str">
        <f>IF(AF$3="","",IF(COUNTIFS(BD!$A$3:$A$5001,AF$3,BD!$B$3:$B$5001,$A$112,BD!$AE$3:$AE$5001,"&lt;&gt;")=0,"",SUMIFS(BD!$AE$3:$AE$5001,BD!$A$3:$A$5001,AF$3,BD!$B$3:$B$5001,$A$112)))</f>
        <v/>
      </c>
      <c r="AG127" s="206" t="str">
        <f>IF(AG$3="","",IF(COUNTIFS(BD!$A$3:$A$5001,AG$3,BD!$B$3:$B$5001,$A$112,BD!$AE$3:$AE$5001,"&lt;&gt;")=0,"",SUMIFS(BD!$AE$3:$AE$5001,BD!$A$3:$A$5001,AG$3,BD!$B$3:$B$5001,$A$112)))</f>
        <v/>
      </c>
      <c r="AH127" s="206" t="str">
        <f>IF(AH$3="","",IF(COUNTIFS(BD!$A$3:$A$5001,AH$3,BD!$B$3:$B$5001,$A$112,BD!$AE$3:$AE$5001,"&lt;&gt;")=0,"",SUMIFS(BD!$AE$3:$AE$5001,BD!$A$3:$A$5001,AH$3,BD!$B$3:$B$5001,$A$112)))</f>
        <v/>
      </c>
      <c r="AI127" s="206" t="str">
        <f>IF(AI$3="","",IF(COUNTIFS(BD!$A$3:$A$5001,AI$3,BD!$B$3:$B$5001,$A$112,BD!$AE$3:$AE$5001,"&lt;&gt;")=0,"",SUMIFS(BD!$AE$3:$AE$5001,BD!$A$3:$A$5001,AI$3,BD!$B$3:$B$5001,$A$112)))</f>
        <v/>
      </c>
      <c r="AJ127" s="207" t="str">
        <f>IF(AJ$3="","",IF(COUNTIFS(BD!$A$3:$A$5001,AJ$3,BD!$B$3:$B$5001,$A$112,BD!$AE$3:$AE$5001,"&lt;&gt;")=0,"",SUMIFS(BD!$AE$3:$AE$5001,BD!$A$3:$A$5001,AJ$3,BD!$B$3:$B$5001,$A$112)))</f>
        <v/>
      </c>
      <c r="AK127" s="208" t="str">
        <f>IF(COUNT(F127:AJ127)=0,"",SUM(F127:AJ127))</f>
        <v/>
      </c>
    </row>
    <row r="128" ht="15.75" customHeight="1">
      <c r="A128" s="227"/>
      <c r="B128" s="224"/>
      <c r="C128" s="202" t="inlineStr">
        <is>
          <t xml:space="preserve">Acidentes CAF</t>
        </is>
      </c>
      <c r="D128" s="203" t="str">
        <f>IFERROR(1/(1/INDEX(BD!$AK$53:$AT$53,MATCH($A$112,BD!$AK$22:$AT$22,0))),"")</f>
        <v/>
      </c>
      <c r="E128" s="204"/>
      <c r="F128" s="205" t="str">
        <f>IF(F$3="","",IF(COUNTIFS(BD!$A$3:$A$5001,F$3,BD!$B$3:$B$5001,$A$112,BD!$AF$3:$AF$5001,"&lt;&gt;")=0,"",SUMIFS(BD!$AF$3:$AF$5001,BD!$A$3:$A$5001,F$3,BD!$B$3:$B$5001,$A$112)))</f>
        <v/>
      </c>
      <c r="G128" s="206" t="str">
        <f>IF(G$3="","",IF(COUNTIFS(BD!$A$3:$A$5001,G$3,BD!$B$3:$B$5001,$A$112,BD!$AF$3:$AF$5001,"&lt;&gt;")=0,"",SUMIFS(BD!$AF$3:$AF$5001,BD!$A$3:$A$5001,G$3,BD!$B$3:$B$5001,$A$112)))</f>
        <v/>
      </c>
      <c r="H128" s="206" t="str">
        <f>IF(H$3="","",IF(COUNTIFS(BD!$A$3:$A$5001,H$3,BD!$B$3:$B$5001,$A$112,BD!$AF$3:$AF$5001,"&lt;&gt;")=0,"",SUMIFS(BD!$AF$3:$AF$5001,BD!$A$3:$A$5001,H$3,BD!$B$3:$B$5001,$A$112)))</f>
        <v/>
      </c>
      <c r="I128" s="206" t="str">
        <f>IF(I$3="","",IF(COUNTIFS(BD!$A$3:$A$5001,I$3,BD!$B$3:$B$5001,$A$112,BD!$AF$3:$AF$5001,"&lt;&gt;")=0,"",SUMIFS(BD!$AF$3:$AF$5001,BD!$A$3:$A$5001,I$3,BD!$B$3:$B$5001,$A$112)))</f>
        <v/>
      </c>
      <c r="J128" s="206" t="str">
        <f>IF(J$3="","",IF(COUNTIFS(BD!$A$3:$A$5001,J$3,BD!$B$3:$B$5001,$A$112,BD!$AF$3:$AF$5001,"&lt;&gt;")=0,"",SUMIFS(BD!$AF$3:$AF$5001,BD!$A$3:$A$5001,J$3,BD!$B$3:$B$5001,$A$112)))</f>
        <v/>
      </c>
      <c r="K128" s="206" t="str">
        <f>IF(K$3="","",IF(COUNTIFS(BD!$A$3:$A$5001,K$3,BD!$B$3:$B$5001,$A$112,BD!$AF$3:$AF$5001,"&lt;&gt;")=0,"",SUMIFS(BD!$AF$3:$AF$5001,BD!$A$3:$A$5001,K$3,BD!$B$3:$B$5001,$A$112)))</f>
        <v/>
      </c>
      <c r="L128" s="206" t="str">
        <f>IF(L$3="","",IF(COUNTIFS(BD!$A$3:$A$5001,L$3,BD!$B$3:$B$5001,$A$112,BD!$AF$3:$AF$5001,"&lt;&gt;")=0,"",SUMIFS(BD!$AF$3:$AF$5001,BD!$A$3:$A$5001,L$3,BD!$B$3:$B$5001,$A$112)))</f>
        <v/>
      </c>
      <c r="M128" s="206" t="str">
        <f>IF(M$3="","",IF(COUNTIFS(BD!$A$3:$A$5001,M$3,BD!$B$3:$B$5001,$A$112,BD!$AF$3:$AF$5001,"&lt;&gt;")=0,"",SUMIFS(BD!$AF$3:$AF$5001,BD!$A$3:$A$5001,M$3,BD!$B$3:$B$5001,$A$112)))</f>
        <v/>
      </c>
      <c r="N128" s="206" t="str">
        <f>IF(N$3="","",IF(COUNTIFS(BD!$A$3:$A$5001,N$3,BD!$B$3:$B$5001,$A$112,BD!$AF$3:$AF$5001,"&lt;&gt;")=0,"",SUMIFS(BD!$AF$3:$AF$5001,BD!$A$3:$A$5001,N$3,BD!$B$3:$B$5001,$A$112)))</f>
        <v/>
      </c>
      <c r="O128" s="206" t="str">
        <f>IF(O$3="","",IF(COUNTIFS(BD!$A$3:$A$5001,O$3,BD!$B$3:$B$5001,$A$112,BD!$AF$3:$AF$5001,"&lt;&gt;")=0,"",SUMIFS(BD!$AF$3:$AF$5001,BD!$A$3:$A$5001,O$3,BD!$B$3:$B$5001,$A$112)))</f>
        <v/>
      </c>
      <c r="P128" s="206" t="str">
        <f>IF(P$3="","",IF(COUNTIFS(BD!$A$3:$A$5001,P$3,BD!$B$3:$B$5001,$A$112,BD!$AF$3:$AF$5001,"&lt;&gt;")=0,"",SUMIFS(BD!$AF$3:$AF$5001,BD!$A$3:$A$5001,P$3,BD!$B$3:$B$5001,$A$112)))</f>
        <v/>
      </c>
      <c r="Q128" s="206" t="str">
        <f>IF(Q$3="","",IF(COUNTIFS(BD!$A$3:$A$5001,Q$3,BD!$B$3:$B$5001,$A$112,BD!$AF$3:$AF$5001,"&lt;&gt;")=0,"",SUMIFS(BD!$AF$3:$AF$5001,BD!$A$3:$A$5001,Q$3,BD!$B$3:$B$5001,$A$112)))</f>
        <v/>
      </c>
      <c r="R128" s="206" t="str">
        <f>IF(R$3="","",IF(COUNTIFS(BD!$A$3:$A$5001,R$3,BD!$B$3:$B$5001,$A$112,BD!$AF$3:$AF$5001,"&lt;&gt;")=0,"",SUMIFS(BD!$AF$3:$AF$5001,BD!$A$3:$A$5001,R$3,BD!$B$3:$B$5001,$A$112)))</f>
        <v/>
      </c>
      <c r="S128" s="206" t="str">
        <f>IF(S$3="","",IF(COUNTIFS(BD!$A$3:$A$5001,S$3,BD!$B$3:$B$5001,$A$112,BD!$AF$3:$AF$5001,"&lt;&gt;")=0,"",SUMIFS(BD!$AF$3:$AF$5001,BD!$A$3:$A$5001,S$3,BD!$B$3:$B$5001,$A$112)))</f>
        <v/>
      </c>
      <c r="T128" s="206" t="str">
        <f>IF(T$3="","",IF(COUNTIFS(BD!$A$3:$A$5001,T$3,BD!$B$3:$B$5001,$A$112,BD!$AF$3:$AF$5001,"&lt;&gt;")=0,"",SUMIFS(BD!$AF$3:$AF$5001,BD!$A$3:$A$5001,T$3,BD!$B$3:$B$5001,$A$112)))</f>
        <v/>
      </c>
      <c r="U128" s="206" t="str">
        <f>IF(U$3="","",IF(COUNTIFS(BD!$A$3:$A$5001,U$3,BD!$B$3:$B$5001,$A$112,BD!$AF$3:$AF$5001,"&lt;&gt;")=0,"",SUMIFS(BD!$AF$3:$AF$5001,BD!$A$3:$A$5001,U$3,BD!$B$3:$B$5001,$A$112)))</f>
        <v/>
      </c>
      <c r="V128" s="206" t="str">
        <f>IF(V$3="","",IF(COUNTIFS(BD!$A$3:$A$5001,V$3,BD!$B$3:$B$5001,$A$112,BD!$AF$3:$AF$5001,"&lt;&gt;")=0,"",SUMIFS(BD!$AF$3:$AF$5001,BD!$A$3:$A$5001,V$3,BD!$B$3:$B$5001,$A$112)))</f>
        <v/>
      </c>
      <c r="W128" s="206" t="str">
        <f>IF(W$3="","",IF(COUNTIFS(BD!$A$3:$A$5001,W$3,BD!$B$3:$B$5001,$A$112,BD!$AF$3:$AF$5001,"&lt;&gt;")=0,"",SUMIFS(BD!$AF$3:$AF$5001,BD!$A$3:$A$5001,W$3,BD!$B$3:$B$5001,$A$112)))</f>
        <v/>
      </c>
      <c r="X128" s="206" t="str">
        <f>IF(X$3="","",IF(COUNTIFS(BD!$A$3:$A$5001,X$3,BD!$B$3:$B$5001,$A$112,BD!$AF$3:$AF$5001,"&lt;&gt;")=0,"",SUMIFS(BD!$AF$3:$AF$5001,BD!$A$3:$A$5001,X$3,BD!$B$3:$B$5001,$A$112)))</f>
        <v/>
      </c>
      <c r="Y128" s="206" t="str">
        <f>IF(Y$3="","",IF(COUNTIFS(BD!$A$3:$A$5001,Y$3,BD!$B$3:$B$5001,$A$112,BD!$AF$3:$AF$5001,"&lt;&gt;")=0,"",SUMIFS(BD!$AF$3:$AF$5001,BD!$A$3:$A$5001,Y$3,BD!$B$3:$B$5001,$A$112)))</f>
        <v/>
      </c>
      <c r="Z128" s="206" t="str">
        <f>IF(Z$3="","",IF(COUNTIFS(BD!$A$3:$A$5001,Z$3,BD!$B$3:$B$5001,$A$112,BD!$AF$3:$AF$5001,"&lt;&gt;")=0,"",SUMIFS(BD!$AF$3:$AF$5001,BD!$A$3:$A$5001,Z$3,BD!$B$3:$B$5001,$A$112)))</f>
        <v/>
      </c>
      <c r="AA128" s="206" t="str">
        <f>IF(AA$3="","",IF(COUNTIFS(BD!$A$3:$A$5001,AA$3,BD!$B$3:$B$5001,$A$112,BD!$AF$3:$AF$5001,"&lt;&gt;")=0,"",SUMIFS(BD!$AF$3:$AF$5001,BD!$A$3:$A$5001,AA$3,BD!$B$3:$B$5001,$A$112)))</f>
        <v/>
      </c>
      <c r="AB128" s="206" t="str">
        <f>IF(AB$3="","",IF(COUNTIFS(BD!$A$3:$A$5001,AB$3,BD!$B$3:$B$5001,$A$112,BD!$AF$3:$AF$5001,"&lt;&gt;")=0,"",SUMIFS(BD!$AF$3:$AF$5001,BD!$A$3:$A$5001,AB$3,BD!$B$3:$B$5001,$A$112)))</f>
        <v/>
      </c>
      <c r="AC128" s="206" t="str">
        <f>IF(AC$3="","",IF(COUNTIFS(BD!$A$3:$A$5001,AC$3,BD!$B$3:$B$5001,$A$112,BD!$AF$3:$AF$5001,"&lt;&gt;")=0,"",SUMIFS(BD!$AF$3:$AF$5001,BD!$A$3:$A$5001,AC$3,BD!$B$3:$B$5001,$A$112)))</f>
        <v/>
      </c>
      <c r="AD128" s="206" t="str">
        <f>IF(AD$3="","",IF(COUNTIFS(BD!$A$3:$A$5001,AD$3,BD!$B$3:$B$5001,$A$112,BD!$AF$3:$AF$5001,"&lt;&gt;")=0,"",SUMIFS(BD!$AF$3:$AF$5001,BD!$A$3:$A$5001,AD$3,BD!$B$3:$B$5001,$A$112)))</f>
        <v/>
      </c>
      <c r="AE128" s="206" t="str">
        <f>IF(AE$3="","",IF(COUNTIFS(BD!$A$3:$A$5001,AE$3,BD!$B$3:$B$5001,$A$112,BD!$AF$3:$AF$5001,"&lt;&gt;")=0,"",SUMIFS(BD!$AF$3:$AF$5001,BD!$A$3:$A$5001,AE$3,BD!$B$3:$B$5001,$A$112)))</f>
        <v/>
      </c>
      <c r="AF128" s="206" t="str">
        <f>IF(AF$3="","",IF(COUNTIFS(BD!$A$3:$A$5001,AF$3,BD!$B$3:$B$5001,$A$112,BD!$AF$3:$AF$5001,"&lt;&gt;")=0,"",SUMIFS(BD!$AF$3:$AF$5001,BD!$A$3:$A$5001,AF$3,BD!$B$3:$B$5001,$A$112)))</f>
        <v/>
      </c>
      <c r="AG128" s="206" t="str">
        <f>IF(AG$3="","",IF(COUNTIFS(BD!$A$3:$A$5001,AG$3,BD!$B$3:$B$5001,$A$112,BD!$AF$3:$AF$5001,"&lt;&gt;")=0,"",SUMIFS(BD!$AF$3:$AF$5001,BD!$A$3:$A$5001,AG$3,BD!$B$3:$B$5001,$A$112)))</f>
        <v/>
      </c>
      <c r="AH128" s="206" t="str">
        <f>IF(AH$3="","",IF(COUNTIFS(BD!$A$3:$A$5001,AH$3,BD!$B$3:$B$5001,$A$112,BD!$AF$3:$AF$5001,"&lt;&gt;")=0,"",SUMIFS(BD!$AF$3:$AF$5001,BD!$A$3:$A$5001,AH$3,BD!$B$3:$B$5001,$A$112)))</f>
        <v/>
      </c>
      <c r="AI128" s="206" t="str">
        <f>IF(AI$3="","",IF(COUNTIFS(BD!$A$3:$A$5001,AI$3,BD!$B$3:$B$5001,$A$112,BD!$AF$3:$AF$5001,"&lt;&gt;")=0,"",SUMIFS(BD!$AF$3:$AF$5001,BD!$A$3:$A$5001,AI$3,BD!$B$3:$B$5001,$A$112)))</f>
        <v/>
      </c>
      <c r="AJ128" s="207" t="str">
        <f>IF(AJ$3="","",IF(COUNTIFS(BD!$A$3:$A$5001,AJ$3,BD!$B$3:$B$5001,$A$112,BD!$AF$3:$AF$5001,"&lt;&gt;")=0,"",SUMIFS(BD!$AF$3:$AF$5001,BD!$A$3:$A$5001,AJ$3,BD!$B$3:$B$5001,$A$112)))</f>
        <v/>
      </c>
      <c r="AK128" s="208" t="str">
        <f>IF(COUNT(F128:AJ128)=0,"",SUM(F128:AJ128))</f>
        <v/>
      </c>
    </row>
    <row r="129" ht="15.75" customHeight="1">
      <c r="A129" s="228"/>
      <c r="B129" s="225"/>
      <c r="C129" s="209" t="inlineStr">
        <is>
          <t xml:space="preserve">Acidentes SAF</t>
        </is>
      </c>
      <c r="D129" s="210" t="str">
        <f>IFERROR(1/(1/INDEX(BD!$AK$54:$AT$54,MATCH($A$112,BD!$AK$22:$AT$22,0))),"")</f>
        <v/>
      </c>
      <c r="E129" s="211"/>
      <c r="F129" s="212" t="str">
        <f>IF(F$3="","",IF(COUNTIFS(BD!$A$3:$A$5001,F$3,BD!$B$3:$B$5001,$A$112,BD!$AG$3:$AG$5001,"&lt;&gt;")=0,"",SUMIFS(BD!$AG$3:$AG$5001,BD!$A$3:$A$5001,F$3,BD!$B$3:$B$5001,$A$112)))</f>
        <v/>
      </c>
      <c r="G129" s="213" t="str">
        <f>IF(G$3="","",IF(COUNTIFS(BD!$A$3:$A$5001,G$3,BD!$B$3:$B$5001,$A$112,BD!$AG$3:$AG$5001,"&lt;&gt;")=0,"",SUMIFS(BD!$AG$3:$AG$5001,BD!$A$3:$A$5001,G$3,BD!$B$3:$B$5001,$A$112)))</f>
        <v/>
      </c>
      <c r="H129" s="213" t="str">
        <f>IF(H$3="","",IF(COUNTIFS(BD!$A$3:$A$5001,H$3,BD!$B$3:$B$5001,$A$112,BD!$AG$3:$AG$5001,"&lt;&gt;")=0,"",SUMIFS(BD!$AG$3:$AG$5001,BD!$A$3:$A$5001,H$3,BD!$B$3:$B$5001,$A$112)))</f>
        <v/>
      </c>
      <c r="I129" s="213" t="str">
        <f>IF(I$3="","",IF(COUNTIFS(BD!$A$3:$A$5001,I$3,BD!$B$3:$B$5001,$A$112,BD!$AG$3:$AG$5001,"&lt;&gt;")=0,"",SUMIFS(BD!$AG$3:$AG$5001,BD!$A$3:$A$5001,I$3,BD!$B$3:$B$5001,$A$112)))</f>
        <v/>
      </c>
      <c r="J129" s="213" t="str">
        <f>IF(J$3="","",IF(COUNTIFS(BD!$A$3:$A$5001,J$3,BD!$B$3:$B$5001,$A$112,BD!$AG$3:$AG$5001,"&lt;&gt;")=0,"",SUMIFS(BD!$AG$3:$AG$5001,BD!$A$3:$A$5001,J$3,BD!$B$3:$B$5001,$A$112)))</f>
        <v/>
      </c>
      <c r="K129" s="213" t="str">
        <f>IF(K$3="","",IF(COUNTIFS(BD!$A$3:$A$5001,K$3,BD!$B$3:$B$5001,$A$112,BD!$AG$3:$AG$5001,"&lt;&gt;")=0,"",SUMIFS(BD!$AG$3:$AG$5001,BD!$A$3:$A$5001,K$3,BD!$B$3:$B$5001,$A$112)))</f>
        <v/>
      </c>
      <c r="L129" s="213" t="str">
        <f>IF(L$3="","",IF(COUNTIFS(BD!$A$3:$A$5001,L$3,BD!$B$3:$B$5001,$A$112,BD!$AG$3:$AG$5001,"&lt;&gt;")=0,"",SUMIFS(BD!$AG$3:$AG$5001,BD!$A$3:$A$5001,L$3,BD!$B$3:$B$5001,$A$112)))</f>
        <v/>
      </c>
      <c r="M129" s="213" t="str">
        <f>IF(M$3="","",IF(COUNTIFS(BD!$A$3:$A$5001,M$3,BD!$B$3:$B$5001,$A$112,BD!$AG$3:$AG$5001,"&lt;&gt;")=0,"",SUMIFS(BD!$AG$3:$AG$5001,BD!$A$3:$A$5001,M$3,BD!$B$3:$B$5001,$A$112)))</f>
        <v/>
      </c>
      <c r="N129" s="213" t="str">
        <f>IF(N$3="","",IF(COUNTIFS(BD!$A$3:$A$5001,N$3,BD!$B$3:$B$5001,$A$112,BD!$AG$3:$AG$5001,"&lt;&gt;")=0,"",SUMIFS(BD!$AG$3:$AG$5001,BD!$A$3:$A$5001,N$3,BD!$B$3:$B$5001,$A$112)))</f>
        <v/>
      </c>
      <c r="O129" s="213" t="str">
        <f>IF(O$3="","",IF(COUNTIFS(BD!$A$3:$A$5001,O$3,BD!$B$3:$B$5001,$A$112,BD!$AG$3:$AG$5001,"&lt;&gt;")=0,"",SUMIFS(BD!$AG$3:$AG$5001,BD!$A$3:$A$5001,O$3,BD!$B$3:$B$5001,$A$112)))</f>
        <v/>
      </c>
      <c r="P129" s="213" t="str">
        <f>IF(P$3="","",IF(COUNTIFS(BD!$A$3:$A$5001,P$3,BD!$B$3:$B$5001,$A$112,BD!$AG$3:$AG$5001,"&lt;&gt;")=0,"",SUMIFS(BD!$AG$3:$AG$5001,BD!$A$3:$A$5001,P$3,BD!$B$3:$B$5001,$A$112)))</f>
        <v/>
      </c>
      <c r="Q129" s="213" t="str">
        <f>IF(Q$3="","",IF(COUNTIFS(BD!$A$3:$A$5001,Q$3,BD!$B$3:$B$5001,$A$112,BD!$AG$3:$AG$5001,"&lt;&gt;")=0,"",SUMIFS(BD!$AG$3:$AG$5001,BD!$A$3:$A$5001,Q$3,BD!$B$3:$B$5001,$A$112)))</f>
        <v/>
      </c>
      <c r="R129" s="213" t="str">
        <f>IF(R$3="","",IF(COUNTIFS(BD!$A$3:$A$5001,R$3,BD!$B$3:$B$5001,$A$112,BD!$AG$3:$AG$5001,"&lt;&gt;")=0,"",SUMIFS(BD!$AG$3:$AG$5001,BD!$A$3:$A$5001,R$3,BD!$B$3:$B$5001,$A$112)))</f>
        <v/>
      </c>
      <c r="S129" s="213" t="str">
        <f>IF(S$3="","",IF(COUNTIFS(BD!$A$3:$A$5001,S$3,BD!$B$3:$B$5001,$A$112,BD!$AG$3:$AG$5001,"&lt;&gt;")=0,"",SUMIFS(BD!$AG$3:$AG$5001,BD!$A$3:$A$5001,S$3,BD!$B$3:$B$5001,$A$112)))</f>
        <v/>
      </c>
      <c r="T129" s="213" t="str">
        <f>IF(T$3="","",IF(COUNTIFS(BD!$A$3:$A$5001,T$3,BD!$B$3:$B$5001,$A$112,BD!$AG$3:$AG$5001,"&lt;&gt;")=0,"",SUMIFS(BD!$AG$3:$AG$5001,BD!$A$3:$A$5001,T$3,BD!$B$3:$B$5001,$A$112)))</f>
        <v/>
      </c>
      <c r="U129" s="213" t="str">
        <f>IF(U$3="","",IF(COUNTIFS(BD!$A$3:$A$5001,U$3,BD!$B$3:$B$5001,$A$112,BD!$AG$3:$AG$5001,"&lt;&gt;")=0,"",SUMIFS(BD!$AG$3:$AG$5001,BD!$A$3:$A$5001,U$3,BD!$B$3:$B$5001,$A$112)))</f>
        <v/>
      </c>
      <c r="V129" s="213" t="str">
        <f>IF(V$3="","",IF(COUNTIFS(BD!$A$3:$A$5001,V$3,BD!$B$3:$B$5001,$A$112,BD!$AG$3:$AG$5001,"&lt;&gt;")=0,"",SUMIFS(BD!$AG$3:$AG$5001,BD!$A$3:$A$5001,V$3,BD!$B$3:$B$5001,$A$112)))</f>
        <v/>
      </c>
      <c r="W129" s="213" t="str">
        <f>IF(W$3="","",IF(COUNTIFS(BD!$A$3:$A$5001,W$3,BD!$B$3:$B$5001,$A$112,BD!$AG$3:$AG$5001,"&lt;&gt;")=0,"",SUMIFS(BD!$AG$3:$AG$5001,BD!$A$3:$A$5001,W$3,BD!$B$3:$B$5001,$A$112)))</f>
        <v/>
      </c>
      <c r="X129" s="213" t="str">
        <f>IF(X$3="","",IF(COUNTIFS(BD!$A$3:$A$5001,X$3,BD!$B$3:$B$5001,$A$112,BD!$AG$3:$AG$5001,"&lt;&gt;")=0,"",SUMIFS(BD!$AG$3:$AG$5001,BD!$A$3:$A$5001,X$3,BD!$B$3:$B$5001,$A$112)))</f>
        <v/>
      </c>
      <c r="Y129" s="213" t="str">
        <f>IF(Y$3="","",IF(COUNTIFS(BD!$A$3:$A$5001,Y$3,BD!$B$3:$B$5001,$A$112,BD!$AG$3:$AG$5001,"&lt;&gt;")=0,"",SUMIFS(BD!$AG$3:$AG$5001,BD!$A$3:$A$5001,Y$3,BD!$B$3:$B$5001,$A$112)))</f>
        <v/>
      </c>
      <c r="Z129" s="213" t="str">
        <f>IF(Z$3="","",IF(COUNTIFS(BD!$A$3:$A$5001,Z$3,BD!$B$3:$B$5001,$A$112,BD!$AG$3:$AG$5001,"&lt;&gt;")=0,"",SUMIFS(BD!$AG$3:$AG$5001,BD!$A$3:$A$5001,Z$3,BD!$B$3:$B$5001,$A$112)))</f>
        <v/>
      </c>
      <c r="AA129" s="213" t="str">
        <f>IF(AA$3="","",IF(COUNTIFS(BD!$A$3:$A$5001,AA$3,BD!$B$3:$B$5001,$A$112,BD!$AG$3:$AG$5001,"&lt;&gt;")=0,"",SUMIFS(BD!$AG$3:$AG$5001,BD!$A$3:$A$5001,AA$3,BD!$B$3:$B$5001,$A$112)))</f>
        <v/>
      </c>
      <c r="AB129" s="213" t="str">
        <f>IF(AB$3="","",IF(COUNTIFS(BD!$A$3:$A$5001,AB$3,BD!$B$3:$B$5001,$A$112,BD!$AG$3:$AG$5001,"&lt;&gt;")=0,"",SUMIFS(BD!$AG$3:$AG$5001,BD!$A$3:$A$5001,AB$3,BD!$B$3:$B$5001,$A$112)))</f>
        <v/>
      </c>
      <c r="AC129" s="213" t="str">
        <f>IF(AC$3="","",IF(COUNTIFS(BD!$A$3:$A$5001,AC$3,BD!$B$3:$B$5001,$A$112,BD!$AG$3:$AG$5001,"&lt;&gt;")=0,"",SUMIFS(BD!$AG$3:$AG$5001,BD!$A$3:$A$5001,AC$3,BD!$B$3:$B$5001,$A$112)))</f>
        <v/>
      </c>
      <c r="AD129" s="213" t="str">
        <f>IF(AD$3="","",IF(COUNTIFS(BD!$A$3:$A$5001,AD$3,BD!$B$3:$B$5001,$A$112,BD!$AG$3:$AG$5001,"&lt;&gt;")=0,"",SUMIFS(BD!$AG$3:$AG$5001,BD!$A$3:$A$5001,AD$3,BD!$B$3:$B$5001,$A$112)))</f>
        <v/>
      </c>
      <c r="AE129" s="213" t="str">
        <f>IF(AE$3="","",IF(COUNTIFS(BD!$A$3:$A$5001,AE$3,BD!$B$3:$B$5001,$A$112,BD!$AG$3:$AG$5001,"&lt;&gt;")=0,"",SUMIFS(BD!$AG$3:$AG$5001,BD!$A$3:$A$5001,AE$3,BD!$B$3:$B$5001,$A$112)))</f>
        <v/>
      </c>
      <c r="AF129" s="213" t="str">
        <f>IF(AF$3="","",IF(COUNTIFS(BD!$A$3:$A$5001,AF$3,BD!$B$3:$B$5001,$A$112,BD!$AG$3:$AG$5001,"&lt;&gt;")=0,"",SUMIFS(BD!$AG$3:$AG$5001,BD!$A$3:$A$5001,AF$3,BD!$B$3:$B$5001,$A$112)))</f>
        <v/>
      </c>
      <c r="AG129" s="213" t="str">
        <f>IF(AG$3="","",IF(COUNTIFS(BD!$A$3:$A$5001,AG$3,BD!$B$3:$B$5001,$A$112,BD!$AG$3:$AG$5001,"&lt;&gt;")=0,"",SUMIFS(BD!$AG$3:$AG$5001,BD!$A$3:$A$5001,AG$3,BD!$B$3:$B$5001,$A$112)))</f>
        <v/>
      </c>
      <c r="AH129" s="213" t="str">
        <f>IF(AH$3="","",IF(COUNTIFS(BD!$A$3:$A$5001,AH$3,BD!$B$3:$B$5001,$A$112,BD!$AG$3:$AG$5001,"&lt;&gt;")=0,"",SUMIFS(BD!$AG$3:$AG$5001,BD!$A$3:$A$5001,AH$3,BD!$B$3:$B$5001,$A$112)))</f>
        <v/>
      </c>
      <c r="AI129" s="213" t="str">
        <f>IF(AI$3="","",IF(COUNTIFS(BD!$A$3:$A$5001,AI$3,BD!$B$3:$B$5001,$A$112,BD!$AG$3:$AG$5001,"&lt;&gt;")=0,"",SUMIFS(BD!$AG$3:$AG$5001,BD!$A$3:$A$5001,AI$3,BD!$B$3:$B$5001,$A$112)))</f>
        <v/>
      </c>
      <c r="AJ129" s="214" t="str">
        <f>IF(AJ$3="","",IF(COUNTIFS(BD!$A$3:$A$5001,AJ$3,BD!$B$3:$B$5001,$A$112,BD!$AG$3:$AG$5001,"&lt;&gt;")=0,"",SUMIFS(BD!$AG$3:$AG$5001,BD!$A$3:$A$5001,AJ$3,BD!$B$3:$B$5001,$A$112)))</f>
        <v/>
      </c>
      <c r="AK129" s="210" t="str">
        <f>IF(COUNT(F129:AJ129)=0,"",SUM(F129:AJ129))</f>
        <v/>
      </c>
    </row>
    <row r="131" ht="15.75" customHeight="1">
      <c r="A131" s="226" t="inlineStr">
        <is>
          <t xml:space="preserve">Supply</t>
        </is>
      </c>
      <c r="B131" s="215" t="inlineStr">
        <is>
          <t xml:space="preserve">IN</t>
        </is>
      </c>
      <c r="C131" s="138" t="inlineStr">
        <is>
          <t xml:space="preserve">Veículos Recebidos</t>
        </is>
      </c>
      <c r="D131" s="139" t="str">
        <f>IFERROR(1/(1/INDEX(BD!$AK$23:$AT$23,MATCH($A$131,BD!$AK$22:$AT$22,0))),"")</f>
        <v/>
      </c>
      <c r="E131" s="140"/>
      <c r="F131" s="141" t="str">
        <f>IF(F$3="","",IF(COUNTIFS(BD!$A$3:$A$5001,F$3,BD!$B$3:$B$5001,$A$131,BD!$C$3:$C$5001,"&lt;&gt;")=0,"",SUMIFS(BD!$C$3:$C$5001,BD!$A$3:$A$5001,F$3,BD!$B$3:$B$5001,$A$131)))</f>
        <v/>
      </c>
      <c r="G131" s="142" t="str">
        <f>IF(G$3="","",IF(COUNTIFS(BD!$A$3:$A$5001,G$3,BD!$B$3:$B$5001,$A$131,BD!$C$3:$C$5001,"&lt;&gt;")=0,"",SUMIFS(BD!$C$3:$C$5001,BD!$A$3:$A$5001,G$3,BD!$B$3:$B$5001,$A$131)))</f>
        <v/>
      </c>
      <c r="H131" s="142" t="str">
        <f>IF(H$3="","",IF(COUNTIFS(BD!$A$3:$A$5001,H$3,BD!$B$3:$B$5001,$A$131,BD!$C$3:$C$5001,"&lt;&gt;")=0,"",SUMIFS(BD!$C$3:$C$5001,BD!$A$3:$A$5001,H$3,BD!$B$3:$B$5001,$A$131)))</f>
        <v/>
      </c>
      <c r="I131" s="142" t="str">
        <f>IF(I$3="","",IF(COUNTIFS(BD!$A$3:$A$5001,I$3,BD!$B$3:$B$5001,$A$131,BD!$C$3:$C$5001,"&lt;&gt;")=0,"",SUMIFS(BD!$C$3:$C$5001,BD!$A$3:$A$5001,I$3,BD!$B$3:$B$5001,$A$131)))</f>
        <v/>
      </c>
      <c r="J131" s="142" t="str">
        <f>IF(J$3="","",IF(COUNTIFS(BD!$A$3:$A$5001,J$3,BD!$B$3:$B$5001,$A$131,BD!$C$3:$C$5001,"&lt;&gt;")=0,"",SUMIFS(BD!$C$3:$C$5001,BD!$A$3:$A$5001,J$3,BD!$B$3:$B$5001,$A$131)))</f>
        <v/>
      </c>
      <c r="K131" s="142" t="str">
        <f>IF(K$3="","",IF(COUNTIFS(BD!$A$3:$A$5001,K$3,BD!$B$3:$B$5001,$A$131,BD!$C$3:$C$5001,"&lt;&gt;")=0,"",SUMIFS(BD!$C$3:$C$5001,BD!$A$3:$A$5001,K$3,BD!$B$3:$B$5001,$A$131)))</f>
        <v/>
      </c>
      <c r="L131" s="142" t="str">
        <f>IF(L$3="","",IF(COUNTIFS(BD!$A$3:$A$5001,L$3,BD!$B$3:$B$5001,$A$131,BD!$C$3:$C$5001,"&lt;&gt;")=0,"",SUMIFS(BD!$C$3:$C$5001,BD!$A$3:$A$5001,L$3,BD!$B$3:$B$5001,$A$131)))</f>
        <v/>
      </c>
      <c r="M131" s="142" t="str">
        <f>IF(M$3="","",IF(COUNTIFS(BD!$A$3:$A$5001,M$3,BD!$B$3:$B$5001,$A$131,BD!$C$3:$C$5001,"&lt;&gt;")=0,"",SUMIFS(BD!$C$3:$C$5001,BD!$A$3:$A$5001,M$3,BD!$B$3:$B$5001,$A$131)))</f>
        <v/>
      </c>
      <c r="N131" s="142" t="str">
        <f>IF(N$3="","",IF(COUNTIFS(BD!$A$3:$A$5001,N$3,BD!$B$3:$B$5001,$A$131,BD!$C$3:$C$5001,"&lt;&gt;")=0,"",SUMIFS(BD!$C$3:$C$5001,BD!$A$3:$A$5001,N$3,BD!$B$3:$B$5001,$A$131)))</f>
        <v/>
      </c>
      <c r="O131" s="142" t="str">
        <f>IF(O$3="","",IF(COUNTIFS(BD!$A$3:$A$5001,O$3,BD!$B$3:$B$5001,$A$131,BD!$C$3:$C$5001,"&lt;&gt;")=0,"",SUMIFS(BD!$C$3:$C$5001,BD!$A$3:$A$5001,O$3,BD!$B$3:$B$5001,$A$131)))</f>
        <v/>
      </c>
      <c r="P131" s="142" t="str">
        <f>IF(P$3="","",IF(COUNTIFS(BD!$A$3:$A$5001,P$3,BD!$B$3:$B$5001,$A$131,BD!$C$3:$C$5001,"&lt;&gt;")=0,"",SUMIFS(BD!$C$3:$C$5001,BD!$A$3:$A$5001,P$3,BD!$B$3:$B$5001,$A$131)))</f>
        <v/>
      </c>
      <c r="Q131" s="142" t="str">
        <f>IF(Q$3="","",IF(COUNTIFS(BD!$A$3:$A$5001,Q$3,BD!$B$3:$B$5001,$A$131,BD!$C$3:$C$5001,"&lt;&gt;")=0,"",SUMIFS(BD!$C$3:$C$5001,BD!$A$3:$A$5001,Q$3,BD!$B$3:$B$5001,$A$131)))</f>
        <v/>
      </c>
      <c r="R131" s="142" t="str">
        <f>IF(R$3="","",IF(COUNTIFS(BD!$A$3:$A$5001,R$3,BD!$B$3:$B$5001,$A$131,BD!$C$3:$C$5001,"&lt;&gt;")=0,"",SUMIFS(BD!$C$3:$C$5001,BD!$A$3:$A$5001,R$3,BD!$B$3:$B$5001,$A$131)))</f>
        <v/>
      </c>
      <c r="S131" s="142" t="str">
        <f>IF(S$3="","",IF(COUNTIFS(BD!$A$3:$A$5001,S$3,BD!$B$3:$B$5001,$A$131,BD!$C$3:$C$5001,"&lt;&gt;")=0,"",SUMIFS(BD!$C$3:$C$5001,BD!$A$3:$A$5001,S$3,BD!$B$3:$B$5001,$A$131)))</f>
        <v/>
      </c>
      <c r="T131" s="142" t="str">
        <f>IF(T$3="","",IF(COUNTIFS(BD!$A$3:$A$5001,T$3,BD!$B$3:$B$5001,$A$131,BD!$C$3:$C$5001,"&lt;&gt;")=0,"",SUMIFS(BD!$C$3:$C$5001,BD!$A$3:$A$5001,T$3,BD!$B$3:$B$5001,$A$131)))</f>
        <v/>
      </c>
      <c r="U131" s="142" t="str">
        <f>IF(U$3="","",IF(COUNTIFS(BD!$A$3:$A$5001,U$3,BD!$B$3:$B$5001,$A$131,BD!$C$3:$C$5001,"&lt;&gt;")=0,"",SUMIFS(BD!$C$3:$C$5001,BD!$A$3:$A$5001,U$3,BD!$B$3:$B$5001,$A$131)))</f>
        <v/>
      </c>
      <c r="V131" s="142" t="str">
        <f>IF(V$3="","",IF(COUNTIFS(BD!$A$3:$A$5001,V$3,BD!$B$3:$B$5001,$A$131,BD!$C$3:$C$5001,"&lt;&gt;")=0,"",SUMIFS(BD!$C$3:$C$5001,BD!$A$3:$A$5001,V$3,BD!$B$3:$B$5001,$A$131)))</f>
        <v/>
      </c>
      <c r="W131" s="142" t="str">
        <f>IF(W$3="","",IF(COUNTIFS(BD!$A$3:$A$5001,W$3,BD!$B$3:$B$5001,$A$131,BD!$C$3:$C$5001,"&lt;&gt;")=0,"",SUMIFS(BD!$C$3:$C$5001,BD!$A$3:$A$5001,W$3,BD!$B$3:$B$5001,$A$131)))</f>
        <v/>
      </c>
      <c r="X131" s="142" t="str">
        <f>IF(X$3="","",IF(COUNTIFS(BD!$A$3:$A$5001,X$3,BD!$B$3:$B$5001,$A$131,BD!$C$3:$C$5001,"&lt;&gt;")=0,"",SUMIFS(BD!$C$3:$C$5001,BD!$A$3:$A$5001,X$3,BD!$B$3:$B$5001,$A$131)))</f>
        <v/>
      </c>
      <c r="Y131" s="142" t="str">
        <f>IF(Y$3="","",IF(COUNTIFS(BD!$A$3:$A$5001,Y$3,BD!$B$3:$B$5001,$A$131,BD!$C$3:$C$5001,"&lt;&gt;")=0,"",SUMIFS(BD!$C$3:$C$5001,BD!$A$3:$A$5001,Y$3,BD!$B$3:$B$5001,$A$131)))</f>
        <v/>
      </c>
      <c r="Z131" s="142" t="str">
        <f>IF(Z$3="","",IF(COUNTIFS(BD!$A$3:$A$5001,Z$3,BD!$B$3:$B$5001,$A$131,BD!$C$3:$C$5001,"&lt;&gt;")=0,"",SUMIFS(BD!$C$3:$C$5001,BD!$A$3:$A$5001,Z$3,BD!$B$3:$B$5001,$A$131)))</f>
        <v/>
      </c>
      <c r="AA131" s="142" t="str">
        <f>IF(AA$3="","",IF(COUNTIFS(BD!$A$3:$A$5001,AA$3,BD!$B$3:$B$5001,$A$131,BD!$C$3:$C$5001,"&lt;&gt;")=0,"",SUMIFS(BD!$C$3:$C$5001,BD!$A$3:$A$5001,AA$3,BD!$B$3:$B$5001,$A$131)))</f>
        <v/>
      </c>
      <c r="AB131" s="142" t="str">
        <f>IF(AB$3="","",IF(COUNTIFS(BD!$A$3:$A$5001,AB$3,BD!$B$3:$B$5001,$A$131,BD!$C$3:$C$5001,"&lt;&gt;")=0,"",SUMIFS(BD!$C$3:$C$5001,BD!$A$3:$A$5001,AB$3,BD!$B$3:$B$5001,$A$131)))</f>
        <v/>
      </c>
      <c r="AC131" s="142" t="str">
        <f>IF(AC$3="","",IF(COUNTIFS(BD!$A$3:$A$5001,AC$3,BD!$B$3:$B$5001,$A$131,BD!$C$3:$C$5001,"&lt;&gt;")=0,"",SUMIFS(BD!$C$3:$C$5001,BD!$A$3:$A$5001,AC$3,BD!$B$3:$B$5001,$A$131)))</f>
        <v/>
      </c>
      <c r="AD131" s="142" t="str">
        <f>IF(AD$3="","",IF(COUNTIFS(BD!$A$3:$A$5001,AD$3,BD!$B$3:$B$5001,$A$131,BD!$C$3:$C$5001,"&lt;&gt;")=0,"",SUMIFS(BD!$C$3:$C$5001,BD!$A$3:$A$5001,AD$3,BD!$B$3:$B$5001,$A$131)))</f>
        <v/>
      </c>
      <c r="AE131" s="142" t="str">
        <f>IF(AE$3="","",IF(COUNTIFS(BD!$A$3:$A$5001,AE$3,BD!$B$3:$B$5001,$A$131,BD!$C$3:$C$5001,"&lt;&gt;")=0,"",SUMIFS(BD!$C$3:$C$5001,BD!$A$3:$A$5001,AE$3,BD!$B$3:$B$5001,$A$131)))</f>
        <v/>
      </c>
      <c r="AF131" s="142" t="str">
        <f>IF(AF$3="","",IF(COUNTIFS(BD!$A$3:$A$5001,AF$3,BD!$B$3:$B$5001,$A$131,BD!$C$3:$C$5001,"&lt;&gt;")=0,"",SUMIFS(BD!$C$3:$C$5001,BD!$A$3:$A$5001,AF$3,BD!$B$3:$B$5001,$A$131)))</f>
        <v/>
      </c>
      <c r="AG131" s="142" t="str">
        <f>IF(AG$3="","",IF(COUNTIFS(BD!$A$3:$A$5001,AG$3,BD!$B$3:$B$5001,$A$131,BD!$C$3:$C$5001,"&lt;&gt;")=0,"",SUMIFS(BD!$C$3:$C$5001,BD!$A$3:$A$5001,AG$3,BD!$B$3:$B$5001,$A$131)))</f>
        <v/>
      </c>
      <c r="AH131" s="142" t="str">
        <f>IF(AH$3="","",IF(COUNTIFS(BD!$A$3:$A$5001,AH$3,BD!$B$3:$B$5001,$A$131,BD!$C$3:$C$5001,"&lt;&gt;")=0,"",SUMIFS(BD!$C$3:$C$5001,BD!$A$3:$A$5001,AH$3,BD!$B$3:$B$5001,$A$131)))</f>
        <v/>
      </c>
      <c r="AI131" s="142" t="str">
        <f>IF(AI$3="","",IF(COUNTIFS(BD!$A$3:$A$5001,AI$3,BD!$B$3:$B$5001,$A$131,BD!$C$3:$C$5001,"&lt;&gt;")=0,"",SUMIFS(BD!$C$3:$C$5001,BD!$A$3:$A$5001,AI$3,BD!$B$3:$B$5001,$A$131)))</f>
        <v/>
      </c>
      <c r="AJ131" s="143" t="str">
        <f>IF(AJ$3="","",IF(COUNTIFS(BD!$A$3:$A$5001,AJ$3,BD!$B$3:$B$5001,$A$131,BD!$C$3:$C$5001,"&lt;&gt;")=0,"",SUMIFS(BD!$C$3:$C$5001,BD!$A$3:$A$5001,AJ$3,BD!$B$3:$B$5001,$A$131)))</f>
        <v/>
      </c>
      <c r="AK131" s="144" t="str">
        <f>IF(COUNT(F131:AJ131)=0,"",SUM(F131:AJ131))</f>
        <v/>
      </c>
    </row>
    <row r="132" ht="15.75" customHeight="1">
      <c r="A132" s="227"/>
      <c r="B132" s="222"/>
      <c r="C132" s="184" t="inlineStr">
        <is>
          <t xml:space="preserve">Pallets Movimentados</t>
        </is>
      </c>
      <c r="D132" s="185" t="str">
        <f>IFERROR(1/(1/INDEX(BD!$AK$24:$AT$24,MATCH($A$131,BD!$AK$22:$AT$22,0))),"")</f>
        <v/>
      </c>
      <c r="E132" s="186"/>
      <c r="F132" s="187" t="str">
        <f>IF(F$3="","",IF(COUNTIFS(BD!$A$3:$A$5001,F$3,BD!$B$3:$B$5001,$A$131,BD!$D$3:$D$5001,"&lt;&gt;")=0,"",SUMIFS(BD!$D$3:$D$5001,BD!$A$3:$A$5001,F$3,BD!$B$3:$B$5001,$A$131)))</f>
        <v/>
      </c>
      <c r="G132" s="188" t="str">
        <f>IF(G$3="","",IF(COUNTIFS(BD!$A$3:$A$5001,G$3,BD!$B$3:$B$5001,$A$131,BD!$D$3:$D$5001,"&lt;&gt;")=0,"",SUMIFS(BD!$D$3:$D$5001,BD!$A$3:$A$5001,G$3,BD!$B$3:$B$5001,$A$131)))</f>
        <v/>
      </c>
      <c r="H132" s="188" t="str">
        <f>IF(H$3="","",IF(COUNTIFS(BD!$A$3:$A$5001,H$3,BD!$B$3:$B$5001,$A$131,BD!$D$3:$D$5001,"&lt;&gt;")=0,"",SUMIFS(BD!$D$3:$D$5001,BD!$A$3:$A$5001,H$3,BD!$B$3:$B$5001,$A$131)))</f>
        <v/>
      </c>
      <c r="I132" s="188" t="str">
        <f>IF(I$3="","",IF(COUNTIFS(BD!$A$3:$A$5001,I$3,BD!$B$3:$B$5001,$A$131,BD!$D$3:$D$5001,"&lt;&gt;")=0,"",SUMIFS(BD!$D$3:$D$5001,BD!$A$3:$A$5001,I$3,BD!$B$3:$B$5001,$A$131)))</f>
        <v/>
      </c>
      <c r="J132" s="188" t="str">
        <f>IF(J$3="","",IF(COUNTIFS(BD!$A$3:$A$5001,J$3,BD!$B$3:$B$5001,$A$131,BD!$D$3:$D$5001,"&lt;&gt;")=0,"",SUMIFS(BD!$D$3:$D$5001,BD!$A$3:$A$5001,J$3,BD!$B$3:$B$5001,$A$131)))</f>
        <v/>
      </c>
      <c r="K132" s="188" t="str">
        <f>IF(K$3="","",IF(COUNTIFS(BD!$A$3:$A$5001,K$3,BD!$B$3:$B$5001,$A$131,BD!$D$3:$D$5001,"&lt;&gt;")=0,"",SUMIFS(BD!$D$3:$D$5001,BD!$A$3:$A$5001,K$3,BD!$B$3:$B$5001,$A$131)))</f>
        <v/>
      </c>
      <c r="L132" s="188" t="str">
        <f>IF(L$3="","",IF(COUNTIFS(BD!$A$3:$A$5001,L$3,BD!$B$3:$B$5001,$A$131,BD!$D$3:$D$5001,"&lt;&gt;")=0,"",SUMIFS(BD!$D$3:$D$5001,BD!$A$3:$A$5001,L$3,BD!$B$3:$B$5001,$A$131)))</f>
        <v/>
      </c>
      <c r="M132" s="188" t="str">
        <f>IF(M$3="","",IF(COUNTIFS(BD!$A$3:$A$5001,M$3,BD!$B$3:$B$5001,$A$131,BD!$D$3:$D$5001,"&lt;&gt;")=0,"",SUMIFS(BD!$D$3:$D$5001,BD!$A$3:$A$5001,M$3,BD!$B$3:$B$5001,$A$131)))</f>
        <v/>
      </c>
      <c r="N132" s="188" t="str">
        <f>IF(N$3="","",IF(COUNTIFS(BD!$A$3:$A$5001,N$3,BD!$B$3:$B$5001,$A$131,BD!$D$3:$D$5001,"&lt;&gt;")=0,"",SUMIFS(BD!$D$3:$D$5001,BD!$A$3:$A$5001,N$3,BD!$B$3:$B$5001,$A$131)))</f>
        <v/>
      </c>
      <c r="O132" s="188" t="str">
        <f>IF(O$3="","",IF(COUNTIFS(BD!$A$3:$A$5001,O$3,BD!$B$3:$B$5001,$A$131,BD!$D$3:$D$5001,"&lt;&gt;")=0,"",SUMIFS(BD!$D$3:$D$5001,BD!$A$3:$A$5001,O$3,BD!$B$3:$B$5001,$A$131)))</f>
        <v/>
      </c>
      <c r="P132" s="188" t="str">
        <f>IF(P$3="","",IF(COUNTIFS(BD!$A$3:$A$5001,P$3,BD!$B$3:$B$5001,$A$131,BD!$D$3:$D$5001,"&lt;&gt;")=0,"",SUMIFS(BD!$D$3:$D$5001,BD!$A$3:$A$5001,P$3,BD!$B$3:$B$5001,$A$131)))</f>
        <v/>
      </c>
      <c r="Q132" s="188" t="str">
        <f>IF(Q$3="","",IF(COUNTIFS(BD!$A$3:$A$5001,Q$3,BD!$B$3:$B$5001,$A$131,BD!$D$3:$D$5001,"&lt;&gt;")=0,"",SUMIFS(BD!$D$3:$D$5001,BD!$A$3:$A$5001,Q$3,BD!$B$3:$B$5001,$A$131)))</f>
        <v/>
      </c>
      <c r="R132" s="188" t="str">
        <f>IF(R$3="","",IF(COUNTIFS(BD!$A$3:$A$5001,R$3,BD!$B$3:$B$5001,$A$131,BD!$D$3:$D$5001,"&lt;&gt;")=0,"",SUMIFS(BD!$D$3:$D$5001,BD!$A$3:$A$5001,R$3,BD!$B$3:$B$5001,$A$131)))</f>
        <v/>
      </c>
      <c r="S132" s="188" t="str">
        <f>IF(S$3="","",IF(COUNTIFS(BD!$A$3:$A$5001,S$3,BD!$B$3:$B$5001,$A$131,BD!$D$3:$D$5001,"&lt;&gt;")=0,"",SUMIFS(BD!$D$3:$D$5001,BD!$A$3:$A$5001,S$3,BD!$B$3:$B$5001,$A$131)))</f>
        <v/>
      </c>
      <c r="T132" s="188" t="str">
        <f>IF(T$3="","",IF(COUNTIFS(BD!$A$3:$A$5001,T$3,BD!$B$3:$B$5001,$A$131,BD!$D$3:$D$5001,"&lt;&gt;")=0,"",SUMIFS(BD!$D$3:$D$5001,BD!$A$3:$A$5001,T$3,BD!$B$3:$B$5001,$A$131)))</f>
        <v/>
      </c>
      <c r="U132" s="188" t="str">
        <f>IF(U$3="","",IF(COUNTIFS(BD!$A$3:$A$5001,U$3,BD!$B$3:$B$5001,$A$131,BD!$D$3:$D$5001,"&lt;&gt;")=0,"",SUMIFS(BD!$D$3:$D$5001,BD!$A$3:$A$5001,U$3,BD!$B$3:$B$5001,$A$131)))</f>
        <v/>
      </c>
      <c r="V132" s="188" t="str">
        <f>IF(V$3="","",IF(COUNTIFS(BD!$A$3:$A$5001,V$3,BD!$B$3:$B$5001,$A$131,BD!$D$3:$D$5001,"&lt;&gt;")=0,"",SUMIFS(BD!$D$3:$D$5001,BD!$A$3:$A$5001,V$3,BD!$B$3:$B$5001,$A$131)))</f>
        <v/>
      </c>
      <c r="W132" s="188" t="str">
        <f>IF(W$3="","",IF(COUNTIFS(BD!$A$3:$A$5001,W$3,BD!$B$3:$B$5001,$A$131,BD!$D$3:$D$5001,"&lt;&gt;")=0,"",SUMIFS(BD!$D$3:$D$5001,BD!$A$3:$A$5001,W$3,BD!$B$3:$B$5001,$A$131)))</f>
        <v/>
      </c>
      <c r="X132" s="188" t="str">
        <f>IF(X$3="","",IF(COUNTIFS(BD!$A$3:$A$5001,X$3,BD!$B$3:$B$5001,$A$131,BD!$D$3:$D$5001,"&lt;&gt;")=0,"",SUMIFS(BD!$D$3:$D$5001,BD!$A$3:$A$5001,X$3,BD!$B$3:$B$5001,$A$131)))</f>
        <v/>
      </c>
      <c r="Y132" s="188" t="str">
        <f>IF(Y$3="","",IF(COUNTIFS(BD!$A$3:$A$5001,Y$3,BD!$B$3:$B$5001,$A$131,BD!$D$3:$D$5001,"&lt;&gt;")=0,"",SUMIFS(BD!$D$3:$D$5001,BD!$A$3:$A$5001,Y$3,BD!$B$3:$B$5001,$A$131)))</f>
        <v/>
      </c>
      <c r="Z132" s="188" t="str">
        <f>IF(Z$3="","",IF(COUNTIFS(BD!$A$3:$A$5001,Z$3,BD!$B$3:$B$5001,$A$131,BD!$D$3:$D$5001,"&lt;&gt;")=0,"",SUMIFS(BD!$D$3:$D$5001,BD!$A$3:$A$5001,Z$3,BD!$B$3:$B$5001,$A$131)))</f>
        <v/>
      </c>
      <c r="AA132" s="188" t="str">
        <f>IF(AA$3="","",IF(COUNTIFS(BD!$A$3:$A$5001,AA$3,BD!$B$3:$B$5001,$A$131,BD!$D$3:$D$5001,"&lt;&gt;")=0,"",SUMIFS(BD!$D$3:$D$5001,BD!$A$3:$A$5001,AA$3,BD!$B$3:$B$5001,$A$131)))</f>
        <v/>
      </c>
      <c r="AB132" s="188" t="str">
        <f>IF(AB$3="","",IF(COUNTIFS(BD!$A$3:$A$5001,AB$3,BD!$B$3:$B$5001,$A$131,BD!$D$3:$D$5001,"&lt;&gt;")=0,"",SUMIFS(BD!$D$3:$D$5001,BD!$A$3:$A$5001,AB$3,BD!$B$3:$B$5001,$A$131)))</f>
        <v/>
      </c>
      <c r="AC132" s="188" t="str">
        <f>IF(AC$3="","",IF(COUNTIFS(BD!$A$3:$A$5001,AC$3,BD!$B$3:$B$5001,$A$131,BD!$D$3:$D$5001,"&lt;&gt;")=0,"",SUMIFS(BD!$D$3:$D$5001,BD!$A$3:$A$5001,AC$3,BD!$B$3:$B$5001,$A$131)))</f>
        <v/>
      </c>
      <c r="AD132" s="188" t="str">
        <f>IF(AD$3="","",IF(COUNTIFS(BD!$A$3:$A$5001,AD$3,BD!$B$3:$B$5001,$A$131,BD!$D$3:$D$5001,"&lt;&gt;")=0,"",SUMIFS(BD!$D$3:$D$5001,BD!$A$3:$A$5001,AD$3,BD!$B$3:$B$5001,$A$131)))</f>
        <v/>
      </c>
      <c r="AE132" s="188" t="str">
        <f>IF(AE$3="","",IF(COUNTIFS(BD!$A$3:$A$5001,AE$3,BD!$B$3:$B$5001,$A$131,BD!$D$3:$D$5001,"&lt;&gt;")=0,"",SUMIFS(BD!$D$3:$D$5001,BD!$A$3:$A$5001,AE$3,BD!$B$3:$B$5001,$A$131)))</f>
        <v/>
      </c>
      <c r="AF132" s="188" t="str">
        <f>IF(AF$3="","",IF(COUNTIFS(BD!$A$3:$A$5001,AF$3,BD!$B$3:$B$5001,$A$131,BD!$D$3:$D$5001,"&lt;&gt;")=0,"",SUMIFS(BD!$D$3:$D$5001,BD!$A$3:$A$5001,AF$3,BD!$B$3:$B$5001,$A$131)))</f>
        <v/>
      </c>
      <c r="AG132" s="188" t="str">
        <f>IF(AG$3="","",IF(COUNTIFS(BD!$A$3:$A$5001,AG$3,BD!$B$3:$B$5001,$A$131,BD!$D$3:$D$5001,"&lt;&gt;")=0,"",SUMIFS(BD!$D$3:$D$5001,BD!$A$3:$A$5001,AG$3,BD!$B$3:$B$5001,$A$131)))</f>
        <v/>
      </c>
      <c r="AH132" s="188" t="str">
        <f>IF(AH$3="","",IF(COUNTIFS(BD!$A$3:$A$5001,AH$3,BD!$B$3:$B$5001,$A$131,BD!$D$3:$D$5001,"&lt;&gt;")=0,"",SUMIFS(BD!$D$3:$D$5001,BD!$A$3:$A$5001,AH$3,BD!$B$3:$B$5001,$A$131)))</f>
        <v/>
      </c>
      <c r="AI132" s="188" t="str">
        <f>IF(AI$3="","",IF(COUNTIFS(BD!$A$3:$A$5001,AI$3,BD!$B$3:$B$5001,$A$131,BD!$D$3:$D$5001,"&lt;&gt;")=0,"",SUMIFS(BD!$D$3:$D$5001,BD!$A$3:$A$5001,AI$3,BD!$B$3:$B$5001,$A$131)))</f>
        <v/>
      </c>
      <c r="AJ132" s="189" t="str">
        <f>IF(AJ$3="","",IF(COUNTIFS(BD!$A$3:$A$5001,AJ$3,BD!$B$3:$B$5001,$A$131,BD!$D$3:$D$5001,"&lt;&gt;")=0,"",SUMIFS(BD!$D$3:$D$5001,BD!$A$3:$A$5001,AJ$3,BD!$B$3:$B$5001,$A$131)))</f>
        <v/>
      </c>
      <c r="AK132" s="190" t="str">
        <f>IF(COUNT(F132:AJ132)=0,"",SUM(F132:AJ132))</f>
        <v/>
      </c>
    </row>
    <row r="133" ht="15.75" customHeight="1">
      <c r="A133" s="227"/>
      <c r="B133" s="216"/>
      <c r="C133" s="145" t="inlineStr">
        <is>
          <t xml:space="preserve">Toneladas Movimentadas</t>
        </is>
      </c>
      <c r="D133" s="146" t="str">
        <f>IFERROR(1/(1/INDEX(BD!$AK$25:$AT$25,MATCH($A$131,BD!$AK$22:$AT$22,0))),"")</f>
        <v/>
      </c>
      <c r="E133" s="147"/>
      <c r="F133" s="229" t="str">
        <f>IF(F$3="","",IF(COUNTIFS(BD!$A$3:$A$5001,F$3,BD!$B$3:$B$5001,$A$131,BD!$E$3:$E$5001,"&lt;&gt;")=0,"",SUMIFS(BD!$E$3:$E$5001,BD!$A$3:$A$5001,F$3,BD!$B$3:$B$5001,$A$131)))</f>
        <v/>
      </c>
      <c r="G133" s="230" t="str">
        <f>IF(G$3="","",IF(COUNTIFS(BD!$A$3:$A$5001,G$3,BD!$B$3:$B$5001,$A$131,BD!$E$3:$E$5001,"&lt;&gt;")=0,"",SUMIFS(BD!$E$3:$E$5001,BD!$A$3:$A$5001,G$3,BD!$B$3:$B$5001,$A$131)))</f>
        <v/>
      </c>
      <c r="H133" s="230" t="str">
        <f>IF(H$3="","",IF(COUNTIFS(BD!$A$3:$A$5001,H$3,BD!$B$3:$B$5001,$A$131,BD!$E$3:$E$5001,"&lt;&gt;")=0,"",SUMIFS(BD!$E$3:$E$5001,BD!$A$3:$A$5001,H$3,BD!$B$3:$B$5001,$A$131)))</f>
        <v/>
      </c>
      <c r="I133" s="230" t="str">
        <f>IF(I$3="","",IF(COUNTIFS(BD!$A$3:$A$5001,I$3,BD!$B$3:$B$5001,$A$131,BD!$E$3:$E$5001,"&lt;&gt;")=0,"",SUMIFS(BD!$E$3:$E$5001,BD!$A$3:$A$5001,I$3,BD!$B$3:$B$5001,$A$131)))</f>
        <v/>
      </c>
      <c r="J133" s="230" t="str">
        <f>IF(J$3="","",IF(COUNTIFS(BD!$A$3:$A$5001,J$3,BD!$B$3:$B$5001,$A$131,BD!$E$3:$E$5001,"&lt;&gt;")=0,"",SUMIFS(BD!$E$3:$E$5001,BD!$A$3:$A$5001,J$3,BD!$B$3:$B$5001,$A$131)))</f>
        <v/>
      </c>
      <c r="K133" s="230" t="str">
        <f>IF(K$3="","",IF(COUNTIFS(BD!$A$3:$A$5001,K$3,BD!$B$3:$B$5001,$A$131,BD!$E$3:$E$5001,"&lt;&gt;")=0,"",SUMIFS(BD!$E$3:$E$5001,BD!$A$3:$A$5001,K$3,BD!$B$3:$B$5001,$A$131)))</f>
        <v/>
      </c>
      <c r="L133" s="230" t="str">
        <f>IF(L$3="","",IF(COUNTIFS(BD!$A$3:$A$5001,L$3,BD!$B$3:$B$5001,$A$131,BD!$E$3:$E$5001,"&lt;&gt;")=0,"",SUMIFS(BD!$E$3:$E$5001,BD!$A$3:$A$5001,L$3,BD!$B$3:$B$5001,$A$131)))</f>
        <v/>
      </c>
      <c r="M133" s="230" t="str">
        <f>IF(M$3="","",IF(COUNTIFS(BD!$A$3:$A$5001,M$3,BD!$B$3:$B$5001,$A$131,BD!$E$3:$E$5001,"&lt;&gt;")=0,"",SUMIFS(BD!$E$3:$E$5001,BD!$A$3:$A$5001,M$3,BD!$B$3:$B$5001,$A$131)))</f>
        <v/>
      </c>
      <c r="N133" s="230" t="str">
        <f>IF(N$3="","",IF(COUNTIFS(BD!$A$3:$A$5001,N$3,BD!$B$3:$B$5001,$A$131,BD!$E$3:$E$5001,"&lt;&gt;")=0,"",SUMIFS(BD!$E$3:$E$5001,BD!$A$3:$A$5001,N$3,BD!$B$3:$B$5001,$A$131)))</f>
        <v/>
      </c>
      <c r="O133" s="230" t="str">
        <f>IF(O$3="","",IF(COUNTIFS(BD!$A$3:$A$5001,O$3,BD!$B$3:$B$5001,$A$131,BD!$E$3:$E$5001,"&lt;&gt;")=0,"",SUMIFS(BD!$E$3:$E$5001,BD!$A$3:$A$5001,O$3,BD!$B$3:$B$5001,$A$131)))</f>
        <v/>
      </c>
      <c r="P133" s="230" t="str">
        <f>IF(P$3="","",IF(COUNTIFS(BD!$A$3:$A$5001,P$3,BD!$B$3:$B$5001,$A$131,BD!$E$3:$E$5001,"&lt;&gt;")=0,"",SUMIFS(BD!$E$3:$E$5001,BD!$A$3:$A$5001,P$3,BD!$B$3:$B$5001,$A$131)))</f>
        <v/>
      </c>
      <c r="Q133" s="230" t="str">
        <f>IF(Q$3="","",IF(COUNTIFS(BD!$A$3:$A$5001,Q$3,BD!$B$3:$B$5001,$A$131,BD!$E$3:$E$5001,"&lt;&gt;")=0,"",SUMIFS(BD!$E$3:$E$5001,BD!$A$3:$A$5001,Q$3,BD!$B$3:$B$5001,$A$131)))</f>
        <v/>
      </c>
      <c r="R133" s="230" t="str">
        <f>IF(R$3="","",IF(COUNTIFS(BD!$A$3:$A$5001,R$3,BD!$B$3:$B$5001,$A$131,BD!$E$3:$E$5001,"&lt;&gt;")=0,"",SUMIFS(BD!$E$3:$E$5001,BD!$A$3:$A$5001,R$3,BD!$B$3:$B$5001,$A$131)))</f>
        <v/>
      </c>
      <c r="S133" s="230" t="str">
        <f>IF(S$3="","",IF(COUNTIFS(BD!$A$3:$A$5001,S$3,BD!$B$3:$B$5001,$A$131,BD!$E$3:$E$5001,"&lt;&gt;")=0,"",SUMIFS(BD!$E$3:$E$5001,BD!$A$3:$A$5001,S$3,BD!$B$3:$B$5001,$A$131)))</f>
        <v/>
      </c>
      <c r="T133" s="230" t="str">
        <f>IF(T$3="","",IF(COUNTIFS(BD!$A$3:$A$5001,T$3,BD!$B$3:$B$5001,$A$131,BD!$E$3:$E$5001,"&lt;&gt;")=0,"",SUMIFS(BD!$E$3:$E$5001,BD!$A$3:$A$5001,T$3,BD!$B$3:$B$5001,$A$131)))</f>
        <v/>
      </c>
      <c r="U133" s="230" t="str">
        <f>IF(U$3="","",IF(COUNTIFS(BD!$A$3:$A$5001,U$3,BD!$B$3:$B$5001,$A$131,BD!$E$3:$E$5001,"&lt;&gt;")=0,"",SUMIFS(BD!$E$3:$E$5001,BD!$A$3:$A$5001,U$3,BD!$B$3:$B$5001,$A$131)))</f>
        <v/>
      </c>
      <c r="V133" s="230" t="str">
        <f>IF(V$3="","",IF(COUNTIFS(BD!$A$3:$A$5001,V$3,BD!$B$3:$B$5001,$A$131,BD!$E$3:$E$5001,"&lt;&gt;")=0,"",SUMIFS(BD!$E$3:$E$5001,BD!$A$3:$A$5001,V$3,BD!$B$3:$B$5001,$A$131)))</f>
        <v/>
      </c>
      <c r="W133" s="230" t="str">
        <f>IF(W$3="","",IF(COUNTIFS(BD!$A$3:$A$5001,W$3,BD!$B$3:$B$5001,$A$131,BD!$E$3:$E$5001,"&lt;&gt;")=0,"",SUMIFS(BD!$E$3:$E$5001,BD!$A$3:$A$5001,W$3,BD!$B$3:$B$5001,$A$131)))</f>
        <v/>
      </c>
      <c r="X133" s="230" t="str">
        <f>IF(X$3="","",IF(COUNTIFS(BD!$A$3:$A$5001,X$3,BD!$B$3:$B$5001,$A$131,BD!$E$3:$E$5001,"&lt;&gt;")=0,"",SUMIFS(BD!$E$3:$E$5001,BD!$A$3:$A$5001,X$3,BD!$B$3:$B$5001,$A$131)))</f>
        <v/>
      </c>
      <c r="Y133" s="230" t="str">
        <f>IF(Y$3="","",IF(COUNTIFS(BD!$A$3:$A$5001,Y$3,BD!$B$3:$B$5001,$A$131,BD!$E$3:$E$5001,"&lt;&gt;")=0,"",SUMIFS(BD!$E$3:$E$5001,BD!$A$3:$A$5001,Y$3,BD!$B$3:$B$5001,$A$131)))</f>
        <v/>
      </c>
      <c r="Z133" s="230" t="str">
        <f>IF(Z$3="","",IF(COUNTIFS(BD!$A$3:$A$5001,Z$3,BD!$B$3:$B$5001,$A$131,BD!$E$3:$E$5001,"&lt;&gt;")=0,"",SUMIFS(BD!$E$3:$E$5001,BD!$A$3:$A$5001,Z$3,BD!$B$3:$B$5001,$A$131)))</f>
        <v/>
      </c>
      <c r="AA133" s="230" t="str">
        <f>IF(AA$3="","",IF(COUNTIFS(BD!$A$3:$A$5001,AA$3,BD!$B$3:$B$5001,$A$131,BD!$E$3:$E$5001,"&lt;&gt;")=0,"",SUMIFS(BD!$E$3:$E$5001,BD!$A$3:$A$5001,AA$3,BD!$B$3:$B$5001,$A$131)))</f>
        <v/>
      </c>
      <c r="AB133" s="230" t="str">
        <f>IF(AB$3="","",IF(COUNTIFS(BD!$A$3:$A$5001,AB$3,BD!$B$3:$B$5001,$A$131,BD!$E$3:$E$5001,"&lt;&gt;")=0,"",SUMIFS(BD!$E$3:$E$5001,BD!$A$3:$A$5001,AB$3,BD!$B$3:$B$5001,$A$131)))</f>
        <v/>
      </c>
      <c r="AC133" s="230" t="str">
        <f>IF(AC$3="","",IF(COUNTIFS(BD!$A$3:$A$5001,AC$3,BD!$B$3:$B$5001,$A$131,BD!$E$3:$E$5001,"&lt;&gt;")=0,"",SUMIFS(BD!$E$3:$E$5001,BD!$A$3:$A$5001,AC$3,BD!$B$3:$B$5001,$A$131)))</f>
        <v/>
      </c>
      <c r="AD133" s="230" t="str">
        <f>IF(AD$3="","",IF(COUNTIFS(BD!$A$3:$A$5001,AD$3,BD!$B$3:$B$5001,$A$131,BD!$E$3:$E$5001,"&lt;&gt;")=0,"",SUMIFS(BD!$E$3:$E$5001,BD!$A$3:$A$5001,AD$3,BD!$B$3:$B$5001,$A$131)))</f>
        <v/>
      </c>
      <c r="AE133" s="230" t="str">
        <f>IF(AE$3="","",IF(COUNTIFS(BD!$A$3:$A$5001,AE$3,BD!$B$3:$B$5001,$A$131,BD!$E$3:$E$5001,"&lt;&gt;")=0,"",SUMIFS(BD!$E$3:$E$5001,BD!$A$3:$A$5001,AE$3,BD!$B$3:$B$5001,$A$131)))</f>
        <v/>
      </c>
      <c r="AF133" s="230" t="str">
        <f>IF(AF$3="","",IF(COUNTIFS(BD!$A$3:$A$5001,AF$3,BD!$B$3:$B$5001,$A$131,BD!$E$3:$E$5001,"&lt;&gt;")=0,"",SUMIFS(BD!$E$3:$E$5001,BD!$A$3:$A$5001,AF$3,BD!$B$3:$B$5001,$A$131)))</f>
        <v/>
      </c>
      <c r="AG133" s="230" t="str">
        <f>IF(AG$3="","",IF(COUNTIFS(BD!$A$3:$A$5001,AG$3,BD!$B$3:$B$5001,$A$131,BD!$E$3:$E$5001,"&lt;&gt;")=0,"",SUMIFS(BD!$E$3:$E$5001,BD!$A$3:$A$5001,AG$3,BD!$B$3:$B$5001,$A$131)))</f>
        <v/>
      </c>
      <c r="AH133" s="230" t="str">
        <f>IF(AH$3="","",IF(COUNTIFS(BD!$A$3:$A$5001,AH$3,BD!$B$3:$B$5001,$A$131,BD!$E$3:$E$5001,"&lt;&gt;")=0,"",SUMIFS(BD!$E$3:$E$5001,BD!$A$3:$A$5001,AH$3,BD!$B$3:$B$5001,$A$131)))</f>
        <v/>
      </c>
      <c r="AI133" s="230" t="str">
        <f>IF(AI$3="","",IF(COUNTIFS(BD!$A$3:$A$5001,AI$3,BD!$B$3:$B$5001,$A$131,BD!$E$3:$E$5001,"&lt;&gt;")=0,"",SUMIFS(BD!$E$3:$E$5001,BD!$A$3:$A$5001,AI$3,BD!$B$3:$B$5001,$A$131)))</f>
        <v/>
      </c>
      <c r="AJ133" s="231" t="str">
        <f>IF(AJ$3="","",IF(COUNTIFS(BD!$A$3:$A$5001,AJ$3,BD!$B$3:$B$5001,$A$131,BD!$E$3:$E$5001,"&lt;&gt;")=0,"",SUMIFS(BD!$E$3:$E$5001,BD!$A$3:$A$5001,AJ$3,BD!$B$3:$B$5001,$A$131)))</f>
        <v/>
      </c>
      <c r="AK133" s="232" t="str">
        <f>IF(COUNT(F133:AJ133)=0,"",SUM(F133:AJ133))</f>
        <v/>
      </c>
    </row>
    <row r="134" ht="15.75" customHeight="1">
      <c r="A134" s="227"/>
      <c r="B134" s="217" t="inlineStr">
        <is>
          <t xml:space="preserve">OUT</t>
        </is>
      </c>
      <c r="C134" s="151" t="inlineStr">
        <is>
          <t xml:space="preserve">Veículos Expedidos</t>
        </is>
      </c>
      <c r="D134" s="152" t="str">
        <f>IFERROR(1/(1/INDEX(BD!$AK$32:$AT$32,MATCH($A$131,BD!$AK$22:$AT$22,0))),"")</f>
        <v/>
      </c>
      <c r="E134" s="153"/>
      <c r="F134" s="154" t="str">
        <f>IF(F$3="","",IF(COUNTIFS(BD!$A$3:$A$5001,F$3,BD!$B$3:$B$5001,$A$131,BD!$L$3:$L$5001,"&lt;&gt;")=0,"",SUMIFS(BD!$L$3:$L$5001,BD!$A$3:$A$5001,F$3,BD!$B$3:$B$5001,$A$131)))</f>
        <v/>
      </c>
      <c r="G134" s="155" t="str">
        <f>IF(G$3="","",IF(COUNTIFS(BD!$A$3:$A$5001,G$3,BD!$B$3:$B$5001,$A$131,BD!$L$3:$L$5001,"&lt;&gt;")=0,"",SUMIFS(BD!$L$3:$L$5001,BD!$A$3:$A$5001,G$3,BD!$B$3:$B$5001,$A$131)))</f>
        <v/>
      </c>
      <c r="H134" s="155" t="str">
        <f>IF(H$3="","",IF(COUNTIFS(BD!$A$3:$A$5001,H$3,BD!$B$3:$B$5001,$A$131,BD!$L$3:$L$5001,"&lt;&gt;")=0,"",SUMIFS(BD!$L$3:$L$5001,BD!$A$3:$A$5001,H$3,BD!$B$3:$B$5001,$A$131)))</f>
        <v/>
      </c>
      <c r="I134" s="155" t="str">
        <f>IF(I$3="","",IF(COUNTIFS(BD!$A$3:$A$5001,I$3,BD!$B$3:$B$5001,$A$131,BD!$L$3:$L$5001,"&lt;&gt;")=0,"",SUMIFS(BD!$L$3:$L$5001,BD!$A$3:$A$5001,I$3,BD!$B$3:$B$5001,$A$131)))</f>
        <v/>
      </c>
      <c r="J134" s="155" t="str">
        <f>IF(J$3="","",IF(COUNTIFS(BD!$A$3:$A$5001,J$3,BD!$B$3:$B$5001,$A$131,BD!$L$3:$L$5001,"&lt;&gt;")=0,"",SUMIFS(BD!$L$3:$L$5001,BD!$A$3:$A$5001,J$3,BD!$B$3:$B$5001,$A$131)))</f>
        <v/>
      </c>
      <c r="K134" s="155" t="str">
        <f>IF(K$3="","",IF(COUNTIFS(BD!$A$3:$A$5001,K$3,BD!$B$3:$B$5001,$A$131,BD!$L$3:$L$5001,"&lt;&gt;")=0,"",SUMIFS(BD!$L$3:$L$5001,BD!$A$3:$A$5001,K$3,BD!$B$3:$B$5001,$A$131)))</f>
        <v/>
      </c>
      <c r="L134" s="155" t="str">
        <f>IF(L$3="","",IF(COUNTIFS(BD!$A$3:$A$5001,L$3,BD!$B$3:$B$5001,$A$131,BD!$L$3:$L$5001,"&lt;&gt;")=0,"",SUMIFS(BD!$L$3:$L$5001,BD!$A$3:$A$5001,L$3,BD!$B$3:$B$5001,$A$131)))</f>
        <v/>
      </c>
      <c r="M134" s="155" t="str">
        <f>IF(M$3="","",IF(COUNTIFS(BD!$A$3:$A$5001,M$3,BD!$B$3:$B$5001,$A$131,BD!$L$3:$L$5001,"&lt;&gt;")=0,"",SUMIFS(BD!$L$3:$L$5001,BD!$A$3:$A$5001,M$3,BD!$B$3:$B$5001,$A$131)))</f>
        <v/>
      </c>
      <c r="N134" s="155" t="str">
        <f>IF(N$3="","",IF(COUNTIFS(BD!$A$3:$A$5001,N$3,BD!$B$3:$B$5001,$A$131,BD!$L$3:$L$5001,"&lt;&gt;")=0,"",SUMIFS(BD!$L$3:$L$5001,BD!$A$3:$A$5001,N$3,BD!$B$3:$B$5001,$A$131)))</f>
        <v/>
      </c>
      <c r="O134" s="155" t="str">
        <f>IF(O$3="","",IF(COUNTIFS(BD!$A$3:$A$5001,O$3,BD!$B$3:$B$5001,$A$131,BD!$L$3:$L$5001,"&lt;&gt;")=0,"",SUMIFS(BD!$L$3:$L$5001,BD!$A$3:$A$5001,O$3,BD!$B$3:$B$5001,$A$131)))</f>
        <v/>
      </c>
      <c r="P134" s="155" t="str">
        <f>IF(P$3="","",IF(COUNTIFS(BD!$A$3:$A$5001,P$3,BD!$B$3:$B$5001,$A$131,BD!$L$3:$L$5001,"&lt;&gt;")=0,"",SUMIFS(BD!$L$3:$L$5001,BD!$A$3:$A$5001,P$3,BD!$B$3:$B$5001,$A$131)))</f>
        <v/>
      </c>
      <c r="Q134" s="155" t="str">
        <f>IF(Q$3="","",IF(COUNTIFS(BD!$A$3:$A$5001,Q$3,BD!$B$3:$B$5001,$A$131,BD!$L$3:$L$5001,"&lt;&gt;")=0,"",SUMIFS(BD!$L$3:$L$5001,BD!$A$3:$A$5001,Q$3,BD!$B$3:$B$5001,$A$131)))</f>
        <v/>
      </c>
      <c r="R134" s="155" t="str">
        <f>IF(R$3="","",IF(COUNTIFS(BD!$A$3:$A$5001,R$3,BD!$B$3:$B$5001,$A$131,BD!$L$3:$L$5001,"&lt;&gt;")=0,"",SUMIFS(BD!$L$3:$L$5001,BD!$A$3:$A$5001,R$3,BD!$B$3:$B$5001,$A$131)))</f>
        <v/>
      </c>
      <c r="S134" s="155" t="str">
        <f>IF(S$3="","",IF(COUNTIFS(BD!$A$3:$A$5001,S$3,BD!$B$3:$B$5001,$A$131,BD!$L$3:$L$5001,"&lt;&gt;")=0,"",SUMIFS(BD!$L$3:$L$5001,BD!$A$3:$A$5001,S$3,BD!$B$3:$B$5001,$A$131)))</f>
        <v/>
      </c>
      <c r="T134" s="155" t="str">
        <f>IF(T$3="","",IF(COUNTIFS(BD!$A$3:$A$5001,T$3,BD!$B$3:$B$5001,$A$131,BD!$L$3:$L$5001,"&lt;&gt;")=0,"",SUMIFS(BD!$L$3:$L$5001,BD!$A$3:$A$5001,T$3,BD!$B$3:$B$5001,$A$131)))</f>
        <v/>
      </c>
      <c r="U134" s="155" t="str">
        <f>IF(U$3="","",IF(COUNTIFS(BD!$A$3:$A$5001,U$3,BD!$B$3:$B$5001,$A$131,BD!$L$3:$L$5001,"&lt;&gt;")=0,"",SUMIFS(BD!$L$3:$L$5001,BD!$A$3:$A$5001,U$3,BD!$B$3:$B$5001,$A$131)))</f>
        <v/>
      </c>
      <c r="V134" s="155" t="str">
        <f>IF(V$3="","",IF(COUNTIFS(BD!$A$3:$A$5001,V$3,BD!$B$3:$B$5001,$A$131,BD!$L$3:$L$5001,"&lt;&gt;")=0,"",SUMIFS(BD!$L$3:$L$5001,BD!$A$3:$A$5001,V$3,BD!$B$3:$B$5001,$A$131)))</f>
        <v/>
      </c>
      <c r="W134" s="155" t="str">
        <f>IF(W$3="","",IF(COUNTIFS(BD!$A$3:$A$5001,W$3,BD!$B$3:$B$5001,$A$131,BD!$L$3:$L$5001,"&lt;&gt;")=0,"",SUMIFS(BD!$L$3:$L$5001,BD!$A$3:$A$5001,W$3,BD!$B$3:$B$5001,$A$131)))</f>
        <v/>
      </c>
      <c r="X134" s="155" t="str">
        <f>IF(X$3="","",IF(COUNTIFS(BD!$A$3:$A$5001,X$3,BD!$B$3:$B$5001,$A$131,BD!$L$3:$L$5001,"&lt;&gt;")=0,"",SUMIFS(BD!$L$3:$L$5001,BD!$A$3:$A$5001,X$3,BD!$B$3:$B$5001,$A$131)))</f>
        <v/>
      </c>
      <c r="Y134" s="155" t="str">
        <f>IF(Y$3="","",IF(COUNTIFS(BD!$A$3:$A$5001,Y$3,BD!$B$3:$B$5001,$A$131,BD!$L$3:$L$5001,"&lt;&gt;")=0,"",SUMIFS(BD!$L$3:$L$5001,BD!$A$3:$A$5001,Y$3,BD!$B$3:$B$5001,$A$131)))</f>
        <v/>
      </c>
      <c r="Z134" s="155" t="str">
        <f>IF(Z$3="","",IF(COUNTIFS(BD!$A$3:$A$5001,Z$3,BD!$B$3:$B$5001,$A$131,BD!$L$3:$L$5001,"&lt;&gt;")=0,"",SUMIFS(BD!$L$3:$L$5001,BD!$A$3:$A$5001,Z$3,BD!$B$3:$B$5001,$A$131)))</f>
        <v/>
      </c>
      <c r="AA134" s="155" t="str">
        <f>IF(AA$3="","",IF(COUNTIFS(BD!$A$3:$A$5001,AA$3,BD!$B$3:$B$5001,$A$131,BD!$L$3:$L$5001,"&lt;&gt;")=0,"",SUMIFS(BD!$L$3:$L$5001,BD!$A$3:$A$5001,AA$3,BD!$B$3:$B$5001,$A$131)))</f>
        <v/>
      </c>
      <c r="AB134" s="155" t="str">
        <f>IF(AB$3="","",IF(COUNTIFS(BD!$A$3:$A$5001,AB$3,BD!$B$3:$B$5001,$A$131,BD!$L$3:$L$5001,"&lt;&gt;")=0,"",SUMIFS(BD!$L$3:$L$5001,BD!$A$3:$A$5001,AB$3,BD!$B$3:$B$5001,$A$131)))</f>
        <v/>
      </c>
      <c r="AC134" s="155" t="str">
        <f>IF(AC$3="","",IF(COUNTIFS(BD!$A$3:$A$5001,AC$3,BD!$B$3:$B$5001,$A$131,BD!$L$3:$L$5001,"&lt;&gt;")=0,"",SUMIFS(BD!$L$3:$L$5001,BD!$A$3:$A$5001,AC$3,BD!$B$3:$B$5001,$A$131)))</f>
        <v/>
      </c>
      <c r="AD134" s="155" t="str">
        <f>IF(AD$3="","",IF(COUNTIFS(BD!$A$3:$A$5001,AD$3,BD!$B$3:$B$5001,$A$131,BD!$L$3:$L$5001,"&lt;&gt;")=0,"",SUMIFS(BD!$L$3:$L$5001,BD!$A$3:$A$5001,AD$3,BD!$B$3:$B$5001,$A$131)))</f>
        <v/>
      </c>
      <c r="AE134" s="155" t="str">
        <f>IF(AE$3="","",IF(COUNTIFS(BD!$A$3:$A$5001,AE$3,BD!$B$3:$B$5001,$A$131,BD!$L$3:$L$5001,"&lt;&gt;")=0,"",SUMIFS(BD!$L$3:$L$5001,BD!$A$3:$A$5001,AE$3,BD!$B$3:$B$5001,$A$131)))</f>
        <v/>
      </c>
      <c r="AF134" s="155" t="str">
        <f>IF(AF$3="","",IF(COUNTIFS(BD!$A$3:$A$5001,AF$3,BD!$B$3:$B$5001,$A$131,BD!$L$3:$L$5001,"&lt;&gt;")=0,"",SUMIFS(BD!$L$3:$L$5001,BD!$A$3:$A$5001,AF$3,BD!$B$3:$B$5001,$A$131)))</f>
        <v/>
      </c>
      <c r="AG134" s="155" t="str">
        <f>IF(AG$3="","",IF(COUNTIFS(BD!$A$3:$A$5001,AG$3,BD!$B$3:$B$5001,$A$131,BD!$L$3:$L$5001,"&lt;&gt;")=0,"",SUMIFS(BD!$L$3:$L$5001,BD!$A$3:$A$5001,AG$3,BD!$B$3:$B$5001,$A$131)))</f>
        <v/>
      </c>
      <c r="AH134" s="155" t="str">
        <f>IF(AH$3="","",IF(COUNTIFS(BD!$A$3:$A$5001,AH$3,BD!$B$3:$B$5001,$A$131,BD!$L$3:$L$5001,"&lt;&gt;")=0,"",SUMIFS(BD!$L$3:$L$5001,BD!$A$3:$A$5001,AH$3,BD!$B$3:$B$5001,$A$131)))</f>
        <v/>
      </c>
      <c r="AI134" s="155" t="str">
        <f>IF(AI$3="","",IF(COUNTIFS(BD!$A$3:$A$5001,AI$3,BD!$B$3:$B$5001,$A$131,BD!$L$3:$L$5001,"&lt;&gt;")=0,"",SUMIFS(BD!$L$3:$L$5001,BD!$A$3:$A$5001,AI$3,BD!$B$3:$B$5001,$A$131)))</f>
        <v/>
      </c>
      <c r="AJ134" s="156" t="str">
        <f>IF(AJ$3="","",IF(COUNTIFS(BD!$A$3:$A$5001,AJ$3,BD!$B$3:$B$5001,$A$131,BD!$L$3:$L$5001,"&lt;&gt;")=0,"",SUMIFS(BD!$L$3:$L$5001,BD!$A$3:$A$5001,AJ$3,BD!$B$3:$B$5001,$A$131)))</f>
        <v/>
      </c>
      <c r="AK134" s="157" t="str">
        <f>IF(COUNT(F134:AJ134)=0,"",SUM(F134:AJ134))</f>
        <v/>
      </c>
    </row>
    <row r="135" ht="15.75" customHeight="1">
      <c r="A135" s="227"/>
      <c r="B135" s="244"/>
      <c r="C135" s="233" t="inlineStr">
        <is>
          <t xml:space="preserve">Pallets Movimentados</t>
        </is>
      </c>
      <c r="D135" s="234" t="str">
        <f>IFERROR(1/(1/INDEX(BD!$AK$39:$AT$39,MATCH($A$131,BD!$AK$22:$AT$22,0))),"")</f>
        <v/>
      </c>
      <c r="E135" s="235"/>
      <c r="F135" s="236" t="str">
        <f>IF(F$3="","",IF(COUNTIFS(BD!$A$3:$A$5001,F$3,BD!$B$3:$B$5001,$A$131,BD!$S$3:$S$5001,"&lt;&gt;")=0,"",SUMIFS(BD!$S$3:$S$5001,BD!$A$3:$A$5001,F$3,BD!$B$3:$B$5001,$A$131)))</f>
        <v/>
      </c>
      <c r="G135" s="237" t="str">
        <f>IF(G$3="","",IF(COUNTIFS(BD!$A$3:$A$5001,G$3,BD!$B$3:$B$5001,$A$131,BD!$S$3:$S$5001,"&lt;&gt;")=0,"",SUMIFS(BD!$S$3:$S$5001,BD!$A$3:$A$5001,G$3,BD!$B$3:$B$5001,$A$131)))</f>
        <v/>
      </c>
      <c r="H135" s="237" t="str">
        <f>IF(H$3="","",IF(COUNTIFS(BD!$A$3:$A$5001,H$3,BD!$B$3:$B$5001,$A$131,BD!$S$3:$S$5001,"&lt;&gt;")=0,"",SUMIFS(BD!$S$3:$S$5001,BD!$A$3:$A$5001,H$3,BD!$B$3:$B$5001,$A$131)))</f>
        <v/>
      </c>
      <c r="I135" s="237" t="str">
        <f>IF(I$3="","",IF(COUNTIFS(BD!$A$3:$A$5001,I$3,BD!$B$3:$B$5001,$A$131,BD!$S$3:$S$5001,"&lt;&gt;")=0,"",SUMIFS(BD!$S$3:$S$5001,BD!$A$3:$A$5001,I$3,BD!$B$3:$B$5001,$A$131)))</f>
        <v/>
      </c>
      <c r="J135" s="237" t="str">
        <f>IF(J$3="","",IF(COUNTIFS(BD!$A$3:$A$5001,J$3,BD!$B$3:$B$5001,$A$131,BD!$S$3:$S$5001,"&lt;&gt;")=0,"",SUMIFS(BD!$S$3:$S$5001,BD!$A$3:$A$5001,J$3,BD!$B$3:$B$5001,$A$131)))</f>
        <v/>
      </c>
      <c r="K135" s="237" t="str">
        <f>IF(K$3="","",IF(COUNTIFS(BD!$A$3:$A$5001,K$3,BD!$B$3:$B$5001,$A$131,BD!$S$3:$S$5001,"&lt;&gt;")=0,"",SUMIFS(BD!$S$3:$S$5001,BD!$A$3:$A$5001,K$3,BD!$B$3:$B$5001,$A$131)))</f>
        <v/>
      </c>
      <c r="L135" s="237" t="str">
        <f>IF(L$3="","",IF(COUNTIFS(BD!$A$3:$A$5001,L$3,BD!$B$3:$B$5001,$A$131,BD!$S$3:$S$5001,"&lt;&gt;")=0,"",SUMIFS(BD!$S$3:$S$5001,BD!$A$3:$A$5001,L$3,BD!$B$3:$B$5001,$A$131)))</f>
        <v/>
      </c>
      <c r="M135" s="237" t="str">
        <f>IF(M$3="","",IF(COUNTIFS(BD!$A$3:$A$5001,M$3,BD!$B$3:$B$5001,$A$131,BD!$S$3:$S$5001,"&lt;&gt;")=0,"",SUMIFS(BD!$S$3:$S$5001,BD!$A$3:$A$5001,M$3,BD!$B$3:$B$5001,$A$131)))</f>
        <v/>
      </c>
      <c r="N135" s="237" t="str">
        <f>IF(N$3="","",IF(COUNTIFS(BD!$A$3:$A$5001,N$3,BD!$B$3:$B$5001,$A$131,BD!$S$3:$S$5001,"&lt;&gt;")=0,"",SUMIFS(BD!$S$3:$S$5001,BD!$A$3:$A$5001,N$3,BD!$B$3:$B$5001,$A$131)))</f>
        <v/>
      </c>
      <c r="O135" s="237" t="str">
        <f>IF(O$3="","",IF(COUNTIFS(BD!$A$3:$A$5001,O$3,BD!$B$3:$B$5001,$A$131,BD!$S$3:$S$5001,"&lt;&gt;")=0,"",SUMIFS(BD!$S$3:$S$5001,BD!$A$3:$A$5001,O$3,BD!$B$3:$B$5001,$A$131)))</f>
        <v/>
      </c>
      <c r="P135" s="237" t="str">
        <f>IF(P$3="","",IF(COUNTIFS(BD!$A$3:$A$5001,P$3,BD!$B$3:$B$5001,$A$131,BD!$S$3:$S$5001,"&lt;&gt;")=0,"",SUMIFS(BD!$S$3:$S$5001,BD!$A$3:$A$5001,P$3,BD!$B$3:$B$5001,$A$131)))</f>
        <v/>
      </c>
      <c r="Q135" s="237" t="str">
        <f>IF(Q$3="","",IF(COUNTIFS(BD!$A$3:$A$5001,Q$3,BD!$B$3:$B$5001,$A$131,BD!$S$3:$S$5001,"&lt;&gt;")=0,"",SUMIFS(BD!$S$3:$S$5001,BD!$A$3:$A$5001,Q$3,BD!$B$3:$B$5001,$A$131)))</f>
        <v/>
      </c>
      <c r="R135" s="237" t="str">
        <f>IF(R$3="","",IF(COUNTIFS(BD!$A$3:$A$5001,R$3,BD!$B$3:$B$5001,$A$131,BD!$S$3:$S$5001,"&lt;&gt;")=0,"",SUMIFS(BD!$S$3:$S$5001,BD!$A$3:$A$5001,R$3,BD!$B$3:$B$5001,$A$131)))</f>
        <v/>
      </c>
      <c r="S135" s="237" t="str">
        <f>IF(S$3="","",IF(COUNTIFS(BD!$A$3:$A$5001,S$3,BD!$B$3:$B$5001,$A$131,BD!$S$3:$S$5001,"&lt;&gt;")=0,"",SUMIFS(BD!$S$3:$S$5001,BD!$A$3:$A$5001,S$3,BD!$B$3:$B$5001,$A$131)))</f>
        <v/>
      </c>
      <c r="T135" s="237" t="str">
        <f>IF(T$3="","",IF(COUNTIFS(BD!$A$3:$A$5001,T$3,BD!$B$3:$B$5001,$A$131,BD!$S$3:$S$5001,"&lt;&gt;")=0,"",SUMIFS(BD!$S$3:$S$5001,BD!$A$3:$A$5001,T$3,BD!$B$3:$B$5001,$A$131)))</f>
        <v/>
      </c>
      <c r="U135" s="237" t="str">
        <f>IF(U$3="","",IF(COUNTIFS(BD!$A$3:$A$5001,U$3,BD!$B$3:$B$5001,$A$131,BD!$S$3:$S$5001,"&lt;&gt;")=0,"",SUMIFS(BD!$S$3:$S$5001,BD!$A$3:$A$5001,U$3,BD!$B$3:$B$5001,$A$131)))</f>
        <v/>
      </c>
      <c r="V135" s="237" t="str">
        <f>IF(V$3="","",IF(COUNTIFS(BD!$A$3:$A$5001,V$3,BD!$B$3:$B$5001,$A$131,BD!$S$3:$S$5001,"&lt;&gt;")=0,"",SUMIFS(BD!$S$3:$S$5001,BD!$A$3:$A$5001,V$3,BD!$B$3:$B$5001,$A$131)))</f>
        <v/>
      </c>
      <c r="W135" s="237" t="str">
        <f>IF(W$3="","",IF(COUNTIFS(BD!$A$3:$A$5001,W$3,BD!$B$3:$B$5001,$A$131,BD!$S$3:$S$5001,"&lt;&gt;")=0,"",SUMIFS(BD!$S$3:$S$5001,BD!$A$3:$A$5001,W$3,BD!$B$3:$B$5001,$A$131)))</f>
        <v/>
      </c>
      <c r="X135" s="237" t="str">
        <f>IF(X$3="","",IF(COUNTIFS(BD!$A$3:$A$5001,X$3,BD!$B$3:$B$5001,$A$131,BD!$S$3:$S$5001,"&lt;&gt;")=0,"",SUMIFS(BD!$S$3:$S$5001,BD!$A$3:$A$5001,X$3,BD!$B$3:$B$5001,$A$131)))</f>
        <v/>
      </c>
      <c r="Y135" s="237" t="str">
        <f>IF(Y$3="","",IF(COUNTIFS(BD!$A$3:$A$5001,Y$3,BD!$B$3:$B$5001,$A$131,BD!$S$3:$S$5001,"&lt;&gt;")=0,"",SUMIFS(BD!$S$3:$S$5001,BD!$A$3:$A$5001,Y$3,BD!$B$3:$B$5001,$A$131)))</f>
        <v/>
      </c>
      <c r="Z135" s="237" t="str">
        <f>IF(Z$3="","",IF(COUNTIFS(BD!$A$3:$A$5001,Z$3,BD!$B$3:$B$5001,$A$131,BD!$S$3:$S$5001,"&lt;&gt;")=0,"",SUMIFS(BD!$S$3:$S$5001,BD!$A$3:$A$5001,Z$3,BD!$B$3:$B$5001,$A$131)))</f>
        <v/>
      </c>
      <c r="AA135" s="237" t="str">
        <f>IF(AA$3="","",IF(COUNTIFS(BD!$A$3:$A$5001,AA$3,BD!$B$3:$B$5001,$A$131,BD!$S$3:$S$5001,"&lt;&gt;")=0,"",SUMIFS(BD!$S$3:$S$5001,BD!$A$3:$A$5001,AA$3,BD!$B$3:$B$5001,$A$131)))</f>
        <v/>
      </c>
      <c r="AB135" s="237" t="str">
        <f>IF(AB$3="","",IF(COUNTIFS(BD!$A$3:$A$5001,AB$3,BD!$B$3:$B$5001,$A$131,BD!$S$3:$S$5001,"&lt;&gt;")=0,"",SUMIFS(BD!$S$3:$S$5001,BD!$A$3:$A$5001,AB$3,BD!$B$3:$B$5001,$A$131)))</f>
        <v/>
      </c>
      <c r="AC135" s="237" t="str">
        <f>IF(AC$3="","",IF(COUNTIFS(BD!$A$3:$A$5001,AC$3,BD!$B$3:$B$5001,$A$131,BD!$S$3:$S$5001,"&lt;&gt;")=0,"",SUMIFS(BD!$S$3:$S$5001,BD!$A$3:$A$5001,AC$3,BD!$B$3:$B$5001,$A$131)))</f>
        <v/>
      </c>
      <c r="AD135" s="237" t="str">
        <f>IF(AD$3="","",IF(COUNTIFS(BD!$A$3:$A$5001,AD$3,BD!$B$3:$B$5001,$A$131,BD!$S$3:$S$5001,"&lt;&gt;")=0,"",SUMIFS(BD!$S$3:$S$5001,BD!$A$3:$A$5001,AD$3,BD!$B$3:$B$5001,$A$131)))</f>
        <v/>
      </c>
      <c r="AE135" s="237" t="str">
        <f>IF(AE$3="","",IF(COUNTIFS(BD!$A$3:$A$5001,AE$3,BD!$B$3:$B$5001,$A$131,BD!$S$3:$S$5001,"&lt;&gt;")=0,"",SUMIFS(BD!$S$3:$S$5001,BD!$A$3:$A$5001,AE$3,BD!$B$3:$B$5001,$A$131)))</f>
        <v/>
      </c>
      <c r="AF135" s="237" t="str">
        <f>IF(AF$3="","",IF(COUNTIFS(BD!$A$3:$A$5001,AF$3,BD!$B$3:$B$5001,$A$131,BD!$S$3:$S$5001,"&lt;&gt;")=0,"",SUMIFS(BD!$S$3:$S$5001,BD!$A$3:$A$5001,AF$3,BD!$B$3:$B$5001,$A$131)))</f>
        <v/>
      </c>
      <c r="AG135" s="237" t="str">
        <f>IF(AG$3="","",IF(COUNTIFS(BD!$A$3:$A$5001,AG$3,BD!$B$3:$B$5001,$A$131,BD!$S$3:$S$5001,"&lt;&gt;")=0,"",SUMIFS(BD!$S$3:$S$5001,BD!$A$3:$A$5001,AG$3,BD!$B$3:$B$5001,$A$131)))</f>
        <v/>
      </c>
      <c r="AH135" s="237" t="str">
        <f>IF(AH$3="","",IF(COUNTIFS(BD!$A$3:$A$5001,AH$3,BD!$B$3:$B$5001,$A$131,BD!$S$3:$S$5001,"&lt;&gt;")=0,"",SUMIFS(BD!$S$3:$S$5001,BD!$A$3:$A$5001,AH$3,BD!$B$3:$B$5001,$A$131)))</f>
        <v/>
      </c>
      <c r="AI135" s="237" t="str">
        <f>IF(AI$3="","",IF(COUNTIFS(BD!$A$3:$A$5001,AI$3,BD!$B$3:$B$5001,$A$131,BD!$S$3:$S$5001,"&lt;&gt;")=0,"",SUMIFS(BD!$S$3:$S$5001,BD!$A$3:$A$5001,AI$3,BD!$B$3:$B$5001,$A$131)))</f>
        <v/>
      </c>
      <c r="AJ135" s="238" t="str">
        <f>IF(AJ$3="","",IF(COUNTIFS(BD!$A$3:$A$5001,AJ$3,BD!$B$3:$B$5001,$A$131,BD!$S$3:$S$5001,"&lt;&gt;")=0,"",SUMIFS(BD!$S$3:$S$5001,BD!$A$3:$A$5001,AJ$3,BD!$B$3:$B$5001,$A$131)))</f>
        <v/>
      </c>
      <c r="AK135" s="239" t="str">
        <f>IF(COUNT(F135:AJ135)=0,"",SUM(F135:AJ135))</f>
        <v/>
      </c>
    </row>
    <row r="136" ht="15.75" customHeight="1">
      <c r="A136" s="227"/>
      <c r="B136" s="218"/>
      <c r="C136" s="158" t="inlineStr">
        <is>
          <t xml:space="preserve">Toneladas Movimentadas</t>
        </is>
      </c>
      <c r="D136" s="159" t="str">
        <f>IFERROR(1/(1/INDEX(BD!$AK$40:$AT$40,MATCH($A$131,BD!$AK$22:$AT$22,0))),"")</f>
        <v/>
      </c>
      <c r="E136" s="160"/>
      <c r="F136" s="240" t="str">
        <f>IF(F$3="","",IF(COUNTIFS(BD!$A$3:$A$5001,F$3,BD!$B$3:$B$5001,$A$131,BD!$T$3:$T$5001,"&lt;&gt;")=0,"",SUMIFS(BD!$T$3:$T$5001,BD!$A$3:$A$5001,F$3,BD!$B$3:$B$5001,$A$131)))</f>
        <v/>
      </c>
      <c r="G136" s="241" t="str">
        <f>IF(G$3="","",IF(COUNTIFS(BD!$A$3:$A$5001,G$3,BD!$B$3:$B$5001,$A$131,BD!$T$3:$T$5001,"&lt;&gt;")=0,"",SUMIFS(BD!$T$3:$T$5001,BD!$A$3:$A$5001,G$3,BD!$B$3:$B$5001,$A$131)))</f>
        <v/>
      </c>
      <c r="H136" s="241" t="str">
        <f>IF(H$3="","",IF(COUNTIFS(BD!$A$3:$A$5001,H$3,BD!$B$3:$B$5001,$A$131,BD!$T$3:$T$5001,"&lt;&gt;")=0,"",SUMIFS(BD!$T$3:$T$5001,BD!$A$3:$A$5001,H$3,BD!$B$3:$B$5001,$A$131)))</f>
        <v/>
      </c>
      <c r="I136" s="241" t="str">
        <f>IF(I$3="","",IF(COUNTIFS(BD!$A$3:$A$5001,I$3,BD!$B$3:$B$5001,$A$131,BD!$T$3:$T$5001,"&lt;&gt;")=0,"",SUMIFS(BD!$T$3:$T$5001,BD!$A$3:$A$5001,I$3,BD!$B$3:$B$5001,$A$131)))</f>
        <v/>
      </c>
      <c r="J136" s="241" t="str">
        <f>IF(J$3="","",IF(COUNTIFS(BD!$A$3:$A$5001,J$3,BD!$B$3:$B$5001,$A$131,BD!$T$3:$T$5001,"&lt;&gt;")=0,"",SUMIFS(BD!$T$3:$T$5001,BD!$A$3:$A$5001,J$3,BD!$B$3:$B$5001,$A$131)))</f>
        <v/>
      </c>
      <c r="K136" s="241" t="str">
        <f>IF(K$3="","",IF(COUNTIFS(BD!$A$3:$A$5001,K$3,BD!$B$3:$B$5001,$A$131,BD!$T$3:$T$5001,"&lt;&gt;")=0,"",SUMIFS(BD!$T$3:$T$5001,BD!$A$3:$A$5001,K$3,BD!$B$3:$B$5001,$A$131)))</f>
        <v/>
      </c>
      <c r="L136" s="241" t="str">
        <f>IF(L$3="","",IF(COUNTIFS(BD!$A$3:$A$5001,L$3,BD!$B$3:$B$5001,$A$131,BD!$T$3:$T$5001,"&lt;&gt;")=0,"",SUMIFS(BD!$T$3:$T$5001,BD!$A$3:$A$5001,L$3,BD!$B$3:$B$5001,$A$131)))</f>
        <v/>
      </c>
      <c r="M136" s="241" t="str">
        <f>IF(M$3="","",IF(COUNTIFS(BD!$A$3:$A$5001,M$3,BD!$B$3:$B$5001,$A$131,BD!$T$3:$T$5001,"&lt;&gt;")=0,"",SUMIFS(BD!$T$3:$T$5001,BD!$A$3:$A$5001,M$3,BD!$B$3:$B$5001,$A$131)))</f>
        <v/>
      </c>
      <c r="N136" s="241" t="str">
        <f>IF(N$3="","",IF(COUNTIFS(BD!$A$3:$A$5001,N$3,BD!$B$3:$B$5001,$A$131,BD!$T$3:$T$5001,"&lt;&gt;")=0,"",SUMIFS(BD!$T$3:$T$5001,BD!$A$3:$A$5001,N$3,BD!$B$3:$B$5001,$A$131)))</f>
        <v/>
      </c>
      <c r="O136" s="241" t="str">
        <f>IF(O$3="","",IF(COUNTIFS(BD!$A$3:$A$5001,O$3,BD!$B$3:$B$5001,$A$131,BD!$T$3:$T$5001,"&lt;&gt;")=0,"",SUMIFS(BD!$T$3:$T$5001,BD!$A$3:$A$5001,O$3,BD!$B$3:$B$5001,$A$131)))</f>
        <v/>
      </c>
      <c r="P136" s="241" t="str">
        <f>IF(P$3="","",IF(COUNTIFS(BD!$A$3:$A$5001,P$3,BD!$B$3:$B$5001,$A$131,BD!$T$3:$T$5001,"&lt;&gt;")=0,"",SUMIFS(BD!$T$3:$T$5001,BD!$A$3:$A$5001,P$3,BD!$B$3:$B$5001,$A$131)))</f>
        <v/>
      </c>
      <c r="Q136" s="241" t="str">
        <f>IF(Q$3="","",IF(COUNTIFS(BD!$A$3:$A$5001,Q$3,BD!$B$3:$B$5001,$A$131,BD!$T$3:$T$5001,"&lt;&gt;")=0,"",SUMIFS(BD!$T$3:$T$5001,BD!$A$3:$A$5001,Q$3,BD!$B$3:$B$5001,$A$131)))</f>
        <v/>
      </c>
      <c r="R136" s="241" t="str">
        <f>IF(R$3="","",IF(COUNTIFS(BD!$A$3:$A$5001,R$3,BD!$B$3:$B$5001,$A$131,BD!$T$3:$T$5001,"&lt;&gt;")=0,"",SUMIFS(BD!$T$3:$T$5001,BD!$A$3:$A$5001,R$3,BD!$B$3:$B$5001,$A$131)))</f>
        <v/>
      </c>
      <c r="S136" s="241" t="str">
        <f>IF(S$3="","",IF(COUNTIFS(BD!$A$3:$A$5001,S$3,BD!$B$3:$B$5001,$A$131,BD!$T$3:$T$5001,"&lt;&gt;")=0,"",SUMIFS(BD!$T$3:$T$5001,BD!$A$3:$A$5001,S$3,BD!$B$3:$B$5001,$A$131)))</f>
        <v/>
      </c>
      <c r="T136" s="241" t="str">
        <f>IF(T$3="","",IF(COUNTIFS(BD!$A$3:$A$5001,T$3,BD!$B$3:$B$5001,$A$131,BD!$T$3:$T$5001,"&lt;&gt;")=0,"",SUMIFS(BD!$T$3:$T$5001,BD!$A$3:$A$5001,T$3,BD!$B$3:$B$5001,$A$131)))</f>
        <v/>
      </c>
      <c r="U136" s="241" t="str">
        <f>IF(U$3="","",IF(COUNTIFS(BD!$A$3:$A$5001,U$3,BD!$B$3:$B$5001,$A$131,BD!$T$3:$T$5001,"&lt;&gt;")=0,"",SUMIFS(BD!$T$3:$T$5001,BD!$A$3:$A$5001,U$3,BD!$B$3:$B$5001,$A$131)))</f>
        <v/>
      </c>
      <c r="V136" s="241" t="str">
        <f>IF(V$3="","",IF(COUNTIFS(BD!$A$3:$A$5001,V$3,BD!$B$3:$B$5001,$A$131,BD!$T$3:$T$5001,"&lt;&gt;")=0,"",SUMIFS(BD!$T$3:$T$5001,BD!$A$3:$A$5001,V$3,BD!$B$3:$B$5001,$A$131)))</f>
        <v/>
      </c>
      <c r="W136" s="241" t="str">
        <f>IF(W$3="","",IF(COUNTIFS(BD!$A$3:$A$5001,W$3,BD!$B$3:$B$5001,$A$131,BD!$T$3:$T$5001,"&lt;&gt;")=0,"",SUMIFS(BD!$T$3:$T$5001,BD!$A$3:$A$5001,W$3,BD!$B$3:$B$5001,$A$131)))</f>
        <v/>
      </c>
      <c r="X136" s="241" t="str">
        <f>IF(X$3="","",IF(COUNTIFS(BD!$A$3:$A$5001,X$3,BD!$B$3:$B$5001,$A$131,BD!$T$3:$T$5001,"&lt;&gt;")=0,"",SUMIFS(BD!$T$3:$T$5001,BD!$A$3:$A$5001,X$3,BD!$B$3:$B$5001,$A$131)))</f>
        <v/>
      </c>
      <c r="Y136" s="241" t="str">
        <f>IF(Y$3="","",IF(COUNTIFS(BD!$A$3:$A$5001,Y$3,BD!$B$3:$B$5001,$A$131,BD!$T$3:$T$5001,"&lt;&gt;")=0,"",SUMIFS(BD!$T$3:$T$5001,BD!$A$3:$A$5001,Y$3,BD!$B$3:$B$5001,$A$131)))</f>
        <v/>
      </c>
      <c r="Z136" s="241" t="str">
        <f>IF(Z$3="","",IF(COUNTIFS(BD!$A$3:$A$5001,Z$3,BD!$B$3:$B$5001,$A$131,BD!$T$3:$T$5001,"&lt;&gt;")=0,"",SUMIFS(BD!$T$3:$T$5001,BD!$A$3:$A$5001,Z$3,BD!$B$3:$B$5001,$A$131)))</f>
        <v/>
      </c>
      <c r="AA136" s="241" t="str">
        <f>IF(AA$3="","",IF(COUNTIFS(BD!$A$3:$A$5001,AA$3,BD!$B$3:$B$5001,$A$131,BD!$T$3:$T$5001,"&lt;&gt;")=0,"",SUMIFS(BD!$T$3:$T$5001,BD!$A$3:$A$5001,AA$3,BD!$B$3:$B$5001,$A$131)))</f>
        <v/>
      </c>
      <c r="AB136" s="241" t="str">
        <f>IF(AB$3="","",IF(COUNTIFS(BD!$A$3:$A$5001,AB$3,BD!$B$3:$B$5001,$A$131,BD!$T$3:$T$5001,"&lt;&gt;")=0,"",SUMIFS(BD!$T$3:$T$5001,BD!$A$3:$A$5001,AB$3,BD!$B$3:$B$5001,$A$131)))</f>
        <v/>
      </c>
      <c r="AC136" s="241" t="str">
        <f>IF(AC$3="","",IF(COUNTIFS(BD!$A$3:$A$5001,AC$3,BD!$B$3:$B$5001,$A$131,BD!$T$3:$T$5001,"&lt;&gt;")=0,"",SUMIFS(BD!$T$3:$T$5001,BD!$A$3:$A$5001,AC$3,BD!$B$3:$B$5001,$A$131)))</f>
        <v/>
      </c>
      <c r="AD136" s="241" t="str">
        <f>IF(AD$3="","",IF(COUNTIFS(BD!$A$3:$A$5001,AD$3,BD!$B$3:$B$5001,$A$131,BD!$T$3:$T$5001,"&lt;&gt;")=0,"",SUMIFS(BD!$T$3:$T$5001,BD!$A$3:$A$5001,AD$3,BD!$B$3:$B$5001,$A$131)))</f>
        <v/>
      </c>
      <c r="AE136" s="241" t="str">
        <f>IF(AE$3="","",IF(COUNTIFS(BD!$A$3:$A$5001,AE$3,BD!$B$3:$B$5001,$A$131,BD!$T$3:$T$5001,"&lt;&gt;")=0,"",SUMIFS(BD!$T$3:$T$5001,BD!$A$3:$A$5001,AE$3,BD!$B$3:$B$5001,$A$131)))</f>
        <v/>
      </c>
      <c r="AF136" s="241" t="str">
        <f>IF(AF$3="","",IF(COUNTIFS(BD!$A$3:$A$5001,AF$3,BD!$B$3:$B$5001,$A$131,BD!$T$3:$T$5001,"&lt;&gt;")=0,"",SUMIFS(BD!$T$3:$T$5001,BD!$A$3:$A$5001,AF$3,BD!$B$3:$B$5001,$A$131)))</f>
        <v/>
      </c>
      <c r="AG136" s="241" t="str">
        <f>IF(AG$3="","",IF(COUNTIFS(BD!$A$3:$A$5001,AG$3,BD!$B$3:$B$5001,$A$131,BD!$T$3:$T$5001,"&lt;&gt;")=0,"",SUMIFS(BD!$T$3:$T$5001,BD!$A$3:$A$5001,AG$3,BD!$B$3:$B$5001,$A$131)))</f>
        <v/>
      </c>
      <c r="AH136" s="241" t="str">
        <f>IF(AH$3="","",IF(COUNTIFS(BD!$A$3:$A$5001,AH$3,BD!$B$3:$B$5001,$A$131,BD!$T$3:$T$5001,"&lt;&gt;")=0,"",SUMIFS(BD!$T$3:$T$5001,BD!$A$3:$A$5001,AH$3,BD!$B$3:$B$5001,$A$131)))</f>
        <v/>
      </c>
      <c r="AI136" s="241" t="str">
        <f>IF(AI$3="","",IF(COUNTIFS(BD!$A$3:$A$5001,AI$3,BD!$B$3:$B$5001,$A$131,BD!$T$3:$T$5001,"&lt;&gt;")=0,"",SUMIFS(BD!$T$3:$T$5001,BD!$A$3:$A$5001,AI$3,BD!$B$3:$B$5001,$A$131)))</f>
        <v/>
      </c>
      <c r="AJ136" s="242" t="str">
        <f>IF(AJ$3="","",IF(COUNTIFS(BD!$A$3:$A$5001,AJ$3,BD!$B$3:$B$5001,$A$131,BD!$T$3:$T$5001,"&lt;&gt;")=0,"",SUMIFS(BD!$T$3:$T$5001,BD!$A$3:$A$5001,AJ$3,BD!$B$3:$B$5001,$A$131)))</f>
        <v/>
      </c>
      <c r="AK136" s="243" t="str">
        <f>IF(COUNT(F136:AJ136)=0,"",SUM(F136:AJ136))</f>
        <v/>
      </c>
    </row>
    <row r="137" ht="15.75" customHeight="1">
      <c r="A137" s="227"/>
      <c r="B137" s="219" t="inlineStr">
        <is>
          <t xml:space="preserve">NC</t>
        </is>
      </c>
      <c r="C137" s="164" t="inlineStr">
        <is>
          <t xml:space="preserve">Incidentes</t>
        </is>
      </c>
      <c r="D137" s="165" t="str">
        <f>IFERROR(1/(1/INDEX(BD!$AK$41:$AT$41,MATCH($A$131,BD!$AK$22:$AT$22,0))),"")</f>
        <v/>
      </c>
      <c r="E137" s="166"/>
      <c r="F137" s="167" t="str">
        <f>IF(F$3="","",IF(COUNTIFS(BD!$A$3:$A$5001,F$3,BD!$B$3:$B$5001,$A$131,BD!$U$3:$U$5001,"&lt;&gt;")=0,"",SUMIFS(BD!$U$3:$U$5001,BD!$A$3:$A$5001,F$3,BD!$B$3:$B$5001,$A$131)))</f>
        <v/>
      </c>
      <c r="G137" s="168" t="str">
        <f>IF(G$3="","",IF(COUNTIFS(BD!$A$3:$A$5001,G$3,BD!$B$3:$B$5001,$A$131,BD!$U$3:$U$5001,"&lt;&gt;")=0,"",SUMIFS(BD!$U$3:$U$5001,BD!$A$3:$A$5001,G$3,BD!$B$3:$B$5001,$A$131)))</f>
        <v/>
      </c>
      <c r="H137" s="168" t="str">
        <f>IF(H$3="","",IF(COUNTIFS(BD!$A$3:$A$5001,H$3,BD!$B$3:$B$5001,$A$131,BD!$U$3:$U$5001,"&lt;&gt;")=0,"",SUMIFS(BD!$U$3:$U$5001,BD!$A$3:$A$5001,H$3,BD!$B$3:$B$5001,$A$131)))</f>
        <v/>
      </c>
      <c r="I137" s="168" t="str">
        <f>IF(I$3="","",IF(COUNTIFS(BD!$A$3:$A$5001,I$3,BD!$B$3:$B$5001,$A$131,BD!$U$3:$U$5001,"&lt;&gt;")=0,"",SUMIFS(BD!$U$3:$U$5001,BD!$A$3:$A$5001,I$3,BD!$B$3:$B$5001,$A$131)))</f>
        <v/>
      </c>
      <c r="J137" s="168" t="str">
        <f>IF(J$3="","",IF(COUNTIFS(BD!$A$3:$A$5001,J$3,BD!$B$3:$B$5001,$A$131,BD!$U$3:$U$5001,"&lt;&gt;")=0,"",SUMIFS(BD!$U$3:$U$5001,BD!$A$3:$A$5001,J$3,BD!$B$3:$B$5001,$A$131)))</f>
        <v/>
      </c>
      <c r="K137" s="168" t="str">
        <f>IF(K$3="","",IF(COUNTIFS(BD!$A$3:$A$5001,K$3,BD!$B$3:$B$5001,$A$131,BD!$U$3:$U$5001,"&lt;&gt;")=0,"",SUMIFS(BD!$U$3:$U$5001,BD!$A$3:$A$5001,K$3,BD!$B$3:$B$5001,$A$131)))</f>
        <v/>
      </c>
      <c r="L137" s="168" t="str">
        <f>IF(L$3="","",IF(COUNTIFS(BD!$A$3:$A$5001,L$3,BD!$B$3:$B$5001,$A$131,BD!$U$3:$U$5001,"&lt;&gt;")=0,"",SUMIFS(BD!$U$3:$U$5001,BD!$A$3:$A$5001,L$3,BD!$B$3:$B$5001,$A$131)))</f>
        <v/>
      </c>
      <c r="M137" s="168" t="str">
        <f>IF(M$3="","",IF(COUNTIFS(BD!$A$3:$A$5001,M$3,BD!$B$3:$B$5001,$A$131,BD!$U$3:$U$5001,"&lt;&gt;")=0,"",SUMIFS(BD!$U$3:$U$5001,BD!$A$3:$A$5001,M$3,BD!$B$3:$B$5001,$A$131)))</f>
        <v/>
      </c>
      <c r="N137" s="168" t="str">
        <f>IF(N$3="","",IF(COUNTIFS(BD!$A$3:$A$5001,N$3,BD!$B$3:$B$5001,$A$131,BD!$U$3:$U$5001,"&lt;&gt;")=0,"",SUMIFS(BD!$U$3:$U$5001,BD!$A$3:$A$5001,N$3,BD!$B$3:$B$5001,$A$131)))</f>
        <v/>
      </c>
      <c r="O137" s="168" t="str">
        <f>IF(O$3="","",IF(COUNTIFS(BD!$A$3:$A$5001,O$3,BD!$B$3:$B$5001,$A$131,BD!$U$3:$U$5001,"&lt;&gt;")=0,"",SUMIFS(BD!$U$3:$U$5001,BD!$A$3:$A$5001,O$3,BD!$B$3:$B$5001,$A$131)))</f>
        <v/>
      </c>
      <c r="P137" s="168" t="str">
        <f>IF(P$3="","",IF(COUNTIFS(BD!$A$3:$A$5001,P$3,BD!$B$3:$B$5001,$A$131,BD!$U$3:$U$5001,"&lt;&gt;")=0,"",SUMIFS(BD!$U$3:$U$5001,BD!$A$3:$A$5001,P$3,BD!$B$3:$B$5001,$A$131)))</f>
        <v/>
      </c>
      <c r="Q137" s="168" t="str">
        <f>IF(Q$3="","",IF(COUNTIFS(BD!$A$3:$A$5001,Q$3,BD!$B$3:$B$5001,$A$131,BD!$U$3:$U$5001,"&lt;&gt;")=0,"",SUMIFS(BD!$U$3:$U$5001,BD!$A$3:$A$5001,Q$3,BD!$B$3:$B$5001,$A$131)))</f>
        <v/>
      </c>
      <c r="R137" s="168" t="str">
        <f>IF(R$3="","",IF(COUNTIFS(BD!$A$3:$A$5001,R$3,BD!$B$3:$B$5001,$A$131,BD!$U$3:$U$5001,"&lt;&gt;")=0,"",SUMIFS(BD!$U$3:$U$5001,BD!$A$3:$A$5001,R$3,BD!$B$3:$B$5001,$A$131)))</f>
        <v/>
      </c>
      <c r="S137" s="168" t="str">
        <f>IF(S$3="","",IF(COUNTIFS(BD!$A$3:$A$5001,S$3,BD!$B$3:$B$5001,$A$131,BD!$U$3:$U$5001,"&lt;&gt;")=0,"",SUMIFS(BD!$U$3:$U$5001,BD!$A$3:$A$5001,S$3,BD!$B$3:$B$5001,$A$131)))</f>
        <v/>
      </c>
      <c r="T137" s="168" t="str">
        <f>IF(T$3="","",IF(COUNTIFS(BD!$A$3:$A$5001,T$3,BD!$B$3:$B$5001,$A$131,BD!$U$3:$U$5001,"&lt;&gt;")=0,"",SUMIFS(BD!$U$3:$U$5001,BD!$A$3:$A$5001,T$3,BD!$B$3:$B$5001,$A$131)))</f>
        <v/>
      </c>
      <c r="U137" s="168" t="str">
        <f>IF(U$3="","",IF(COUNTIFS(BD!$A$3:$A$5001,U$3,BD!$B$3:$B$5001,$A$131,BD!$U$3:$U$5001,"&lt;&gt;")=0,"",SUMIFS(BD!$U$3:$U$5001,BD!$A$3:$A$5001,U$3,BD!$B$3:$B$5001,$A$131)))</f>
        <v/>
      </c>
      <c r="V137" s="168" t="str">
        <f>IF(V$3="","",IF(COUNTIFS(BD!$A$3:$A$5001,V$3,BD!$B$3:$B$5001,$A$131,BD!$U$3:$U$5001,"&lt;&gt;")=0,"",SUMIFS(BD!$U$3:$U$5001,BD!$A$3:$A$5001,V$3,BD!$B$3:$B$5001,$A$131)))</f>
        <v/>
      </c>
      <c r="W137" s="168" t="str">
        <f>IF(W$3="","",IF(COUNTIFS(BD!$A$3:$A$5001,W$3,BD!$B$3:$B$5001,$A$131,BD!$U$3:$U$5001,"&lt;&gt;")=0,"",SUMIFS(BD!$U$3:$U$5001,BD!$A$3:$A$5001,W$3,BD!$B$3:$B$5001,$A$131)))</f>
        <v/>
      </c>
      <c r="X137" s="168" t="str">
        <f>IF(X$3="","",IF(COUNTIFS(BD!$A$3:$A$5001,X$3,BD!$B$3:$B$5001,$A$131,BD!$U$3:$U$5001,"&lt;&gt;")=0,"",SUMIFS(BD!$U$3:$U$5001,BD!$A$3:$A$5001,X$3,BD!$B$3:$B$5001,$A$131)))</f>
        <v/>
      </c>
      <c r="Y137" s="168" t="str">
        <f>IF(Y$3="","",IF(COUNTIFS(BD!$A$3:$A$5001,Y$3,BD!$B$3:$B$5001,$A$131,BD!$U$3:$U$5001,"&lt;&gt;")=0,"",SUMIFS(BD!$U$3:$U$5001,BD!$A$3:$A$5001,Y$3,BD!$B$3:$B$5001,$A$131)))</f>
        <v/>
      </c>
      <c r="Z137" s="168" t="str">
        <f>IF(Z$3="","",IF(COUNTIFS(BD!$A$3:$A$5001,Z$3,BD!$B$3:$B$5001,$A$131,BD!$U$3:$U$5001,"&lt;&gt;")=0,"",SUMIFS(BD!$U$3:$U$5001,BD!$A$3:$A$5001,Z$3,BD!$B$3:$B$5001,$A$131)))</f>
        <v/>
      </c>
      <c r="AA137" s="168" t="str">
        <f>IF(AA$3="","",IF(COUNTIFS(BD!$A$3:$A$5001,AA$3,BD!$B$3:$B$5001,$A$131,BD!$U$3:$U$5001,"&lt;&gt;")=0,"",SUMIFS(BD!$U$3:$U$5001,BD!$A$3:$A$5001,AA$3,BD!$B$3:$B$5001,$A$131)))</f>
        <v/>
      </c>
      <c r="AB137" s="168" t="str">
        <f>IF(AB$3="","",IF(COUNTIFS(BD!$A$3:$A$5001,AB$3,BD!$B$3:$B$5001,$A$131,BD!$U$3:$U$5001,"&lt;&gt;")=0,"",SUMIFS(BD!$U$3:$U$5001,BD!$A$3:$A$5001,AB$3,BD!$B$3:$B$5001,$A$131)))</f>
        <v/>
      </c>
      <c r="AC137" s="168" t="str">
        <f>IF(AC$3="","",IF(COUNTIFS(BD!$A$3:$A$5001,AC$3,BD!$B$3:$B$5001,$A$131,BD!$U$3:$U$5001,"&lt;&gt;")=0,"",SUMIFS(BD!$U$3:$U$5001,BD!$A$3:$A$5001,AC$3,BD!$B$3:$B$5001,$A$131)))</f>
        <v/>
      </c>
      <c r="AD137" s="168" t="str">
        <f>IF(AD$3="","",IF(COUNTIFS(BD!$A$3:$A$5001,AD$3,BD!$B$3:$B$5001,$A$131,BD!$U$3:$U$5001,"&lt;&gt;")=0,"",SUMIFS(BD!$U$3:$U$5001,BD!$A$3:$A$5001,AD$3,BD!$B$3:$B$5001,$A$131)))</f>
        <v/>
      </c>
      <c r="AE137" s="168" t="str">
        <f>IF(AE$3="","",IF(COUNTIFS(BD!$A$3:$A$5001,AE$3,BD!$B$3:$B$5001,$A$131,BD!$U$3:$U$5001,"&lt;&gt;")=0,"",SUMIFS(BD!$U$3:$U$5001,BD!$A$3:$A$5001,AE$3,BD!$B$3:$B$5001,$A$131)))</f>
        <v/>
      </c>
      <c r="AF137" s="168" t="str">
        <f>IF(AF$3="","",IF(COUNTIFS(BD!$A$3:$A$5001,AF$3,BD!$B$3:$B$5001,$A$131,BD!$U$3:$U$5001,"&lt;&gt;")=0,"",SUMIFS(BD!$U$3:$U$5001,BD!$A$3:$A$5001,AF$3,BD!$B$3:$B$5001,$A$131)))</f>
        <v/>
      </c>
      <c r="AG137" s="168" t="str">
        <f>IF(AG$3="","",IF(COUNTIFS(BD!$A$3:$A$5001,AG$3,BD!$B$3:$B$5001,$A$131,BD!$U$3:$U$5001,"&lt;&gt;")=0,"",SUMIFS(BD!$U$3:$U$5001,BD!$A$3:$A$5001,AG$3,BD!$B$3:$B$5001,$A$131)))</f>
        <v/>
      </c>
      <c r="AH137" s="168" t="str">
        <f>IF(AH$3="","",IF(COUNTIFS(BD!$A$3:$A$5001,AH$3,BD!$B$3:$B$5001,$A$131,BD!$U$3:$U$5001,"&lt;&gt;")=0,"",SUMIFS(BD!$U$3:$U$5001,BD!$A$3:$A$5001,AH$3,BD!$B$3:$B$5001,$A$131)))</f>
        <v/>
      </c>
      <c r="AI137" s="168" t="str">
        <f>IF(AI$3="","",IF(COUNTIFS(BD!$A$3:$A$5001,AI$3,BD!$B$3:$B$5001,$A$131,BD!$U$3:$U$5001,"&lt;&gt;")=0,"",SUMIFS(BD!$U$3:$U$5001,BD!$A$3:$A$5001,AI$3,BD!$B$3:$B$5001,$A$131)))</f>
        <v/>
      </c>
      <c r="AJ137" s="169" t="str">
        <f>IF(AJ$3="","",IF(COUNTIFS(BD!$A$3:$A$5001,AJ$3,BD!$B$3:$B$5001,$A$131,BD!$U$3:$U$5001,"&lt;&gt;")=0,"",SUMIFS(BD!$U$3:$U$5001,BD!$A$3:$A$5001,AJ$3,BD!$B$3:$B$5001,$A$131)))</f>
        <v/>
      </c>
      <c r="AK137" s="170" t="str">
        <f>IF(COUNT(F137:AJ137)=0,"",SUM(F137:AJ137))</f>
        <v/>
      </c>
    </row>
    <row r="138" ht="15.75" customHeight="1">
      <c r="A138" s="227"/>
      <c r="B138" s="220"/>
      <c r="C138" s="171" t="inlineStr">
        <is>
          <t xml:space="preserve">No show</t>
        </is>
      </c>
      <c r="D138" s="172" t="str">
        <f>IFERROR(1/(1/INDEX(BD!$AK$42:$AT$42,MATCH($A$131,BD!$AK$22:$AT$22,0))),"")</f>
        <v/>
      </c>
      <c r="E138" s="173"/>
      <c r="F138" s="174" t="str">
        <f>IF(F$3="","",IF(COUNTIFS(BD!$A$3:$A$5001,F$3,BD!$B$3:$B$5001,$A$131,BD!$V$3:$V$5001,"&lt;&gt;")=0,"",SUMIFS(BD!$V$3:$V$5001,BD!$A$3:$A$5001,F$3,BD!$B$3:$B$5001,$A$131)))</f>
        <v/>
      </c>
      <c r="G138" s="175" t="str">
        <f>IF(G$3="","",IF(COUNTIFS(BD!$A$3:$A$5001,G$3,BD!$B$3:$B$5001,$A$131,BD!$V$3:$V$5001,"&lt;&gt;")=0,"",SUMIFS(BD!$V$3:$V$5001,BD!$A$3:$A$5001,G$3,BD!$B$3:$B$5001,$A$131)))</f>
        <v/>
      </c>
      <c r="H138" s="175" t="str">
        <f>IF(H$3="","",IF(COUNTIFS(BD!$A$3:$A$5001,H$3,BD!$B$3:$B$5001,$A$131,BD!$V$3:$V$5001,"&lt;&gt;")=0,"",SUMIFS(BD!$V$3:$V$5001,BD!$A$3:$A$5001,H$3,BD!$B$3:$B$5001,$A$131)))</f>
        <v/>
      </c>
      <c r="I138" s="175" t="str">
        <f>IF(I$3="","",IF(COUNTIFS(BD!$A$3:$A$5001,I$3,BD!$B$3:$B$5001,$A$131,BD!$V$3:$V$5001,"&lt;&gt;")=0,"",SUMIFS(BD!$V$3:$V$5001,BD!$A$3:$A$5001,I$3,BD!$B$3:$B$5001,$A$131)))</f>
        <v/>
      </c>
      <c r="J138" s="175" t="str">
        <f>IF(J$3="","",IF(COUNTIFS(BD!$A$3:$A$5001,J$3,BD!$B$3:$B$5001,$A$131,BD!$V$3:$V$5001,"&lt;&gt;")=0,"",SUMIFS(BD!$V$3:$V$5001,BD!$A$3:$A$5001,J$3,BD!$B$3:$B$5001,$A$131)))</f>
        <v/>
      </c>
      <c r="K138" s="175" t="str">
        <f>IF(K$3="","",IF(COUNTIFS(BD!$A$3:$A$5001,K$3,BD!$B$3:$B$5001,$A$131,BD!$V$3:$V$5001,"&lt;&gt;")=0,"",SUMIFS(BD!$V$3:$V$5001,BD!$A$3:$A$5001,K$3,BD!$B$3:$B$5001,$A$131)))</f>
        <v/>
      </c>
      <c r="L138" s="175" t="str">
        <f>IF(L$3="","",IF(COUNTIFS(BD!$A$3:$A$5001,L$3,BD!$B$3:$B$5001,$A$131,BD!$V$3:$V$5001,"&lt;&gt;")=0,"",SUMIFS(BD!$V$3:$V$5001,BD!$A$3:$A$5001,L$3,BD!$B$3:$B$5001,$A$131)))</f>
        <v/>
      </c>
      <c r="M138" s="175" t="str">
        <f>IF(M$3="","",IF(COUNTIFS(BD!$A$3:$A$5001,M$3,BD!$B$3:$B$5001,$A$131,BD!$V$3:$V$5001,"&lt;&gt;")=0,"",SUMIFS(BD!$V$3:$V$5001,BD!$A$3:$A$5001,M$3,BD!$B$3:$B$5001,$A$131)))</f>
        <v/>
      </c>
      <c r="N138" s="175" t="str">
        <f>IF(N$3="","",IF(COUNTIFS(BD!$A$3:$A$5001,N$3,BD!$B$3:$B$5001,$A$131,BD!$V$3:$V$5001,"&lt;&gt;")=0,"",SUMIFS(BD!$V$3:$V$5001,BD!$A$3:$A$5001,N$3,BD!$B$3:$B$5001,$A$131)))</f>
        <v/>
      </c>
      <c r="O138" s="175" t="str">
        <f>IF(O$3="","",IF(COUNTIFS(BD!$A$3:$A$5001,O$3,BD!$B$3:$B$5001,$A$131,BD!$V$3:$V$5001,"&lt;&gt;")=0,"",SUMIFS(BD!$V$3:$V$5001,BD!$A$3:$A$5001,O$3,BD!$B$3:$B$5001,$A$131)))</f>
        <v/>
      </c>
      <c r="P138" s="175" t="str">
        <f>IF(P$3="","",IF(COUNTIFS(BD!$A$3:$A$5001,P$3,BD!$B$3:$B$5001,$A$131,BD!$V$3:$V$5001,"&lt;&gt;")=0,"",SUMIFS(BD!$V$3:$V$5001,BD!$A$3:$A$5001,P$3,BD!$B$3:$B$5001,$A$131)))</f>
        <v/>
      </c>
      <c r="Q138" s="175" t="str">
        <f>IF(Q$3="","",IF(COUNTIFS(BD!$A$3:$A$5001,Q$3,BD!$B$3:$B$5001,$A$131,BD!$V$3:$V$5001,"&lt;&gt;")=0,"",SUMIFS(BD!$V$3:$V$5001,BD!$A$3:$A$5001,Q$3,BD!$B$3:$B$5001,$A$131)))</f>
        <v/>
      </c>
      <c r="R138" s="175" t="str">
        <f>IF(R$3="","",IF(COUNTIFS(BD!$A$3:$A$5001,R$3,BD!$B$3:$B$5001,$A$131,BD!$V$3:$V$5001,"&lt;&gt;")=0,"",SUMIFS(BD!$V$3:$V$5001,BD!$A$3:$A$5001,R$3,BD!$B$3:$B$5001,$A$131)))</f>
        <v/>
      </c>
      <c r="S138" s="175" t="str">
        <f>IF(S$3="","",IF(COUNTIFS(BD!$A$3:$A$5001,S$3,BD!$B$3:$B$5001,$A$131,BD!$V$3:$V$5001,"&lt;&gt;")=0,"",SUMIFS(BD!$V$3:$V$5001,BD!$A$3:$A$5001,S$3,BD!$B$3:$B$5001,$A$131)))</f>
        <v/>
      </c>
      <c r="T138" s="175" t="str">
        <f>IF(T$3="","",IF(COUNTIFS(BD!$A$3:$A$5001,T$3,BD!$B$3:$B$5001,$A$131,BD!$V$3:$V$5001,"&lt;&gt;")=0,"",SUMIFS(BD!$V$3:$V$5001,BD!$A$3:$A$5001,T$3,BD!$B$3:$B$5001,$A$131)))</f>
        <v/>
      </c>
      <c r="U138" s="175" t="str">
        <f>IF(U$3="","",IF(COUNTIFS(BD!$A$3:$A$5001,U$3,BD!$B$3:$B$5001,$A$131,BD!$V$3:$V$5001,"&lt;&gt;")=0,"",SUMIFS(BD!$V$3:$V$5001,BD!$A$3:$A$5001,U$3,BD!$B$3:$B$5001,$A$131)))</f>
        <v/>
      </c>
      <c r="V138" s="175" t="str">
        <f>IF(V$3="","",IF(COUNTIFS(BD!$A$3:$A$5001,V$3,BD!$B$3:$B$5001,$A$131,BD!$V$3:$V$5001,"&lt;&gt;")=0,"",SUMIFS(BD!$V$3:$V$5001,BD!$A$3:$A$5001,V$3,BD!$B$3:$B$5001,$A$131)))</f>
        <v/>
      </c>
      <c r="W138" s="175" t="str">
        <f>IF(W$3="","",IF(COUNTIFS(BD!$A$3:$A$5001,W$3,BD!$B$3:$B$5001,$A$131,BD!$V$3:$V$5001,"&lt;&gt;")=0,"",SUMIFS(BD!$V$3:$V$5001,BD!$A$3:$A$5001,W$3,BD!$B$3:$B$5001,$A$131)))</f>
        <v/>
      </c>
      <c r="X138" s="175" t="str">
        <f>IF(X$3="","",IF(COUNTIFS(BD!$A$3:$A$5001,X$3,BD!$B$3:$B$5001,$A$131,BD!$V$3:$V$5001,"&lt;&gt;")=0,"",SUMIFS(BD!$V$3:$V$5001,BD!$A$3:$A$5001,X$3,BD!$B$3:$B$5001,$A$131)))</f>
        <v/>
      </c>
      <c r="Y138" s="175" t="str">
        <f>IF(Y$3="","",IF(COUNTIFS(BD!$A$3:$A$5001,Y$3,BD!$B$3:$B$5001,$A$131,BD!$V$3:$V$5001,"&lt;&gt;")=0,"",SUMIFS(BD!$V$3:$V$5001,BD!$A$3:$A$5001,Y$3,BD!$B$3:$B$5001,$A$131)))</f>
        <v/>
      </c>
      <c r="Z138" s="175" t="str">
        <f>IF(Z$3="","",IF(COUNTIFS(BD!$A$3:$A$5001,Z$3,BD!$B$3:$B$5001,$A$131,BD!$V$3:$V$5001,"&lt;&gt;")=0,"",SUMIFS(BD!$V$3:$V$5001,BD!$A$3:$A$5001,Z$3,BD!$B$3:$B$5001,$A$131)))</f>
        <v/>
      </c>
      <c r="AA138" s="175" t="str">
        <f>IF(AA$3="","",IF(COUNTIFS(BD!$A$3:$A$5001,AA$3,BD!$B$3:$B$5001,$A$131,BD!$V$3:$V$5001,"&lt;&gt;")=0,"",SUMIFS(BD!$V$3:$V$5001,BD!$A$3:$A$5001,AA$3,BD!$B$3:$B$5001,$A$131)))</f>
        <v/>
      </c>
      <c r="AB138" s="175" t="str">
        <f>IF(AB$3="","",IF(COUNTIFS(BD!$A$3:$A$5001,AB$3,BD!$B$3:$B$5001,$A$131,BD!$V$3:$V$5001,"&lt;&gt;")=0,"",SUMIFS(BD!$V$3:$V$5001,BD!$A$3:$A$5001,AB$3,BD!$B$3:$B$5001,$A$131)))</f>
        <v/>
      </c>
      <c r="AC138" s="175" t="str">
        <f>IF(AC$3="","",IF(COUNTIFS(BD!$A$3:$A$5001,AC$3,BD!$B$3:$B$5001,$A$131,BD!$V$3:$V$5001,"&lt;&gt;")=0,"",SUMIFS(BD!$V$3:$V$5001,BD!$A$3:$A$5001,AC$3,BD!$B$3:$B$5001,$A$131)))</f>
        <v/>
      </c>
      <c r="AD138" s="175" t="str">
        <f>IF(AD$3="","",IF(COUNTIFS(BD!$A$3:$A$5001,AD$3,BD!$B$3:$B$5001,$A$131,BD!$V$3:$V$5001,"&lt;&gt;")=0,"",SUMIFS(BD!$V$3:$V$5001,BD!$A$3:$A$5001,AD$3,BD!$B$3:$B$5001,$A$131)))</f>
        <v/>
      </c>
      <c r="AE138" s="175" t="str">
        <f>IF(AE$3="","",IF(COUNTIFS(BD!$A$3:$A$5001,AE$3,BD!$B$3:$B$5001,$A$131,BD!$V$3:$V$5001,"&lt;&gt;")=0,"",SUMIFS(BD!$V$3:$V$5001,BD!$A$3:$A$5001,AE$3,BD!$B$3:$B$5001,$A$131)))</f>
        <v/>
      </c>
      <c r="AF138" s="175" t="str">
        <f>IF(AF$3="","",IF(COUNTIFS(BD!$A$3:$A$5001,AF$3,BD!$B$3:$B$5001,$A$131,BD!$V$3:$V$5001,"&lt;&gt;")=0,"",SUMIFS(BD!$V$3:$V$5001,BD!$A$3:$A$5001,AF$3,BD!$B$3:$B$5001,$A$131)))</f>
        <v/>
      </c>
      <c r="AG138" s="175" t="str">
        <f>IF(AG$3="","",IF(COUNTIFS(BD!$A$3:$A$5001,AG$3,BD!$B$3:$B$5001,$A$131,BD!$V$3:$V$5001,"&lt;&gt;")=0,"",SUMIFS(BD!$V$3:$V$5001,BD!$A$3:$A$5001,AG$3,BD!$B$3:$B$5001,$A$131)))</f>
        <v/>
      </c>
      <c r="AH138" s="175" t="str">
        <f>IF(AH$3="","",IF(COUNTIFS(BD!$A$3:$A$5001,AH$3,BD!$B$3:$B$5001,$A$131,BD!$V$3:$V$5001,"&lt;&gt;")=0,"",SUMIFS(BD!$V$3:$V$5001,BD!$A$3:$A$5001,AH$3,BD!$B$3:$B$5001,$A$131)))</f>
        <v/>
      </c>
      <c r="AI138" s="175" t="str">
        <f>IF(AI$3="","",IF(COUNTIFS(BD!$A$3:$A$5001,AI$3,BD!$B$3:$B$5001,$A$131,BD!$V$3:$V$5001,"&lt;&gt;")=0,"",SUMIFS(BD!$V$3:$V$5001,BD!$A$3:$A$5001,AI$3,BD!$B$3:$B$5001,$A$131)))</f>
        <v/>
      </c>
      <c r="AJ138" s="176" t="str">
        <f>IF(AJ$3="","",IF(COUNTIFS(BD!$A$3:$A$5001,AJ$3,BD!$B$3:$B$5001,$A$131,BD!$V$3:$V$5001,"&lt;&gt;")=0,"",SUMIFS(BD!$V$3:$V$5001,BD!$A$3:$A$5001,AJ$3,BD!$B$3:$B$5001,$A$131)))</f>
        <v/>
      </c>
      <c r="AK138" s="177" t="str">
        <f>IF(COUNT(F138:AJ138)=0,"",SUM(F138:AJ138))</f>
        <v/>
      </c>
    </row>
    <row r="139" ht="15.75" customHeight="1">
      <c r="A139" s="227"/>
      <c r="B139" s="221"/>
      <c r="C139" s="178" t="inlineStr">
        <is>
          <t xml:space="preserve">Backlog</t>
        </is>
      </c>
      <c r="D139" s="179" t="str">
        <f>IFERROR(1/(1/INDEX(BD!$AK$43:$AT$43,MATCH($A$131,BD!$AK$22:$AT$22,0))),"")</f>
        <v/>
      </c>
      <c r="E139" s="180"/>
      <c r="F139" s="181" t="str">
        <f>IF(F$3="","",IF(COUNTIFS(BD!$A$3:$A$5001,F$3,BD!$B$3:$B$5001,$A$131,BD!$W$3:$W$5001,"&lt;&gt;")=0,"",SUMIFS(BD!$W$3:$W$5001,BD!$A$3:$A$5001,F$3,BD!$B$3:$B$5001,$A$131)))</f>
        <v/>
      </c>
      <c r="G139" s="182" t="str">
        <f>IF(G$3="","",IF(COUNTIFS(BD!$A$3:$A$5001,G$3,BD!$B$3:$B$5001,$A$131,BD!$W$3:$W$5001,"&lt;&gt;")=0,"",SUMIFS(BD!$W$3:$W$5001,BD!$A$3:$A$5001,G$3,BD!$B$3:$B$5001,$A$131)))</f>
        <v/>
      </c>
      <c r="H139" s="182" t="str">
        <f>IF(H$3="","",IF(COUNTIFS(BD!$A$3:$A$5001,H$3,BD!$B$3:$B$5001,$A$131,BD!$W$3:$W$5001,"&lt;&gt;")=0,"",SUMIFS(BD!$W$3:$W$5001,BD!$A$3:$A$5001,H$3,BD!$B$3:$B$5001,$A$131)))</f>
        <v/>
      </c>
      <c r="I139" s="182" t="str">
        <f>IF(I$3="","",IF(COUNTIFS(BD!$A$3:$A$5001,I$3,BD!$B$3:$B$5001,$A$131,BD!$W$3:$W$5001,"&lt;&gt;")=0,"",SUMIFS(BD!$W$3:$W$5001,BD!$A$3:$A$5001,I$3,BD!$B$3:$B$5001,$A$131)))</f>
        <v/>
      </c>
      <c r="J139" s="182" t="str">
        <f>IF(J$3="","",IF(COUNTIFS(BD!$A$3:$A$5001,J$3,BD!$B$3:$B$5001,$A$131,BD!$W$3:$W$5001,"&lt;&gt;")=0,"",SUMIFS(BD!$W$3:$W$5001,BD!$A$3:$A$5001,J$3,BD!$B$3:$B$5001,$A$131)))</f>
        <v/>
      </c>
      <c r="K139" s="182" t="str">
        <f>IF(K$3="","",IF(COUNTIFS(BD!$A$3:$A$5001,K$3,BD!$B$3:$B$5001,$A$131,BD!$W$3:$W$5001,"&lt;&gt;")=0,"",SUMIFS(BD!$W$3:$W$5001,BD!$A$3:$A$5001,K$3,BD!$B$3:$B$5001,$A$131)))</f>
        <v/>
      </c>
      <c r="L139" s="182" t="str">
        <f>IF(L$3="","",IF(COUNTIFS(BD!$A$3:$A$5001,L$3,BD!$B$3:$B$5001,$A$131,BD!$W$3:$W$5001,"&lt;&gt;")=0,"",SUMIFS(BD!$W$3:$W$5001,BD!$A$3:$A$5001,L$3,BD!$B$3:$B$5001,$A$131)))</f>
        <v/>
      </c>
      <c r="M139" s="182" t="str">
        <f>IF(M$3="","",IF(COUNTIFS(BD!$A$3:$A$5001,M$3,BD!$B$3:$B$5001,$A$131,BD!$W$3:$W$5001,"&lt;&gt;")=0,"",SUMIFS(BD!$W$3:$W$5001,BD!$A$3:$A$5001,M$3,BD!$B$3:$B$5001,$A$131)))</f>
        <v/>
      </c>
      <c r="N139" s="182" t="str">
        <f>IF(N$3="","",IF(COUNTIFS(BD!$A$3:$A$5001,N$3,BD!$B$3:$B$5001,$A$131,BD!$W$3:$W$5001,"&lt;&gt;")=0,"",SUMIFS(BD!$W$3:$W$5001,BD!$A$3:$A$5001,N$3,BD!$B$3:$B$5001,$A$131)))</f>
        <v/>
      </c>
      <c r="O139" s="182" t="str">
        <f>IF(O$3="","",IF(COUNTIFS(BD!$A$3:$A$5001,O$3,BD!$B$3:$B$5001,$A$131,BD!$W$3:$W$5001,"&lt;&gt;")=0,"",SUMIFS(BD!$W$3:$W$5001,BD!$A$3:$A$5001,O$3,BD!$B$3:$B$5001,$A$131)))</f>
        <v/>
      </c>
      <c r="P139" s="182" t="str">
        <f>IF(P$3="","",IF(COUNTIFS(BD!$A$3:$A$5001,P$3,BD!$B$3:$B$5001,$A$131,BD!$W$3:$W$5001,"&lt;&gt;")=0,"",SUMIFS(BD!$W$3:$W$5001,BD!$A$3:$A$5001,P$3,BD!$B$3:$B$5001,$A$131)))</f>
        <v/>
      </c>
      <c r="Q139" s="182" t="str">
        <f>IF(Q$3="","",IF(COUNTIFS(BD!$A$3:$A$5001,Q$3,BD!$B$3:$B$5001,$A$131,BD!$W$3:$W$5001,"&lt;&gt;")=0,"",SUMIFS(BD!$W$3:$W$5001,BD!$A$3:$A$5001,Q$3,BD!$B$3:$B$5001,$A$131)))</f>
        <v/>
      </c>
      <c r="R139" s="182" t="str">
        <f>IF(R$3="","",IF(COUNTIFS(BD!$A$3:$A$5001,R$3,BD!$B$3:$B$5001,$A$131,BD!$W$3:$W$5001,"&lt;&gt;")=0,"",SUMIFS(BD!$W$3:$W$5001,BD!$A$3:$A$5001,R$3,BD!$B$3:$B$5001,$A$131)))</f>
        <v/>
      </c>
      <c r="S139" s="182" t="str">
        <f>IF(S$3="","",IF(COUNTIFS(BD!$A$3:$A$5001,S$3,BD!$B$3:$B$5001,$A$131,BD!$W$3:$W$5001,"&lt;&gt;")=0,"",SUMIFS(BD!$W$3:$W$5001,BD!$A$3:$A$5001,S$3,BD!$B$3:$B$5001,$A$131)))</f>
        <v/>
      </c>
      <c r="T139" s="182" t="str">
        <f>IF(T$3="","",IF(COUNTIFS(BD!$A$3:$A$5001,T$3,BD!$B$3:$B$5001,$A$131,BD!$W$3:$W$5001,"&lt;&gt;")=0,"",SUMIFS(BD!$W$3:$W$5001,BD!$A$3:$A$5001,T$3,BD!$B$3:$B$5001,$A$131)))</f>
        <v/>
      </c>
      <c r="U139" s="182" t="str">
        <f>IF(U$3="","",IF(COUNTIFS(BD!$A$3:$A$5001,U$3,BD!$B$3:$B$5001,$A$131,BD!$W$3:$W$5001,"&lt;&gt;")=0,"",SUMIFS(BD!$W$3:$W$5001,BD!$A$3:$A$5001,U$3,BD!$B$3:$B$5001,$A$131)))</f>
        <v/>
      </c>
      <c r="V139" s="182" t="str">
        <f>IF(V$3="","",IF(COUNTIFS(BD!$A$3:$A$5001,V$3,BD!$B$3:$B$5001,$A$131,BD!$W$3:$W$5001,"&lt;&gt;")=0,"",SUMIFS(BD!$W$3:$W$5001,BD!$A$3:$A$5001,V$3,BD!$B$3:$B$5001,$A$131)))</f>
        <v/>
      </c>
      <c r="W139" s="182" t="str">
        <f>IF(W$3="","",IF(COUNTIFS(BD!$A$3:$A$5001,W$3,BD!$B$3:$B$5001,$A$131,BD!$W$3:$W$5001,"&lt;&gt;")=0,"",SUMIFS(BD!$W$3:$W$5001,BD!$A$3:$A$5001,W$3,BD!$B$3:$B$5001,$A$131)))</f>
        <v/>
      </c>
      <c r="X139" s="182" t="str">
        <f>IF(X$3="","",IF(COUNTIFS(BD!$A$3:$A$5001,X$3,BD!$B$3:$B$5001,$A$131,BD!$W$3:$W$5001,"&lt;&gt;")=0,"",SUMIFS(BD!$W$3:$W$5001,BD!$A$3:$A$5001,X$3,BD!$B$3:$B$5001,$A$131)))</f>
        <v/>
      </c>
      <c r="Y139" s="182" t="str">
        <f>IF(Y$3="","",IF(COUNTIFS(BD!$A$3:$A$5001,Y$3,BD!$B$3:$B$5001,$A$131,BD!$W$3:$W$5001,"&lt;&gt;")=0,"",SUMIFS(BD!$W$3:$W$5001,BD!$A$3:$A$5001,Y$3,BD!$B$3:$B$5001,$A$131)))</f>
        <v/>
      </c>
      <c r="Z139" s="182" t="str">
        <f>IF(Z$3="","",IF(COUNTIFS(BD!$A$3:$A$5001,Z$3,BD!$B$3:$B$5001,$A$131,BD!$W$3:$W$5001,"&lt;&gt;")=0,"",SUMIFS(BD!$W$3:$W$5001,BD!$A$3:$A$5001,Z$3,BD!$B$3:$B$5001,$A$131)))</f>
        <v/>
      </c>
      <c r="AA139" s="182" t="str">
        <f>IF(AA$3="","",IF(COUNTIFS(BD!$A$3:$A$5001,AA$3,BD!$B$3:$B$5001,$A$131,BD!$W$3:$W$5001,"&lt;&gt;")=0,"",SUMIFS(BD!$W$3:$W$5001,BD!$A$3:$A$5001,AA$3,BD!$B$3:$B$5001,$A$131)))</f>
        <v/>
      </c>
      <c r="AB139" s="182" t="str">
        <f>IF(AB$3="","",IF(COUNTIFS(BD!$A$3:$A$5001,AB$3,BD!$B$3:$B$5001,$A$131,BD!$W$3:$W$5001,"&lt;&gt;")=0,"",SUMIFS(BD!$W$3:$W$5001,BD!$A$3:$A$5001,AB$3,BD!$B$3:$B$5001,$A$131)))</f>
        <v/>
      </c>
      <c r="AC139" s="182" t="str">
        <f>IF(AC$3="","",IF(COUNTIFS(BD!$A$3:$A$5001,AC$3,BD!$B$3:$B$5001,$A$131,BD!$W$3:$W$5001,"&lt;&gt;")=0,"",SUMIFS(BD!$W$3:$W$5001,BD!$A$3:$A$5001,AC$3,BD!$B$3:$B$5001,$A$131)))</f>
        <v/>
      </c>
      <c r="AD139" s="182" t="str">
        <f>IF(AD$3="","",IF(COUNTIFS(BD!$A$3:$A$5001,AD$3,BD!$B$3:$B$5001,$A$131,BD!$W$3:$W$5001,"&lt;&gt;")=0,"",SUMIFS(BD!$W$3:$W$5001,BD!$A$3:$A$5001,AD$3,BD!$B$3:$B$5001,$A$131)))</f>
        <v/>
      </c>
      <c r="AE139" s="182" t="str">
        <f>IF(AE$3="","",IF(COUNTIFS(BD!$A$3:$A$5001,AE$3,BD!$B$3:$B$5001,$A$131,BD!$W$3:$W$5001,"&lt;&gt;")=0,"",SUMIFS(BD!$W$3:$W$5001,BD!$A$3:$A$5001,AE$3,BD!$B$3:$B$5001,$A$131)))</f>
        <v/>
      </c>
      <c r="AF139" s="182" t="str">
        <f>IF(AF$3="","",IF(COUNTIFS(BD!$A$3:$A$5001,AF$3,BD!$B$3:$B$5001,$A$131,BD!$W$3:$W$5001,"&lt;&gt;")=0,"",SUMIFS(BD!$W$3:$W$5001,BD!$A$3:$A$5001,AF$3,BD!$B$3:$B$5001,$A$131)))</f>
        <v/>
      </c>
      <c r="AG139" s="182" t="str">
        <f>IF(AG$3="","",IF(COUNTIFS(BD!$A$3:$A$5001,AG$3,BD!$B$3:$B$5001,$A$131,BD!$W$3:$W$5001,"&lt;&gt;")=0,"",SUMIFS(BD!$W$3:$W$5001,BD!$A$3:$A$5001,AG$3,BD!$B$3:$B$5001,$A$131)))</f>
        <v/>
      </c>
      <c r="AH139" s="182" t="str">
        <f>IF(AH$3="","",IF(COUNTIFS(BD!$A$3:$A$5001,AH$3,BD!$B$3:$B$5001,$A$131,BD!$W$3:$W$5001,"&lt;&gt;")=0,"",SUMIFS(BD!$W$3:$W$5001,BD!$A$3:$A$5001,AH$3,BD!$B$3:$B$5001,$A$131)))</f>
        <v/>
      </c>
      <c r="AI139" s="182" t="str">
        <f>IF(AI$3="","",IF(COUNTIFS(BD!$A$3:$A$5001,AI$3,BD!$B$3:$B$5001,$A$131,BD!$W$3:$W$5001,"&lt;&gt;")=0,"",SUMIFS(BD!$W$3:$W$5001,BD!$A$3:$A$5001,AI$3,BD!$B$3:$B$5001,$A$131)))</f>
        <v/>
      </c>
      <c r="AJ139" s="183" t="str">
        <f>IF(AJ$3="","",IF(COUNTIFS(BD!$A$3:$A$5001,AJ$3,BD!$B$3:$B$5001,$A$131,BD!$W$3:$W$5001,"&lt;&gt;")=0,"",SUMIFS(BD!$W$3:$W$5001,BD!$A$3:$A$5001,AJ$3,BD!$B$3:$B$5001,$A$131)))</f>
        <v/>
      </c>
      <c r="AK139" s="179" t="str">
        <f>IFERROR(LOOKUP(9.99E+307,F139:AJ139),"")</f>
        <v/>
      </c>
    </row>
    <row r="140" ht="15.75" customHeight="1">
      <c r="A140" s="227"/>
      <c r="B140" s="215" t="inlineStr">
        <is>
          <t xml:space="preserve">OCUPAÇÃO (P.P)</t>
        </is>
      </c>
      <c r="C140" s="138" t="inlineStr">
        <is>
          <t xml:space="preserve">Posições Disponíveis</t>
        </is>
      </c>
      <c r="D140" s="139" t="str">
        <f>IFERROR(1/(1/INDEX(BD!$AK$44:$AT$44,MATCH($A$131,BD!$AK$22:$AT$22,0))),"")</f>
        <v/>
      </c>
      <c r="E140" s="140"/>
      <c r="F140" s="141" t="str">
        <f>IF(F$3="","",IF(COUNTIFS(BD!$A$3:$A$5001,F$3,BD!$B$3:$B$5001,$A$131,BD!$X$3:$X$5001,"&lt;&gt;")=0,"",SUMIFS(BD!$X$3:$X$5001,BD!$A$3:$A$5001,F$3,BD!$B$3:$B$5001,$A$131)))</f>
        <v/>
      </c>
      <c r="G140" s="142" t="str">
        <f>IF(G$3="","",IF(COUNTIFS(BD!$A$3:$A$5001,G$3,BD!$B$3:$B$5001,$A$131,BD!$X$3:$X$5001,"&lt;&gt;")=0,"",SUMIFS(BD!$X$3:$X$5001,BD!$A$3:$A$5001,G$3,BD!$B$3:$B$5001,$A$131)))</f>
        <v/>
      </c>
      <c r="H140" s="142" t="str">
        <f>IF(H$3="","",IF(COUNTIFS(BD!$A$3:$A$5001,H$3,BD!$B$3:$B$5001,$A$131,BD!$X$3:$X$5001,"&lt;&gt;")=0,"",SUMIFS(BD!$X$3:$X$5001,BD!$A$3:$A$5001,H$3,BD!$B$3:$B$5001,$A$131)))</f>
        <v/>
      </c>
      <c r="I140" s="142" t="str">
        <f>IF(I$3="","",IF(COUNTIFS(BD!$A$3:$A$5001,I$3,BD!$B$3:$B$5001,$A$131,BD!$X$3:$X$5001,"&lt;&gt;")=0,"",SUMIFS(BD!$X$3:$X$5001,BD!$A$3:$A$5001,I$3,BD!$B$3:$B$5001,$A$131)))</f>
        <v/>
      </c>
      <c r="J140" s="142" t="str">
        <f>IF(J$3="","",IF(COUNTIFS(BD!$A$3:$A$5001,J$3,BD!$B$3:$B$5001,$A$131,BD!$X$3:$X$5001,"&lt;&gt;")=0,"",SUMIFS(BD!$X$3:$X$5001,BD!$A$3:$A$5001,J$3,BD!$B$3:$B$5001,$A$131)))</f>
        <v/>
      </c>
      <c r="K140" s="142" t="str">
        <f>IF(K$3="","",IF(COUNTIFS(BD!$A$3:$A$5001,K$3,BD!$B$3:$B$5001,$A$131,BD!$X$3:$X$5001,"&lt;&gt;")=0,"",SUMIFS(BD!$X$3:$X$5001,BD!$A$3:$A$5001,K$3,BD!$B$3:$B$5001,$A$131)))</f>
        <v/>
      </c>
      <c r="L140" s="142" t="str">
        <f>IF(L$3="","",IF(COUNTIFS(BD!$A$3:$A$5001,L$3,BD!$B$3:$B$5001,$A$131,BD!$X$3:$X$5001,"&lt;&gt;")=0,"",SUMIFS(BD!$X$3:$X$5001,BD!$A$3:$A$5001,L$3,BD!$B$3:$B$5001,$A$131)))</f>
        <v/>
      </c>
      <c r="M140" s="142" t="str">
        <f>IF(M$3="","",IF(COUNTIFS(BD!$A$3:$A$5001,M$3,BD!$B$3:$B$5001,$A$131,BD!$X$3:$X$5001,"&lt;&gt;")=0,"",SUMIFS(BD!$X$3:$X$5001,BD!$A$3:$A$5001,M$3,BD!$B$3:$B$5001,$A$131)))</f>
        <v/>
      </c>
      <c r="N140" s="142" t="str">
        <f>IF(N$3="","",IF(COUNTIFS(BD!$A$3:$A$5001,N$3,BD!$B$3:$B$5001,$A$131,BD!$X$3:$X$5001,"&lt;&gt;")=0,"",SUMIFS(BD!$X$3:$X$5001,BD!$A$3:$A$5001,N$3,BD!$B$3:$B$5001,$A$131)))</f>
        <v/>
      </c>
      <c r="O140" s="142" t="str">
        <f>IF(O$3="","",IF(COUNTIFS(BD!$A$3:$A$5001,O$3,BD!$B$3:$B$5001,$A$131,BD!$X$3:$X$5001,"&lt;&gt;")=0,"",SUMIFS(BD!$X$3:$X$5001,BD!$A$3:$A$5001,O$3,BD!$B$3:$B$5001,$A$131)))</f>
        <v/>
      </c>
      <c r="P140" s="142" t="str">
        <f>IF(P$3="","",IF(COUNTIFS(BD!$A$3:$A$5001,P$3,BD!$B$3:$B$5001,$A$131,BD!$X$3:$X$5001,"&lt;&gt;")=0,"",SUMIFS(BD!$X$3:$X$5001,BD!$A$3:$A$5001,P$3,BD!$B$3:$B$5001,$A$131)))</f>
        <v/>
      </c>
      <c r="Q140" s="142" t="str">
        <f>IF(Q$3="","",IF(COUNTIFS(BD!$A$3:$A$5001,Q$3,BD!$B$3:$B$5001,$A$131,BD!$X$3:$X$5001,"&lt;&gt;")=0,"",SUMIFS(BD!$X$3:$X$5001,BD!$A$3:$A$5001,Q$3,BD!$B$3:$B$5001,$A$131)))</f>
        <v/>
      </c>
      <c r="R140" s="142" t="str">
        <f>IF(R$3="","",IF(COUNTIFS(BD!$A$3:$A$5001,R$3,BD!$B$3:$B$5001,$A$131,BD!$X$3:$X$5001,"&lt;&gt;")=0,"",SUMIFS(BD!$X$3:$X$5001,BD!$A$3:$A$5001,R$3,BD!$B$3:$B$5001,$A$131)))</f>
        <v/>
      </c>
      <c r="S140" s="142" t="str">
        <f>IF(S$3="","",IF(COUNTIFS(BD!$A$3:$A$5001,S$3,BD!$B$3:$B$5001,$A$131,BD!$X$3:$X$5001,"&lt;&gt;")=0,"",SUMIFS(BD!$X$3:$X$5001,BD!$A$3:$A$5001,S$3,BD!$B$3:$B$5001,$A$131)))</f>
        <v/>
      </c>
      <c r="T140" s="142" t="str">
        <f>IF(T$3="","",IF(COUNTIFS(BD!$A$3:$A$5001,T$3,BD!$B$3:$B$5001,$A$131,BD!$X$3:$X$5001,"&lt;&gt;")=0,"",SUMIFS(BD!$X$3:$X$5001,BD!$A$3:$A$5001,T$3,BD!$B$3:$B$5001,$A$131)))</f>
        <v/>
      </c>
      <c r="U140" s="142" t="str">
        <f>IF(U$3="","",IF(COUNTIFS(BD!$A$3:$A$5001,U$3,BD!$B$3:$B$5001,$A$131,BD!$X$3:$X$5001,"&lt;&gt;")=0,"",SUMIFS(BD!$X$3:$X$5001,BD!$A$3:$A$5001,U$3,BD!$B$3:$B$5001,$A$131)))</f>
        <v/>
      </c>
      <c r="V140" s="142" t="str">
        <f>IF(V$3="","",IF(COUNTIFS(BD!$A$3:$A$5001,V$3,BD!$B$3:$B$5001,$A$131,BD!$X$3:$X$5001,"&lt;&gt;")=0,"",SUMIFS(BD!$X$3:$X$5001,BD!$A$3:$A$5001,V$3,BD!$B$3:$B$5001,$A$131)))</f>
        <v/>
      </c>
      <c r="W140" s="142" t="str">
        <f>IF(W$3="","",IF(COUNTIFS(BD!$A$3:$A$5001,W$3,BD!$B$3:$B$5001,$A$131,BD!$X$3:$X$5001,"&lt;&gt;")=0,"",SUMIFS(BD!$X$3:$X$5001,BD!$A$3:$A$5001,W$3,BD!$B$3:$B$5001,$A$131)))</f>
        <v/>
      </c>
      <c r="X140" s="142" t="str">
        <f>IF(X$3="","",IF(COUNTIFS(BD!$A$3:$A$5001,X$3,BD!$B$3:$B$5001,$A$131,BD!$X$3:$X$5001,"&lt;&gt;")=0,"",SUMIFS(BD!$X$3:$X$5001,BD!$A$3:$A$5001,X$3,BD!$B$3:$B$5001,$A$131)))</f>
        <v/>
      </c>
      <c r="Y140" s="142" t="str">
        <f>IF(Y$3="","",IF(COUNTIFS(BD!$A$3:$A$5001,Y$3,BD!$B$3:$B$5001,$A$131,BD!$X$3:$X$5001,"&lt;&gt;")=0,"",SUMIFS(BD!$X$3:$X$5001,BD!$A$3:$A$5001,Y$3,BD!$B$3:$B$5001,$A$131)))</f>
        <v/>
      </c>
      <c r="Z140" s="142" t="str">
        <f>IF(Z$3="","",IF(COUNTIFS(BD!$A$3:$A$5001,Z$3,BD!$B$3:$B$5001,$A$131,BD!$X$3:$X$5001,"&lt;&gt;")=0,"",SUMIFS(BD!$X$3:$X$5001,BD!$A$3:$A$5001,Z$3,BD!$B$3:$B$5001,$A$131)))</f>
        <v/>
      </c>
      <c r="AA140" s="142" t="str">
        <f>IF(AA$3="","",IF(COUNTIFS(BD!$A$3:$A$5001,AA$3,BD!$B$3:$B$5001,$A$131,BD!$X$3:$X$5001,"&lt;&gt;")=0,"",SUMIFS(BD!$X$3:$X$5001,BD!$A$3:$A$5001,AA$3,BD!$B$3:$B$5001,$A$131)))</f>
        <v/>
      </c>
      <c r="AB140" s="142" t="str">
        <f>IF(AB$3="","",IF(COUNTIFS(BD!$A$3:$A$5001,AB$3,BD!$B$3:$B$5001,$A$131,BD!$X$3:$X$5001,"&lt;&gt;")=0,"",SUMIFS(BD!$X$3:$X$5001,BD!$A$3:$A$5001,AB$3,BD!$B$3:$B$5001,$A$131)))</f>
        <v/>
      </c>
      <c r="AC140" s="142" t="str">
        <f>IF(AC$3="","",IF(COUNTIFS(BD!$A$3:$A$5001,AC$3,BD!$B$3:$B$5001,$A$131,BD!$X$3:$X$5001,"&lt;&gt;")=0,"",SUMIFS(BD!$X$3:$X$5001,BD!$A$3:$A$5001,AC$3,BD!$B$3:$B$5001,$A$131)))</f>
        <v/>
      </c>
      <c r="AD140" s="142" t="str">
        <f>IF(AD$3="","",IF(COUNTIFS(BD!$A$3:$A$5001,AD$3,BD!$B$3:$B$5001,$A$131,BD!$X$3:$X$5001,"&lt;&gt;")=0,"",SUMIFS(BD!$X$3:$X$5001,BD!$A$3:$A$5001,AD$3,BD!$B$3:$B$5001,$A$131)))</f>
        <v/>
      </c>
      <c r="AE140" s="142" t="str">
        <f>IF(AE$3="","",IF(COUNTIFS(BD!$A$3:$A$5001,AE$3,BD!$B$3:$B$5001,$A$131,BD!$X$3:$X$5001,"&lt;&gt;")=0,"",SUMIFS(BD!$X$3:$X$5001,BD!$A$3:$A$5001,AE$3,BD!$B$3:$B$5001,$A$131)))</f>
        <v/>
      </c>
      <c r="AF140" s="142" t="str">
        <f>IF(AF$3="","",IF(COUNTIFS(BD!$A$3:$A$5001,AF$3,BD!$B$3:$B$5001,$A$131,BD!$X$3:$X$5001,"&lt;&gt;")=0,"",SUMIFS(BD!$X$3:$X$5001,BD!$A$3:$A$5001,AF$3,BD!$B$3:$B$5001,$A$131)))</f>
        <v/>
      </c>
      <c r="AG140" s="142" t="str">
        <f>IF(AG$3="","",IF(COUNTIFS(BD!$A$3:$A$5001,AG$3,BD!$B$3:$B$5001,$A$131,BD!$X$3:$X$5001,"&lt;&gt;")=0,"",SUMIFS(BD!$X$3:$X$5001,BD!$A$3:$A$5001,AG$3,BD!$B$3:$B$5001,$A$131)))</f>
        <v/>
      </c>
      <c r="AH140" s="142" t="str">
        <f>IF(AH$3="","",IF(COUNTIFS(BD!$A$3:$A$5001,AH$3,BD!$B$3:$B$5001,$A$131,BD!$X$3:$X$5001,"&lt;&gt;")=0,"",SUMIFS(BD!$X$3:$X$5001,BD!$A$3:$A$5001,AH$3,BD!$B$3:$B$5001,$A$131)))</f>
        <v/>
      </c>
      <c r="AI140" s="142" t="str">
        <f>IF(AI$3="","",IF(COUNTIFS(BD!$A$3:$A$5001,AI$3,BD!$B$3:$B$5001,$A$131,BD!$X$3:$X$5001,"&lt;&gt;")=0,"",SUMIFS(BD!$X$3:$X$5001,BD!$A$3:$A$5001,AI$3,BD!$B$3:$B$5001,$A$131)))</f>
        <v/>
      </c>
      <c r="AJ140" s="143" t="str">
        <f>IF(AJ$3="","",IF(COUNTIFS(BD!$A$3:$A$5001,AJ$3,BD!$B$3:$B$5001,$A$131,BD!$X$3:$X$5001,"&lt;&gt;")=0,"",SUMIFS(BD!$X$3:$X$5001,BD!$A$3:$A$5001,AJ$3,BD!$B$3:$B$5001,$A$131)))</f>
        <v/>
      </c>
      <c r="AK140" s="144" t="str">
        <f>IF(COUNT(F140:AJ140)&gt;0,LOOKUP(9.99E+307,F140:AJ140),IFERROR(IF(INDEX(BD!$AH$3:$AH$5001,MATCH($A$131,BD!$B$3:$B$5001,0))&amp;""="Contrato","",INDEX(BD!$AH$3:$AH$5001,MATCH($A$131,BD!$B$3:$B$5001,0))&amp;""),""))</f>
        <v/>
      </c>
    </row>
    <row r="141" ht="15.75" customHeight="1">
      <c r="A141" s="227"/>
      <c r="B141" s="222"/>
      <c r="C141" s="184" t="inlineStr">
        <is>
          <t xml:space="preserve">Posições Ocupadas</t>
        </is>
      </c>
      <c r="D141" s="185" t="str">
        <f>IFERROR(1/(1/INDEX(BD!$AK$45:$AT$45,MATCH($A$131,BD!$AK$22:$AT$22,0))),"")</f>
        <v/>
      </c>
      <c r="E141" s="186"/>
      <c r="F141" s="187" t="str">
        <f>IF(F$3="","",IF(COUNTIFS(BD!$A$3:$A$5001,F$3,BD!$B$3:$B$5001,$A$131,BD!$Y$3:$Y$5001,"&lt;&gt;")=0,"",SUMIFS(BD!$Y$3:$Y$5001,BD!$A$3:$A$5001,F$3,BD!$B$3:$B$5001,$A$131)))</f>
        <v/>
      </c>
      <c r="G141" s="188" t="str">
        <f>IF(G$3="","",IF(COUNTIFS(BD!$A$3:$A$5001,G$3,BD!$B$3:$B$5001,$A$131,BD!$Y$3:$Y$5001,"&lt;&gt;")=0,"",SUMIFS(BD!$Y$3:$Y$5001,BD!$A$3:$A$5001,G$3,BD!$B$3:$B$5001,$A$131)))</f>
        <v/>
      </c>
      <c r="H141" s="188" t="str">
        <f>IF(H$3="","",IF(COUNTIFS(BD!$A$3:$A$5001,H$3,BD!$B$3:$B$5001,$A$131,BD!$Y$3:$Y$5001,"&lt;&gt;")=0,"",SUMIFS(BD!$Y$3:$Y$5001,BD!$A$3:$A$5001,H$3,BD!$B$3:$B$5001,$A$131)))</f>
        <v/>
      </c>
      <c r="I141" s="188" t="str">
        <f>IF(I$3="","",IF(COUNTIFS(BD!$A$3:$A$5001,I$3,BD!$B$3:$B$5001,$A$131,BD!$Y$3:$Y$5001,"&lt;&gt;")=0,"",SUMIFS(BD!$Y$3:$Y$5001,BD!$A$3:$A$5001,I$3,BD!$B$3:$B$5001,$A$131)))</f>
        <v/>
      </c>
      <c r="J141" s="188" t="str">
        <f>IF(J$3="","",IF(COUNTIFS(BD!$A$3:$A$5001,J$3,BD!$B$3:$B$5001,$A$131,BD!$Y$3:$Y$5001,"&lt;&gt;")=0,"",SUMIFS(BD!$Y$3:$Y$5001,BD!$A$3:$A$5001,J$3,BD!$B$3:$B$5001,$A$131)))</f>
        <v/>
      </c>
      <c r="K141" s="188" t="str">
        <f>IF(K$3="","",IF(COUNTIFS(BD!$A$3:$A$5001,K$3,BD!$B$3:$B$5001,$A$131,BD!$Y$3:$Y$5001,"&lt;&gt;")=0,"",SUMIFS(BD!$Y$3:$Y$5001,BD!$A$3:$A$5001,K$3,BD!$B$3:$B$5001,$A$131)))</f>
        <v/>
      </c>
      <c r="L141" s="188" t="str">
        <f>IF(L$3="","",IF(COUNTIFS(BD!$A$3:$A$5001,L$3,BD!$B$3:$B$5001,$A$131,BD!$Y$3:$Y$5001,"&lt;&gt;")=0,"",SUMIFS(BD!$Y$3:$Y$5001,BD!$A$3:$A$5001,L$3,BD!$B$3:$B$5001,$A$131)))</f>
        <v/>
      </c>
      <c r="M141" s="188" t="str">
        <f>IF(M$3="","",IF(COUNTIFS(BD!$A$3:$A$5001,M$3,BD!$B$3:$B$5001,$A$131,BD!$Y$3:$Y$5001,"&lt;&gt;")=0,"",SUMIFS(BD!$Y$3:$Y$5001,BD!$A$3:$A$5001,M$3,BD!$B$3:$B$5001,$A$131)))</f>
        <v/>
      </c>
      <c r="N141" s="188" t="str">
        <f>IF(N$3="","",IF(COUNTIFS(BD!$A$3:$A$5001,N$3,BD!$B$3:$B$5001,$A$131,BD!$Y$3:$Y$5001,"&lt;&gt;")=0,"",SUMIFS(BD!$Y$3:$Y$5001,BD!$A$3:$A$5001,N$3,BD!$B$3:$B$5001,$A$131)))</f>
        <v/>
      </c>
      <c r="O141" s="188" t="str">
        <f>IF(O$3="","",IF(COUNTIFS(BD!$A$3:$A$5001,O$3,BD!$B$3:$B$5001,$A$131,BD!$Y$3:$Y$5001,"&lt;&gt;")=0,"",SUMIFS(BD!$Y$3:$Y$5001,BD!$A$3:$A$5001,O$3,BD!$B$3:$B$5001,$A$131)))</f>
        <v/>
      </c>
      <c r="P141" s="188" t="str">
        <f>IF(P$3="","",IF(COUNTIFS(BD!$A$3:$A$5001,P$3,BD!$B$3:$B$5001,$A$131,BD!$Y$3:$Y$5001,"&lt;&gt;")=0,"",SUMIFS(BD!$Y$3:$Y$5001,BD!$A$3:$A$5001,P$3,BD!$B$3:$B$5001,$A$131)))</f>
        <v/>
      </c>
      <c r="Q141" s="188" t="str">
        <f>IF(Q$3="","",IF(COUNTIFS(BD!$A$3:$A$5001,Q$3,BD!$B$3:$B$5001,$A$131,BD!$Y$3:$Y$5001,"&lt;&gt;")=0,"",SUMIFS(BD!$Y$3:$Y$5001,BD!$A$3:$A$5001,Q$3,BD!$B$3:$B$5001,$A$131)))</f>
        <v/>
      </c>
      <c r="R141" s="188" t="str">
        <f>IF(R$3="","",IF(COUNTIFS(BD!$A$3:$A$5001,R$3,BD!$B$3:$B$5001,$A$131,BD!$Y$3:$Y$5001,"&lt;&gt;")=0,"",SUMIFS(BD!$Y$3:$Y$5001,BD!$A$3:$A$5001,R$3,BD!$B$3:$B$5001,$A$131)))</f>
        <v/>
      </c>
      <c r="S141" s="188" t="str">
        <f>IF(S$3="","",IF(COUNTIFS(BD!$A$3:$A$5001,S$3,BD!$B$3:$B$5001,$A$131,BD!$Y$3:$Y$5001,"&lt;&gt;")=0,"",SUMIFS(BD!$Y$3:$Y$5001,BD!$A$3:$A$5001,S$3,BD!$B$3:$B$5001,$A$131)))</f>
        <v/>
      </c>
      <c r="T141" s="188" t="str">
        <f>IF(T$3="","",IF(COUNTIFS(BD!$A$3:$A$5001,T$3,BD!$B$3:$B$5001,$A$131,BD!$Y$3:$Y$5001,"&lt;&gt;")=0,"",SUMIFS(BD!$Y$3:$Y$5001,BD!$A$3:$A$5001,T$3,BD!$B$3:$B$5001,$A$131)))</f>
        <v/>
      </c>
      <c r="U141" s="188" t="str">
        <f>IF(U$3="","",IF(COUNTIFS(BD!$A$3:$A$5001,U$3,BD!$B$3:$B$5001,$A$131,BD!$Y$3:$Y$5001,"&lt;&gt;")=0,"",SUMIFS(BD!$Y$3:$Y$5001,BD!$A$3:$A$5001,U$3,BD!$B$3:$B$5001,$A$131)))</f>
        <v/>
      </c>
      <c r="V141" s="188" t="str">
        <f>IF(V$3="","",IF(COUNTIFS(BD!$A$3:$A$5001,V$3,BD!$B$3:$B$5001,$A$131,BD!$Y$3:$Y$5001,"&lt;&gt;")=0,"",SUMIFS(BD!$Y$3:$Y$5001,BD!$A$3:$A$5001,V$3,BD!$B$3:$B$5001,$A$131)))</f>
        <v/>
      </c>
      <c r="W141" s="188" t="str">
        <f>IF(W$3="","",IF(COUNTIFS(BD!$A$3:$A$5001,W$3,BD!$B$3:$B$5001,$A$131,BD!$Y$3:$Y$5001,"&lt;&gt;")=0,"",SUMIFS(BD!$Y$3:$Y$5001,BD!$A$3:$A$5001,W$3,BD!$B$3:$B$5001,$A$131)))</f>
        <v/>
      </c>
      <c r="X141" s="188" t="str">
        <f>IF(X$3="","",IF(COUNTIFS(BD!$A$3:$A$5001,X$3,BD!$B$3:$B$5001,$A$131,BD!$Y$3:$Y$5001,"&lt;&gt;")=0,"",SUMIFS(BD!$Y$3:$Y$5001,BD!$A$3:$A$5001,X$3,BD!$B$3:$B$5001,$A$131)))</f>
        <v/>
      </c>
      <c r="Y141" s="188" t="str">
        <f>IF(Y$3="","",IF(COUNTIFS(BD!$A$3:$A$5001,Y$3,BD!$B$3:$B$5001,$A$131,BD!$Y$3:$Y$5001,"&lt;&gt;")=0,"",SUMIFS(BD!$Y$3:$Y$5001,BD!$A$3:$A$5001,Y$3,BD!$B$3:$B$5001,$A$131)))</f>
        <v/>
      </c>
      <c r="Z141" s="188" t="str">
        <f>IF(Z$3="","",IF(COUNTIFS(BD!$A$3:$A$5001,Z$3,BD!$B$3:$B$5001,$A$131,BD!$Y$3:$Y$5001,"&lt;&gt;")=0,"",SUMIFS(BD!$Y$3:$Y$5001,BD!$A$3:$A$5001,Z$3,BD!$B$3:$B$5001,$A$131)))</f>
        <v/>
      </c>
      <c r="AA141" s="188" t="str">
        <f>IF(AA$3="","",IF(COUNTIFS(BD!$A$3:$A$5001,AA$3,BD!$B$3:$B$5001,$A$131,BD!$Y$3:$Y$5001,"&lt;&gt;")=0,"",SUMIFS(BD!$Y$3:$Y$5001,BD!$A$3:$A$5001,AA$3,BD!$B$3:$B$5001,$A$131)))</f>
        <v/>
      </c>
      <c r="AB141" s="188" t="str">
        <f>IF(AB$3="","",IF(COUNTIFS(BD!$A$3:$A$5001,AB$3,BD!$B$3:$B$5001,$A$131,BD!$Y$3:$Y$5001,"&lt;&gt;")=0,"",SUMIFS(BD!$Y$3:$Y$5001,BD!$A$3:$A$5001,AB$3,BD!$B$3:$B$5001,$A$131)))</f>
        <v/>
      </c>
      <c r="AC141" s="188" t="str">
        <f>IF(AC$3="","",IF(COUNTIFS(BD!$A$3:$A$5001,AC$3,BD!$B$3:$B$5001,$A$131,BD!$Y$3:$Y$5001,"&lt;&gt;")=0,"",SUMIFS(BD!$Y$3:$Y$5001,BD!$A$3:$A$5001,AC$3,BD!$B$3:$B$5001,$A$131)))</f>
        <v/>
      </c>
      <c r="AD141" s="188" t="str">
        <f>IF(AD$3="","",IF(COUNTIFS(BD!$A$3:$A$5001,AD$3,BD!$B$3:$B$5001,$A$131,BD!$Y$3:$Y$5001,"&lt;&gt;")=0,"",SUMIFS(BD!$Y$3:$Y$5001,BD!$A$3:$A$5001,AD$3,BD!$B$3:$B$5001,$A$131)))</f>
        <v/>
      </c>
      <c r="AE141" s="188" t="str">
        <f>IF(AE$3="","",IF(COUNTIFS(BD!$A$3:$A$5001,AE$3,BD!$B$3:$B$5001,$A$131,BD!$Y$3:$Y$5001,"&lt;&gt;")=0,"",SUMIFS(BD!$Y$3:$Y$5001,BD!$A$3:$A$5001,AE$3,BD!$B$3:$B$5001,$A$131)))</f>
        <v/>
      </c>
      <c r="AF141" s="188" t="str">
        <f>IF(AF$3="","",IF(COUNTIFS(BD!$A$3:$A$5001,AF$3,BD!$B$3:$B$5001,$A$131,BD!$Y$3:$Y$5001,"&lt;&gt;")=0,"",SUMIFS(BD!$Y$3:$Y$5001,BD!$A$3:$A$5001,AF$3,BD!$B$3:$B$5001,$A$131)))</f>
        <v/>
      </c>
      <c r="AG141" s="188" t="str">
        <f>IF(AG$3="","",IF(COUNTIFS(BD!$A$3:$A$5001,AG$3,BD!$B$3:$B$5001,$A$131,BD!$Y$3:$Y$5001,"&lt;&gt;")=0,"",SUMIFS(BD!$Y$3:$Y$5001,BD!$A$3:$A$5001,AG$3,BD!$B$3:$B$5001,$A$131)))</f>
        <v/>
      </c>
      <c r="AH141" s="188" t="str">
        <f>IF(AH$3="","",IF(COUNTIFS(BD!$A$3:$A$5001,AH$3,BD!$B$3:$B$5001,$A$131,BD!$Y$3:$Y$5001,"&lt;&gt;")=0,"",SUMIFS(BD!$Y$3:$Y$5001,BD!$A$3:$A$5001,AH$3,BD!$B$3:$B$5001,$A$131)))</f>
        <v/>
      </c>
      <c r="AI141" s="188" t="str">
        <f>IF(AI$3="","",IF(COUNTIFS(BD!$A$3:$A$5001,AI$3,BD!$B$3:$B$5001,$A$131,BD!$Y$3:$Y$5001,"&lt;&gt;")=0,"",SUMIFS(BD!$Y$3:$Y$5001,BD!$A$3:$A$5001,AI$3,BD!$B$3:$B$5001,$A$131)))</f>
        <v/>
      </c>
      <c r="AJ141" s="189" t="str">
        <f>IF(AJ$3="","",IF(COUNTIFS(BD!$A$3:$A$5001,AJ$3,BD!$B$3:$B$5001,$A$131,BD!$Y$3:$Y$5001,"&lt;&gt;")=0,"",SUMIFS(BD!$Y$3:$Y$5001,BD!$A$3:$A$5001,AJ$3,BD!$B$3:$B$5001,$A$131)))</f>
        <v/>
      </c>
      <c r="AK141" s="190" t="str">
        <f>IFERROR(LOOKUP(9.99E+307,F141:AJ141),"")</f>
        <v/>
      </c>
    </row>
    <row r="142" ht="15.75" customHeight="1">
      <c r="A142" s="227"/>
      <c r="B142" s="216"/>
      <c r="C142" s="145" t="inlineStr">
        <is>
          <t xml:space="preserve">Taxa de Ocupação</t>
        </is>
      </c>
      <c r="D142" s="191" t="str">
        <f>IFERROR(1/(1/INDEX(BD!$AK$46:$AT$46,MATCH($A$131,BD!$AK$22:$AT$22,0))),"")</f>
        <v/>
      </c>
      <c r="E142" s="147"/>
      <c r="F142" s="192" t="str">
        <f>IF(AND(ISNUMBER(F140),ISNUMBER(F141)),IF(F140&gt;0,F141/F140,""),"")</f>
        <v/>
      </c>
      <c r="G142" s="193" t="str">
        <f>IF(AND(ISNUMBER(G140),ISNUMBER(G141)),IF(G140&gt;0,G141/G140,""),"")</f>
        <v/>
      </c>
      <c r="H142" s="193" t="str">
        <f>IF(AND(ISNUMBER(H140),ISNUMBER(H141)),IF(H140&gt;0,H141/H140,""),"")</f>
        <v/>
      </c>
      <c r="I142" s="193" t="str">
        <f>IF(AND(ISNUMBER(I140),ISNUMBER(I141)),IF(I140&gt;0,I141/I140,""),"")</f>
        <v/>
      </c>
      <c r="J142" s="193" t="str">
        <f>IF(AND(ISNUMBER(J140),ISNUMBER(J141)),IF(J140&gt;0,J141/J140,""),"")</f>
        <v/>
      </c>
      <c r="K142" s="193" t="str">
        <f>IF(AND(ISNUMBER(K140),ISNUMBER(K141)),IF(K140&gt;0,K141/K140,""),"")</f>
        <v/>
      </c>
      <c r="L142" s="193" t="str">
        <f>IF(AND(ISNUMBER(L140),ISNUMBER(L141)),IF(L140&gt;0,L141/L140,""),"")</f>
        <v/>
      </c>
      <c r="M142" s="193" t="str">
        <f>IF(AND(ISNUMBER(M140),ISNUMBER(M141)),IF(M140&gt;0,M141/M140,""),"")</f>
        <v/>
      </c>
      <c r="N142" s="193" t="str">
        <f>IF(AND(ISNUMBER(N140),ISNUMBER(N141)),IF(N140&gt;0,N141/N140,""),"")</f>
        <v/>
      </c>
      <c r="O142" s="193" t="str">
        <f>IF(AND(ISNUMBER(O140),ISNUMBER(O141)),IF(O140&gt;0,O141/O140,""),"")</f>
        <v/>
      </c>
      <c r="P142" s="193" t="str">
        <f>IF(AND(ISNUMBER(P140),ISNUMBER(P141)),IF(P140&gt;0,P141/P140,""),"")</f>
        <v/>
      </c>
      <c r="Q142" s="193" t="str">
        <f>IF(AND(ISNUMBER(Q140),ISNUMBER(Q141)),IF(Q140&gt;0,Q141/Q140,""),"")</f>
        <v/>
      </c>
      <c r="R142" s="193" t="str">
        <f>IF(AND(ISNUMBER(R140),ISNUMBER(R141)),IF(R140&gt;0,R141/R140,""),"")</f>
        <v/>
      </c>
      <c r="S142" s="193" t="str">
        <f>IF(AND(ISNUMBER(S140),ISNUMBER(S141)),IF(S140&gt;0,S141/S140,""),"")</f>
        <v/>
      </c>
      <c r="T142" s="193" t="str">
        <f>IF(AND(ISNUMBER(T140),ISNUMBER(T141)),IF(T140&gt;0,T141/T140,""),"")</f>
        <v/>
      </c>
      <c r="U142" s="193" t="str">
        <f>IF(AND(ISNUMBER(U140),ISNUMBER(U141)),IF(U140&gt;0,U141/U140,""),"")</f>
        <v/>
      </c>
      <c r="V142" s="193" t="str">
        <f>IF(AND(ISNUMBER(V140),ISNUMBER(V141)),IF(V140&gt;0,V141/V140,""),"")</f>
        <v/>
      </c>
      <c r="W142" s="193" t="str">
        <f>IF(AND(ISNUMBER(W140),ISNUMBER(W141)),IF(W140&gt;0,W141/W140,""),"")</f>
        <v/>
      </c>
      <c r="X142" s="193" t="str">
        <f>IF(AND(ISNUMBER(X140),ISNUMBER(X141)),IF(X140&gt;0,X141/X140,""),"")</f>
        <v/>
      </c>
      <c r="Y142" s="193" t="str">
        <f>IF(AND(ISNUMBER(Y140),ISNUMBER(Y141)),IF(Y140&gt;0,Y141/Y140,""),"")</f>
        <v/>
      </c>
      <c r="Z142" s="193" t="str">
        <f>IF(AND(ISNUMBER(Z140),ISNUMBER(Z141)),IF(Z140&gt;0,Z141/Z140,""),"")</f>
        <v/>
      </c>
      <c r="AA142" s="193" t="str">
        <f>IF(AND(ISNUMBER(AA140),ISNUMBER(AA141)),IF(AA140&gt;0,AA141/AA140,""),"")</f>
        <v/>
      </c>
      <c r="AB142" s="193" t="str">
        <f>IF(AND(ISNUMBER(AB140),ISNUMBER(AB141)),IF(AB140&gt;0,AB141/AB140,""),"")</f>
        <v/>
      </c>
      <c r="AC142" s="193" t="str">
        <f>IF(AND(ISNUMBER(AC140),ISNUMBER(AC141)),IF(AC140&gt;0,AC141/AC140,""),"")</f>
        <v/>
      </c>
      <c r="AD142" s="193" t="str">
        <f>IF(AND(ISNUMBER(AD140),ISNUMBER(AD141)),IF(AD140&gt;0,AD141/AD140,""),"")</f>
        <v/>
      </c>
      <c r="AE142" s="193" t="str">
        <f>IF(AND(ISNUMBER(AE140),ISNUMBER(AE141)),IF(AE140&gt;0,AE141/AE140,""),"")</f>
        <v/>
      </c>
      <c r="AF142" s="193" t="str">
        <f>IF(AND(ISNUMBER(AF140),ISNUMBER(AF141)),IF(AF140&gt;0,AF141/AF140,""),"")</f>
        <v/>
      </c>
      <c r="AG142" s="193" t="str">
        <f>IF(AND(ISNUMBER(AG140),ISNUMBER(AG141)),IF(AG140&gt;0,AG141/AG140,""),"")</f>
        <v/>
      </c>
      <c r="AH142" s="193" t="str">
        <f>IF(AND(ISNUMBER(AH140),ISNUMBER(AH141)),IF(AH140&gt;0,AH141/AH140,""),"")</f>
        <v/>
      </c>
      <c r="AI142" s="193" t="str">
        <f>IF(AND(ISNUMBER(AI140),ISNUMBER(AI141)),IF(AI140&gt;0,AI141/AI140,""),"")</f>
        <v/>
      </c>
      <c r="AJ142" s="194" t="str">
        <f>IF(AND(ISNUMBER(AJ140),ISNUMBER(AJ141)),IF(AJ140&gt;0,AJ141/AJ140,""),"")</f>
        <v/>
      </c>
      <c r="AK142" s="191" t="str">
        <f>IF(AND(ISNUMBER(AK140),ISNUMBER(AK141)),IF(AK140&gt;0,AK141/AK140,""),"")</f>
        <v/>
      </c>
    </row>
    <row r="143" ht="15.75" customHeight="1">
      <c r="A143" s="227"/>
      <c r="B143" s="223" t="inlineStr">
        <is>
          <t xml:space="preserve">GENTE</t>
        </is>
      </c>
      <c r="C143" s="195" t="inlineStr">
        <is>
          <t xml:space="preserve">Efetivo Op.</t>
        </is>
      </c>
      <c r="D143" s="196" t="str">
        <f>IFERROR(1/(1/INDEX(BD!$AK$47:$AT$47,MATCH($A$131,BD!$AK$22:$AT$22,0))),"")</f>
        <v/>
      </c>
      <c r="E143" s="197"/>
      <c r="F143" s="198" t="str">
        <f>IF(F$3="","",IF(COUNTIFS(BD!$A$3:$A$5001,F$3,BD!$B$3:$B$5001,$A$131,BD!$Z$3:$Z$5001,"&lt;&gt;")=0,"",SUMIFS(BD!$Z$3:$Z$5001,BD!$A$3:$A$5001,F$3,BD!$B$3:$B$5001,$A$131)))</f>
        <v/>
      </c>
      <c r="G143" s="199" t="str">
        <f>IF(G$3="","",IF(COUNTIFS(BD!$A$3:$A$5001,G$3,BD!$B$3:$B$5001,$A$131,BD!$Z$3:$Z$5001,"&lt;&gt;")=0,"",SUMIFS(BD!$Z$3:$Z$5001,BD!$A$3:$A$5001,G$3,BD!$B$3:$B$5001,$A$131)))</f>
        <v/>
      </c>
      <c r="H143" s="199" t="str">
        <f>IF(H$3="","",IF(COUNTIFS(BD!$A$3:$A$5001,H$3,BD!$B$3:$B$5001,$A$131,BD!$Z$3:$Z$5001,"&lt;&gt;")=0,"",SUMIFS(BD!$Z$3:$Z$5001,BD!$A$3:$A$5001,H$3,BD!$B$3:$B$5001,$A$131)))</f>
        <v/>
      </c>
      <c r="I143" s="199" t="str">
        <f>IF(I$3="","",IF(COUNTIFS(BD!$A$3:$A$5001,I$3,BD!$B$3:$B$5001,$A$131,BD!$Z$3:$Z$5001,"&lt;&gt;")=0,"",SUMIFS(BD!$Z$3:$Z$5001,BD!$A$3:$A$5001,I$3,BD!$B$3:$B$5001,$A$131)))</f>
        <v/>
      </c>
      <c r="J143" s="199" t="str">
        <f>IF(J$3="","",IF(COUNTIFS(BD!$A$3:$A$5001,J$3,BD!$B$3:$B$5001,$A$131,BD!$Z$3:$Z$5001,"&lt;&gt;")=0,"",SUMIFS(BD!$Z$3:$Z$5001,BD!$A$3:$A$5001,J$3,BD!$B$3:$B$5001,$A$131)))</f>
        <v/>
      </c>
      <c r="K143" s="199" t="str">
        <f>IF(K$3="","",IF(COUNTIFS(BD!$A$3:$A$5001,K$3,BD!$B$3:$B$5001,$A$131,BD!$Z$3:$Z$5001,"&lt;&gt;")=0,"",SUMIFS(BD!$Z$3:$Z$5001,BD!$A$3:$A$5001,K$3,BD!$B$3:$B$5001,$A$131)))</f>
        <v/>
      </c>
      <c r="L143" s="199" t="str">
        <f>IF(L$3="","",IF(COUNTIFS(BD!$A$3:$A$5001,L$3,BD!$B$3:$B$5001,$A$131,BD!$Z$3:$Z$5001,"&lt;&gt;")=0,"",SUMIFS(BD!$Z$3:$Z$5001,BD!$A$3:$A$5001,L$3,BD!$B$3:$B$5001,$A$131)))</f>
        <v/>
      </c>
      <c r="M143" s="199" t="str">
        <f>IF(M$3="","",IF(COUNTIFS(BD!$A$3:$A$5001,M$3,BD!$B$3:$B$5001,$A$131,BD!$Z$3:$Z$5001,"&lt;&gt;")=0,"",SUMIFS(BD!$Z$3:$Z$5001,BD!$A$3:$A$5001,M$3,BD!$B$3:$B$5001,$A$131)))</f>
        <v/>
      </c>
      <c r="N143" s="199" t="str">
        <f>IF(N$3="","",IF(COUNTIFS(BD!$A$3:$A$5001,N$3,BD!$B$3:$B$5001,$A$131,BD!$Z$3:$Z$5001,"&lt;&gt;")=0,"",SUMIFS(BD!$Z$3:$Z$5001,BD!$A$3:$A$5001,N$3,BD!$B$3:$B$5001,$A$131)))</f>
        <v/>
      </c>
      <c r="O143" s="199" t="str">
        <f>IF(O$3="","",IF(COUNTIFS(BD!$A$3:$A$5001,O$3,BD!$B$3:$B$5001,$A$131,BD!$Z$3:$Z$5001,"&lt;&gt;")=0,"",SUMIFS(BD!$Z$3:$Z$5001,BD!$A$3:$A$5001,O$3,BD!$B$3:$B$5001,$A$131)))</f>
        <v/>
      </c>
      <c r="P143" s="199" t="str">
        <f>IF(P$3="","",IF(COUNTIFS(BD!$A$3:$A$5001,P$3,BD!$B$3:$B$5001,$A$131,BD!$Z$3:$Z$5001,"&lt;&gt;")=0,"",SUMIFS(BD!$Z$3:$Z$5001,BD!$A$3:$A$5001,P$3,BD!$B$3:$B$5001,$A$131)))</f>
        <v/>
      </c>
      <c r="Q143" s="199" t="str">
        <f>IF(Q$3="","",IF(COUNTIFS(BD!$A$3:$A$5001,Q$3,BD!$B$3:$B$5001,$A$131,BD!$Z$3:$Z$5001,"&lt;&gt;")=0,"",SUMIFS(BD!$Z$3:$Z$5001,BD!$A$3:$A$5001,Q$3,BD!$B$3:$B$5001,$A$131)))</f>
        <v/>
      </c>
      <c r="R143" s="199" t="str">
        <f>IF(R$3="","",IF(COUNTIFS(BD!$A$3:$A$5001,R$3,BD!$B$3:$B$5001,$A$131,BD!$Z$3:$Z$5001,"&lt;&gt;")=0,"",SUMIFS(BD!$Z$3:$Z$5001,BD!$A$3:$A$5001,R$3,BD!$B$3:$B$5001,$A$131)))</f>
        <v/>
      </c>
      <c r="S143" s="199" t="str">
        <f>IF(S$3="","",IF(COUNTIFS(BD!$A$3:$A$5001,S$3,BD!$B$3:$B$5001,$A$131,BD!$Z$3:$Z$5001,"&lt;&gt;")=0,"",SUMIFS(BD!$Z$3:$Z$5001,BD!$A$3:$A$5001,S$3,BD!$B$3:$B$5001,$A$131)))</f>
        <v/>
      </c>
      <c r="T143" s="199" t="str">
        <f>IF(T$3="","",IF(COUNTIFS(BD!$A$3:$A$5001,T$3,BD!$B$3:$B$5001,$A$131,BD!$Z$3:$Z$5001,"&lt;&gt;")=0,"",SUMIFS(BD!$Z$3:$Z$5001,BD!$A$3:$A$5001,T$3,BD!$B$3:$B$5001,$A$131)))</f>
        <v/>
      </c>
      <c r="U143" s="199" t="str">
        <f>IF(U$3="","",IF(COUNTIFS(BD!$A$3:$A$5001,U$3,BD!$B$3:$B$5001,$A$131,BD!$Z$3:$Z$5001,"&lt;&gt;")=0,"",SUMIFS(BD!$Z$3:$Z$5001,BD!$A$3:$A$5001,U$3,BD!$B$3:$B$5001,$A$131)))</f>
        <v/>
      </c>
      <c r="V143" s="199" t="str">
        <f>IF(V$3="","",IF(COUNTIFS(BD!$A$3:$A$5001,V$3,BD!$B$3:$B$5001,$A$131,BD!$Z$3:$Z$5001,"&lt;&gt;")=0,"",SUMIFS(BD!$Z$3:$Z$5001,BD!$A$3:$A$5001,V$3,BD!$B$3:$B$5001,$A$131)))</f>
        <v/>
      </c>
      <c r="W143" s="199" t="str">
        <f>IF(W$3="","",IF(COUNTIFS(BD!$A$3:$A$5001,W$3,BD!$B$3:$B$5001,$A$131,BD!$Z$3:$Z$5001,"&lt;&gt;")=0,"",SUMIFS(BD!$Z$3:$Z$5001,BD!$A$3:$A$5001,W$3,BD!$B$3:$B$5001,$A$131)))</f>
        <v/>
      </c>
      <c r="X143" s="199" t="str">
        <f>IF(X$3="","",IF(COUNTIFS(BD!$A$3:$A$5001,X$3,BD!$B$3:$B$5001,$A$131,BD!$Z$3:$Z$5001,"&lt;&gt;")=0,"",SUMIFS(BD!$Z$3:$Z$5001,BD!$A$3:$A$5001,X$3,BD!$B$3:$B$5001,$A$131)))</f>
        <v/>
      </c>
      <c r="Y143" s="199" t="str">
        <f>IF(Y$3="","",IF(COUNTIFS(BD!$A$3:$A$5001,Y$3,BD!$B$3:$B$5001,$A$131,BD!$Z$3:$Z$5001,"&lt;&gt;")=0,"",SUMIFS(BD!$Z$3:$Z$5001,BD!$A$3:$A$5001,Y$3,BD!$B$3:$B$5001,$A$131)))</f>
        <v/>
      </c>
      <c r="Z143" s="199" t="str">
        <f>IF(Z$3="","",IF(COUNTIFS(BD!$A$3:$A$5001,Z$3,BD!$B$3:$B$5001,$A$131,BD!$Z$3:$Z$5001,"&lt;&gt;")=0,"",SUMIFS(BD!$Z$3:$Z$5001,BD!$A$3:$A$5001,Z$3,BD!$B$3:$B$5001,$A$131)))</f>
        <v/>
      </c>
      <c r="AA143" s="199" t="str">
        <f>IF(AA$3="","",IF(COUNTIFS(BD!$A$3:$A$5001,AA$3,BD!$B$3:$B$5001,$A$131,BD!$Z$3:$Z$5001,"&lt;&gt;")=0,"",SUMIFS(BD!$Z$3:$Z$5001,BD!$A$3:$A$5001,AA$3,BD!$B$3:$B$5001,$A$131)))</f>
        <v/>
      </c>
      <c r="AB143" s="199" t="str">
        <f>IF(AB$3="","",IF(COUNTIFS(BD!$A$3:$A$5001,AB$3,BD!$B$3:$B$5001,$A$131,BD!$Z$3:$Z$5001,"&lt;&gt;")=0,"",SUMIFS(BD!$Z$3:$Z$5001,BD!$A$3:$A$5001,AB$3,BD!$B$3:$B$5001,$A$131)))</f>
        <v/>
      </c>
      <c r="AC143" s="199" t="str">
        <f>IF(AC$3="","",IF(COUNTIFS(BD!$A$3:$A$5001,AC$3,BD!$B$3:$B$5001,$A$131,BD!$Z$3:$Z$5001,"&lt;&gt;")=0,"",SUMIFS(BD!$Z$3:$Z$5001,BD!$A$3:$A$5001,AC$3,BD!$B$3:$B$5001,$A$131)))</f>
        <v/>
      </c>
      <c r="AD143" s="199" t="str">
        <f>IF(AD$3="","",IF(COUNTIFS(BD!$A$3:$A$5001,AD$3,BD!$B$3:$B$5001,$A$131,BD!$Z$3:$Z$5001,"&lt;&gt;")=0,"",SUMIFS(BD!$Z$3:$Z$5001,BD!$A$3:$A$5001,AD$3,BD!$B$3:$B$5001,$A$131)))</f>
        <v/>
      </c>
      <c r="AE143" s="199" t="str">
        <f>IF(AE$3="","",IF(COUNTIFS(BD!$A$3:$A$5001,AE$3,BD!$B$3:$B$5001,$A$131,BD!$Z$3:$Z$5001,"&lt;&gt;")=0,"",SUMIFS(BD!$Z$3:$Z$5001,BD!$A$3:$A$5001,AE$3,BD!$B$3:$B$5001,$A$131)))</f>
        <v/>
      </c>
      <c r="AF143" s="199" t="str">
        <f>IF(AF$3="","",IF(COUNTIFS(BD!$A$3:$A$5001,AF$3,BD!$B$3:$B$5001,$A$131,BD!$Z$3:$Z$5001,"&lt;&gt;")=0,"",SUMIFS(BD!$Z$3:$Z$5001,BD!$A$3:$A$5001,AF$3,BD!$B$3:$B$5001,$A$131)))</f>
        <v/>
      </c>
      <c r="AG143" s="199" t="str">
        <f>IF(AG$3="","",IF(COUNTIFS(BD!$A$3:$A$5001,AG$3,BD!$B$3:$B$5001,$A$131,BD!$Z$3:$Z$5001,"&lt;&gt;")=0,"",SUMIFS(BD!$Z$3:$Z$5001,BD!$A$3:$A$5001,AG$3,BD!$B$3:$B$5001,$A$131)))</f>
        <v/>
      </c>
      <c r="AH143" s="199" t="str">
        <f>IF(AH$3="","",IF(COUNTIFS(BD!$A$3:$A$5001,AH$3,BD!$B$3:$B$5001,$A$131,BD!$Z$3:$Z$5001,"&lt;&gt;")=0,"",SUMIFS(BD!$Z$3:$Z$5001,BD!$A$3:$A$5001,AH$3,BD!$B$3:$B$5001,$A$131)))</f>
        <v/>
      </c>
      <c r="AI143" s="199" t="str">
        <f>IF(AI$3="","",IF(COUNTIFS(BD!$A$3:$A$5001,AI$3,BD!$B$3:$B$5001,$A$131,BD!$Z$3:$Z$5001,"&lt;&gt;")=0,"",SUMIFS(BD!$Z$3:$Z$5001,BD!$A$3:$A$5001,AI$3,BD!$B$3:$B$5001,$A$131)))</f>
        <v/>
      </c>
      <c r="AJ143" s="200" t="str">
        <f>IF(AJ$3="","",IF(COUNTIFS(BD!$A$3:$A$5001,AJ$3,BD!$B$3:$B$5001,$A$131,BD!$Z$3:$Z$5001,"&lt;&gt;")=0,"",SUMIFS(BD!$Z$3:$Z$5001,BD!$A$3:$A$5001,AJ$3,BD!$B$3:$B$5001,$A$131)))</f>
        <v/>
      </c>
      <c r="AK143" s="201" t="str">
        <f>IFERROR(LOOKUP(9.99E+307,F143:AJ143),"")</f>
        <v/>
      </c>
    </row>
    <row r="144" ht="15.75" customHeight="1">
      <c r="A144" s="227"/>
      <c r="B144" s="224"/>
      <c r="C144" s="202" t="inlineStr">
        <is>
          <t xml:space="preserve">Falta</t>
        </is>
      </c>
      <c r="D144" s="203" t="str">
        <f>IFERROR(1/(1/INDEX(BD!$AK$48:$AT$48,MATCH($A$131,BD!$AK$22:$AT$22,0))),"")</f>
        <v/>
      </c>
      <c r="E144" s="204"/>
      <c r="F144" s="205" t="str">
        <f>IF(F$3="","",IF(COUNTIFS(BD!$A$3:$A$5001,F$3,BD!$B$3:$B$5001,$A$131,BD!$AA$3:$AA$5001,"&lt;&gt;")=0,"",SUMIFS(BD!$AA$3:$AA$5001,BD!$A$3:$A$5001,F$3,BD!$B$3:$B$5001,$A$131)))</f>
        <v/>
      </c>
      <c r="G144" s="206" t="str">
        <f>IF(G$3="","",IF(COUNTIFS(BD!$A$3:$A$5001,G$3,BD!$B$3:$B$5001,$A$131,BD!$AA$3:$AA$5001,"&lt;&gt;")=0,"",SUMIFS(BD!$AA$3:$AA$5001,BD!$A$3:$A$5001,G$3,BD!$B$3:$B$5001,$A$131)))</f>
        <v/>
      </c>
      <c r="H144" s="206" t="str">
        <f>IF(H$3="","",IF(COUNTIFS(BD!$A$3:$A$5001,H$3,BD!$B$3:$B$5001,$A$131,BD!$AA$3:$AA$5001,"&lt;&gt;")=0,"",SUMIFS(BD!$AA$3:$AA$5001,BD!$A$3:$A$5001,H$3,BD!$B$3:$B$5001,$A$131)))</f>
        <v/>
      </c>
      <c r="I144" s="206" t="str">
        <f>IF(I$3="","",IF(COUNTIFS(BD!$A$3:$A$5001,I$3,BD!$B$3:$B$5001,$A$131,BD!$AA$3:$AA$5001,"&lt;&gt;")=0,"",SUMIFS(BD!$AA$3:$AA$5001,BD!$A$3:$A$5001,I$3,BD!$B$3:$B$5001,$A$131)))</f>
        <v/>
      </c>
      <c r="J144" s="206" t="str">
        <f>IF(J$3="","",IF(COUNTIFS(BD!$A$3:$A$5001,J$3,BD!$B$3:$B$5001,$A$131,BD!$AA$3:$AA$5001,"&lt;&gt;")=0,"",SUMIFS(BD!$AA$3:$AA$5001,BD!$A$3:$A$5001,J$3,BD!$B$3:$B$5001,$A$131)))</f>
        <v/>
      </c>
      <c r="K144" s="206" t="str">
        <f>IF(K$3="","",IF(COUNTIFS(BD!$A$3:$A$5001,K$3,BD!$B$3:$B$5001,$A$131,BD!$AA$3:$AA$5001,"&lt;&gt;")=0,"",SUMIFS(BD!$AA$3:$AA$5001,BD!$A$3:$A$5001,K$3,BD!$B$3:$B$5001,$A$131)))</f>
        <v/>
      </c>
      <c r="L144" s="206" t="str">
        <f>IF(L$3="","",IF(COUNTIFS(BD!$A$3:$A$5001,L$3,BD!$B$3:$B$5001,$A$131,BD!$AA$3:$AA$5001,"&lt;&gt;")=0,"",SUMIFS(BD!$AA$3:$AA$5001,BD!$A$3:$A$5001,L$3,BD!$B$3:$B$5001,$A$131)))</f>
        <v/>
      </c>
      <c r="M144" s="206" t="str">
        <f>IF(M$3="","",IF(COUNTIFS(BD!$A$3:$A$5001,M$3,BD!$B$3:$B$5001,$A$131,BD!$AA$3:$AA$5001,"&lt;&gt;")=0,"",SUMIFS(BD!$AA$3:$AA$5001,BD!$A$3:$A$5001,M$3,BD!$B$3:$B$5001,$A$131)))</f>
        <v/>
      </c>
      <c r="N144" s="206" t="str">
        <f>IF(N$3="","",IF(COUNTIFS(BD!$A$3:$A$5001,N$3,BD!$B$3:$B$5001,$A$131,BD!$AA$3:$AA$5001,"&lt;&gt;")=0,"",SUMIFS(BD!$AA$3:$AA$5001,BD!$A$3:$A$5001,N$3,BD!$B$3:$B$5001,$A$131)))</f>
        <v/>
      </c>
      <c r="O144" s="206" t="str">
        <f>IF(O$3="","",IF(COUNTIFS(BD!$A$3:$A$5001,O$3,BD!$B$3:$B$5001,$A$131,BD!$AA$3:$AA$5001,"&lt;&gt;")=0,"",SUMIFS(BD!$AA$3:$AA$5001,BD!$A$3:$A$5001,O$3,BD!$B$3:$B$5001,$A$131)))</f>
        <v/>
      </c>
      <c r="P144" s="206" t="str">
        <f>IF(P$3="","",IF(COUNTIFS(BD!$A$3:$A$5001,P$3,BD!$B$3:$B$5001,$A$131,BD!$AA$3:$AA$5001,"&lt;&gt;")=0,"",SUMIFS(BD!$AA$3:$AA$5001,BD!$A$3:$A$5001,P$3,BD!$B$3:$B$5001,$A$131)))</f>
        <v/>
      </c>
      <c r="Q144" s="206" t="str">
        <f>IF(Q$3="","",IF(COUNTIFS(BD!$A$3:$A$5001,Q$3,BD!$B$3:$B$5001,$A$131,BD!$AA$3:$AA$5001,"&lt;&gt;")=0,"",SUMIFS(BD!$AA$3:$AA$5001,BD!$A$3:$A$5001,Q$3,BD!$B$3:$B$5001,$A$131)))</f>
        <v/>
      </c>
      <c r="R144" s="206" t="str">
        <f>IF(R$3="","",IF(COUNTIFS(BD!$A$3:$A$5001,R$3,BD!$B$3:$B$5001,$A$131,BD!$AA$3:$AA$5001,"&lt;&gt;")=0,"",SUMIFS(BD!$AA$3:$AA$5001,BD!$A$3:$A$5001,R$3,BD!$B$3:$B$5001,$A$131)))</f>
        <v/>
      </c>
      <c r="S144" s="206" t="str">
        <f>IF(S$3="","",IF(COUNTIFS(BD!$A$3:$A$5001,S$3,BD!$B$3:$B$5001,$A$131,BD!$AA$3:$AA$5001,"&lt;&gt;")=0,"",SUMIFS(BD!$AA$3:$AA$5001,BD!$A$3:$A$5001,S$3,BD!$B$3:$B$5001,$A$131)))</f>
        <v/>
      </c>
      <c r="T144" s="206" t="str">
        <f>IF(T$3="","",IF(COUNTIFS(BD!$A$3:$A$5001,T$3,BD!$B$3:$B$5001,$A$131,BD!$AA$3:$AA$5001,"&lt;&gt;")=0,"",SUMIFS(BD!$AA$3:$AA$5001,BD!$A$3:$A$5001,T$3,BD!$B$3:$B$5001,$A$131)))</f>
        <v/>
      </c>
      <c r="U144" s="206" t="str">
        <f>IF(U$3="","",IF(COUNTIFS(BD!$A$3:$A$5001,U$3,BD!$B$3:$B$5001,$A$131,BD!$AA$3:$AA$5001,"&lt;&gt;")=0,"",SUMIFS(BD!$AA$3:$AA$5001,BD!$A$3:$A$5001,U$3,BD!$B$3:$B$5001,$A$131)))</f>
        <v/>
      </c>
      <c r="V144" s="206" t="str">
        <f>IF(V$3="","",IF(COUNTIFS(BD!$A$3:$A$5001,V$3,BD!$B$3:$B$5001,$A$131,BD!$AA$3:$AA$5001,"&lt;&gt;")=0,"",SUMIFS(BD!$AA$3:$AA$5001,BD!$A$3:$A$5001,V$3,BD!$B$3:$B$5001,$A$131)))</f>
        <v/>
      </c>
      <c r="W144" s="206" t="str">
        <f>IF(W$3="","",IF(COUNTIFS(BD!$A$3:$A$5001,W$3,BD!$B$3:$B$5001,$A$131,BD!$AA$3:$AA$5001,"&lt;&gt;")=0,"",SUMIFS(BD!$AA$3:$AA$5001,BD!$A$3:$A$5001,W$3,BD!$B$3:$B$5001,$A$131)))</f>
        <v/>
      </c>
      <c r="X144" s="206" t="str">
        <f>IF(X$3="","",IF(COUNTIFS(BD!$A$3:$A$5001,X$3,BD!$B$3:$B$5001,$A$131,BD!$AA$3:$AA$5001,"&lt;&gt;")=0,"",SUMIFS(BD!$AA$3:$AA$5001,BD!$A$3:$A$5001,X$3,BD!$B$3:$B$5001,$A$131)))</f>
        <v/>
      </c>
      <c r="Y144" s="206" t="str">
        <f>IF(Y$3="","",IF(COUNTIFS(BD!$A$3:$A$5001,Y$3,BD!$B$3:$B$5001,$A$131,BD!$AA$3:$AA$5001,"&lt;&gt;")=0,"",SUMIFS(BD!$AA$3:$AA$5001,BD!$A$3:$A$5001,Y$3,BD!$B$3:$B$5001,$A$131)))</f>
        <v/>
      </c>
      <c r="Z144" s="206" t="str">
        <f>IF(Z$3="","",IF(COUNTIFS(BD!$A$3:$A$5001,Z$3,BD!$B$3:$B$5001,$A$131,BD!$AA$3:$AA$5001,"&lt;&gt;")=0,"",SUMIFS(BD!$AA$3:$AA$5001,BD!$A$3:$A$5001,Z$3,BD!$B$3:$B$5001,$A$131)))</f>
        <v/>
      </c>
      <c r="AA144" s="206" t="str">
        <f>IF(AA$3="","",IF(COUNTIFS(BD!$A$3:$A$5001,AA$3,BD!$B$3:$B$5001,$A$131,BD!$AA$3:$AA$5001,"&lt;&gt;")=0,"",SUMIFS(BD!$AA$3:$AA$5001,BD!$A$3:$A$5001,AA$3,BD!$B$3:$B$5001,$A$131)))</f>
        <v/>
      </c>
      <c r="AB144" s="206" t="str">
        <f>IF(AB$3="","",IF(COUNTIFS(BD!$A$3:$A$5001,AB$3,BD!$B$3:$B$5001,$A$131,BD!$AA$3:$AA$5001,"&lt;&gt;")=0,"",SUMIFS(BD!$AA$3:$AA$5001,BD!$A$3:$A$5001,AB$3,BD!$B$3:$B$5001,$A$131)))</f>
        <v/>
      </c>
      <c r="AC144" s="206" t="str">
        <f>IF(AC$3="","",IF(COUNTIFS(BD!$A$3:$A$5001,AC$3,BD!$B$3:$B$5001,$A$131,BD!$AA$3:$AA$5001,"&lt;&gt;")=0,"",SUMIFS(BD!$AA$3:$AA$5001,BD!$A$3:$A$5001,AC$3,BD!$B$3:$B$5001,$A$131)))</f>
        <v/>
      </c>
      <c r="AD144" s="206" t="str">
        <f>IF(AD$3="","",IF(COUNTIFS(BD!$A$3:$A$5001,AD$3,BD!$B$3:$B$5001,$A$131,BD!$AA$3:$AA$5001,"&lt;&gt;")=0,"",SUMIFS(BD!$AA$3:$AA$5001,BD!$A$3:$A$5001,AD$3,BD!$B$3:$B$5001,$A$131)))</f>
        <v/>
      </c>
      <c r="AE144" s="206" t="str">
        <f>IF(AE$3="","",IF(COUNTIFS(BD!$A$3:$A$5001,AE$3,BD!$B$3:$B$5001,$A$131,BD!$AA$3:$AA$5001,"&lt;&gt;")=0,"",SUMIFS(BD!$AA$3:$AA$5001,BD!$A$3:$A$5001,AE$3,BD!$B$3:$B$5001,$A$131)))</f>
        <v/>
      </c>
      <c r="AF144" s="206" t="str">
        <f>IF(AF$3="","",IF(COUNTIFS(BD!$A$3:$A$5001,AF$3,BD!$B$3:$B$5001,$A$131,BD!$AA$3:$AA$5001,"&lt;&gt;")=0,"",SUMIFS(BD!$AA$3:$AA$5001,BD!$A$3:$A$5001,AF$3,BD!$B$3:$B$5001,$A$131)))</f>
        <v/>
      </c>
      <c r="AG144" s="206" t="str">
        <f>IF(AG$3="","",IF(COUNTIFS(BD!$A$3:$A$5001,AG$3,BD!$B$3:$B$5001,$A$131,BD!$AA$3:$AA$5001,"&lt;&gt;")=0,"",SUMIFS(BD!$AA$3:$AA$5001,BD!$A$3:$A$5001,AG$3,BD!$B$3:$B$5001,$A$131)))</f>
        <v/>
      </c>
      <c r="AH144" s="206" t="str">
        <f>IF(AH$3="","",IF(COUNTIFS(BD!$A$3:$A$5001,AH$3,BD!$B$3:$B$5001,$A$131,BD!$AA$3:$AA$5001,"&lt;&gt;")=0,"",SUMIFS(BD!$AA$3:$AA$5001,BD!$A$3:$A$5001,AH$3,BD!$B$3:$B$5001,$A$131)))</f>
        <v/>
      </c>
      <c r="AI144" s="206" t="str">
        <f>IF(AI$3="","",IF(COUNTIFS(BD!$A$3:$A$5001,AI$3,BD!$B$3:$B$5001,$A$131,BD!$AA$3:$AA$5001,"&lt;&gt;")=0,"",SUMIFS(BD!$AA$3:$AA$5001,BD!$A$3:$A$5001,AI$3,BD!$B$3:$B$5001,$A$131)))</f>
        <v/>
      </c>
      <c r="AJ144" s="207" t="str">
        <f>IF(AJ$3="","",IF(COUNTIFS(BD!$A$3:$A$5001,AJ$3,BD!$B$3:$B$5001,$A$131,BD!$AA$3:$AA$5001,"&lt;&gt;")=0,"",SUMIFS(BD!$AA$3:$AA$5001,BD!$A$3:$A$5001,AJ$3,BD!$B$3:$B$5001,$A$131)))</f>
        <v/>
      </c>
      <c r="AK144" s="208" t="str">
        <f>IF(COUNT(F144:AJ144)=0,"",SUM(F144:AJ144))</f>
        <v/>
      </c>
    </row>
    <row r="145" ht="15.75" customHeight="1">
      <c r="A145" s="227"/>
      <c r="B145" s="224"/>
      <c r="C145" s="202" t="inlineStr">
        <is>
          <t xml:space="preserve">Folga</t>
        </is>
      </c>
      <c r="D145" s="203" t="str">
        <f>IFERROR(1/(1/INDEX(BD!$AK$49:$AT$49,MATCH($A$131,BD!$AK$22:$AT$22,0))),"")</f>
        <v/>
      </c>
      <c r="E145" s="204"/>
      <c r="F145" s="205" t="str">
        <f>IF(F$3="","",IF(COUNTIFS(BD!$A$3:$A$5001,F$3,BD!$B$3:$B$5001,$A$131,BD!$AB$3:$AB$5001,"&lt;&gt;")=0,"",SUMIFS(BD!$AB$3:$AB$5001,BD!$A$3:$A$5001,F$3,BD!$B$3:$B$5001,$A$131)))</f>
        <v/>
      </c>
      <c r="G145" s="206" t="str">
        <f>IF(G$3="","",IF(COUNTIFS(BD!$A$3:$A$5001,G$3,BD!$B$3:$B$5001,$A$131,BD!$AB$3:$AB$5001,"&lt;&gt;")=0,"",SUMIFS(BD!$AB$3:$AB$5001,BD!$A$3:$A$5001,G$3,BD!$B$3:$B$5001,$A$131)))</f>
        <v/>
      </c>
      <c r="H145" s="206" t="str">
        <f>IF(H$3="","",IF(COUNTIFS(BD!$A$3:$A$5001,H$3,BD!$B$3:$B$5001,$A$131,BD!$AB$3:$AB$5001,"&lt;&gt;")=0,"",SUMIFS(BD!$AB$3:$AB$5001,BD!$A$3:$A$5001,H$3,BD!$B$3:$B$5001,$A$131)))</f>
        <v/>
      </c>
      <c r="I145" s="206" t="str">
        <f>IF(I$3="","",IF(COUNTIFS(BD!$A$3:$A$5001,I$3,BD!$B$3:$B$5001,$A$131,BD!$AB$3:$AB$5001,"&lt;&gt;")=0,"",SUMIFS(BD!$AB$3:$AB$5001,BD!$A$3:$A$5001,I$3,BD!$B$3:$B$5001,$A$131)))</f>
        <v/>
      </c>
      <c r="J145" s="206" t="str">
        <f>IF(J$3="","",IF(COUNTIFS(BD!$A$3:$A$5001,J$3,BD!$B$3:$B$5001,$A$131,BD!$AB$3:$AB$5001,"&lt;&gt;")=0,"",SUMIFS(BD!$AB$3:$AB$5001,BD!$A$3:$A$5001,J$3,BD!$B$3:$B$5001,$A$131)))</f>
        <v/>
      </c>
      <c r="K145" s="206" t="str">
        <f>IF(K$3="","",IF(COUNTIFS(BD!$A$3:$A$5001,K$3,BD!$B$3:$B$5001,$A$131,BD!$AB$3:$AB$5001,"&lt;&gt;")=0,"",SUMIFS(BD!$AB$3:$AB$5001,BD!$A$3:$A$5001,K$3,BD!$B$3:$B$5001,$A$131)))</f>
        <v/>
      </c>
      <c r="L145" s="206" t="str">
        <f>IF(L$3="","",IF(COUNTIFS(BD!$A$3:$A$5001,L$3,BD!$B$3:$B$5001,$A$131,BD!$AB$3:$AB$5001,"&lt;&gt;")=0,"",SUMIFS(BD!$AB$3:$AB$5001,BD!$A$3:$A$5001,L$3,BD!$B$3:$B$5001,$A$131)))</f>
        <v/>
      </c>
      <c r="M145" s="206" t="str">
        <f>IF(M$3="","",IF(COUNTIFS(BD!$A$3:$A$5001,M$3,BD!$B$3:$B$5001,$A$131,BD!$AB$3:$AB$5001,"&lt;&gt;")=0,"",SUMIFS(BD!$AB$3:$AB$5001,BD!$A$3:$A$5001,M$3,BD!$B$3:$B$5001,$A$131)))</f>
        <v/>
      </c>
      <c r="N145" s="206" t="str">
        <f>IF(N$3="","",IF(COUNTIFS(BD!$A$3:$A$5001,N$3,BD!$B$3:$B$5001,$A$131,BD!$AB$3:$AB$5001,"&lt;&gt;")=0,"",SUMIFS(BD!$AB$3:$AB$5001,BD!$A$3:$A$5001,N$3,BD!$B$3:$B$5001,$A$131)))</f>
        <v/>
      </c>
      <c r="O145" s="206" t="str">
        <f>IF(O$3="","",IF(COUNTIFS(BD!$A$3:$A$5001,O$3,BD!$B$3:$B$5001,$A$131,BD!$AB$3:$AB$5001,"&lt;&gt;")=0,"",SUMIFS(BD!$AB$3:$AB$5001,BD!$A$3:$A$5001,O$3,BD!$B$3:$B$5001,$A$131)))</f>
        <v/>
      </c>
      <c r="P145" s="206" t="str">
        <f>IF(P$3="","",IF(COUNTIFS(BD!$A$3:$A$5001,P$3,BD!$B$3:$B$5001,$A$131,BD!$AB$3:$AB$5001,"&lt;&gt;")=0,"",SUMIFS(BD!$AB$3:$AB$5001,BD!$A$3:$A$5001,P$3,BD!$B$3:$B$5001,$A$131)))</f>
        <v/>
      </c>
      <c r="Q145" s="206" t="str">
        <f>IF(Q$3="","",IF(COUNTIFS(BD!$A$3:$A$5001,Q$3,BD!$B$3:$B$5001,$A$131,BD!$AB$3:$AB$5001,"&lt;&gt;")=0,"",SUMIFS(BD!$AB$3:$AB$5001,BD!$A$3:$A$5001,Q$3,BD!$B$3:$B$5001,$A$131)))</f>
        <v/>
      </c>
      <c r="R145" s="206" t="str">
        <f>IF(R$3="","",IF(COUNTIFS(BD!$A$3:$A$5001,R$3,BD!$B$3:$B$5001,$A$131,BD!$AB$3:$AB$5001,"&lt;&gt;")=0,"",SUMIFS(BD!$AB$3:$AB$5001,BD!$A$3:$A$5001,R$3,BD!$B$3:$B$5001,$A$131)))</f>
        <v/>
      </c>
      <c r="S145" s="206" t="str">
        <f>IF(S$3="","",IF(COUNTIFS(BD!$A$3:$A$5001,S$3,BD!$B$3:$B$5001,$A$131,BD!$AB$3:$AB$5001,"&lt;&gt;")=0,"",SUMIFS(BD!$AB$3:$AB$5001,BD!$A$3:$A$5001,S$3,BD!$B$3:$B$5001,$A$131)))</f>
        <v/>
      </c>
      <c r="T145" s="206" t="str">
        <f>IF(T$3="","",IF(COUNTIFS(BD!$A$3:$A$5001,T$3,BD!$B$3:$B$5001,$A$131,BD!$AB$3:$AB$5001,"&lt;&gt;")=0,"",SUMIFS(BD!$AB$3:$AB$5001,BD!$A$3:$A$5001,T$3,BD!$B$3:$B$5001,$A$131)))</f>
        <v/>
      </c>
      <c r="U145" s="206" t="str">
        <f>IF(U$3="","",IF(COUNTIFS(BD!$A$3:$A$5001,U$3,BD!$B$3:$B$5001,$A$131,BD!$AB$3:$AB$5001,"&lt;&gt;")=0,"",SUMIFS(BD!$AB$3:$AB$5001,BD!$A$3:$A$5001,U$3,BD!$B$3:$B$5001,$A$131)))</f>
        <v/>
      </c>
      <c r="V145" s="206" t="str">
        <f>IF(V$3="","",IF(COUNTIFS(BD!$A$3:$A$5001,V$3,BD!$B$3:$B$5001,$A$131,BD!$AB$3:$AB$5001,"&lt;&gt;")=0,"",SUMIFS(BD!$AB$3:$AB$5001,BD!$A$3:$A$5001,V$3,BD!$B$3:$B$5001,$A$131)))</f>
        <v/>
      </c>
      <c r="W145" s="206" t="str">
        <f>IF(W$3="","",IF(COUNTIFS(BD!$A$3:$A$5001,W$3,BD!$B$3:$B$5001,$A$131,BD!$AB$3:$AB$5001,"&lt;&gt;")=0,"",SUMIFS(BD!$AB$3:$AB$5001,BD!$A$3:$A$5001,W$3,BD!$B$3:$B$5001,$A$131)))</f>
        <v/>
      </c>
      <c r="X145" s="206" t="str">
        <f>IF(X$3="","",IF(COUNTIFS(BD!$A$3:$A$5001,X$3,BD!$B$3:$B$5001,$A$131,BD!$AB$3:$AB$5001,"&lt;&gt;")=0,"",SUMIFS(BD!$AB$3:$AB$5001,BD!$A$3:$A$5001,X$3,BD!$B$3:$B$5001,$A$131)))</f>
        <v/>
      </c>
      <c r="Y145" s="206" t="str">
        <f>IF(Y$3="","",IF(COUNTIFS(BD!$A$3:$A$5001,Y$3,BD!$B$3:$B$5001,$A$131,BD!$AB$3:$AB$5001,"&lt;&gt;")=0,"",SUMIFS(BD!$AB$3:$AB$5001,BD!$A$3:$A$5001,Y$3,BD!$B$3:$B$5001,$A$131)))</f>
        <v/>
      </c>
      <c r="Z145" s="206" t="str">
        <f>IF(Z$3="","",IF(COUNTIFS(BD!$A$3:$A$5001,Z$3,BD!$B$3:$B$5001,$A$131,BD!$AB$3:$AB$5001,"&lt;&gt;")=0,"",SUMIFS(BD!$AB$3:$AB$5001,BD!$A$3:$A$5001,Z$3,BD!$B$3:$B$5001,$A$131)))</f>
        <v/>
      </c>
      <c r="AA145" s="206" t="str">
        <f>IF(AA$3="","",IF(COUNTIFS(BD!$A$3:$A$5001,AA$3,BD!$B$3:$B$5001,$A$131,BD!$AB$3:$AB$5001,"&lt;&gt;")=0,"",SUMIFS(BD!$AB$3:$AB$5001,BD!$A$3:$A$5001,AA$3,BD!$B$3:$B$5001,$A$131)))</f>
        <v/>
      </c>
      <c r="AB145" s="206" t="str">
        <f>IF(AB$3="","",IF(COUNTIFS(BD!$A$3:$A$5001,AB$3,BD!$B$3:$B$5001,$A$131,BD!$AB$3:$AB$5001,"&lt;&gt;")=0,"",SUMIFS(BD!$AB$3:$AB$5001,BD!$A$3:$A$5001,AB$3,BD!$B$3:$B$5001,$A$131)))</f>
        <v/>
      </c>
      <c r="AC145" s="206" t="str">
        <f>IF(AC$3="","",IF(COUNTIFS(BD!$A$3:$A$5001,AC$3,BD!$B$3:$B$5001,$A$131,BD!$AB$3:$AB$5001,"&lt;&gt;")=0,"",SUMIFS(BD!$AB$3:$AB$5001,BD!$A$3:$A$5001,AC$3,BD!$B$3:$B$5001,$A$131)))</f>
        <v/>
      </c>
      <c r="AD145" s="206" t="str">
        <f>IF(AD$3="","",IF(COUNTIFS(BD!$A$3:$A$5001,AD$3,BD!$B$3:$B$5001,$A$131,BD!$AB$3:$AB$5001,"&lt;&gt;")=0,"",SUMIFS(BD!$AB$3:$AB$5001,BD!$A$3:$A$5001,AD$3,BD!$B$3:$B$5001,$A$131)))</f>
        <v/>
      </c>
      <c r="AE145" s="206" t="str">
        <f>IF(AE$3="","",IF(COUNTIFS(BD!$A$3:$A$5001,AE$3,BD!$B$3:$B$5001,$A$131,BD!$AB$3:$AB$5001,"&lt;&gt;")=0,"",SUMIFS(BD!$AB$3:$AB$5001,BD!$A$3:$A$5001,AE$3,BD!$B$3:$B$5001,$A$131)))</f>
        <v/>
      </c>
      <c r="AF145" s="206" t="str">
        <f>IF(AF$3="","",IF(COUNTIFS(BD!$A$3:$A$5001,AF$3,BD!$B$3:$B$5001,$A$131,BD!$AB$3:$AB$5001,"&lt;&gt;")=0,"",SUMIFS(BD!$AB$3:$AB$5001,BD!$A$3:$A$5001,AF$3,BD!$B$3:$B$5001,$A$131)))</f>
        <v/>
      </c>
      <c r="AG145" s="206" t="str">
        <f>IF(AG$3="","",IF(COUNTIFS(BD!$A$3:$A$5001,AG$3,BD!$B$3:$B$5001,$A$131,BD!$AB$3:$AB$5001,"&lt;&gt;")=0,"",SUMIFS(BD!$AB$3:$AB$5001,BD!$A$3:$A$5001,AG$3,BD!$B$3:$B$5001,$A$131)))</f>
        <v/>
      </c>
      <c r="AH145" s="206" t="str">
        <f>IF(AH$3="","",IF(COUNTIFS(BD!$A$3:$A$5001,AH$3,BD!$B$3:$B$5001,$A$131,BD!$AB$3:$AB$5001,"&lt;&gt;")=0,"",SUMIFS(BD!$AB$3:$AB$5001,BD!$A$3:$A$5001,AH$3,BD!$B$3:$B$5001,$A$131)))</f>
        <v/>
      </c>
      <c r="AI145" s="206" t="str">
        <f>IF(AI$3="","",IF(COUNTIFS(BD!$A$3:$A$5001,AI$3,BD!$B$3:$B$5001,$A$131,BD!$AB$3:$AB$5001,"&lt;&gt;")=0,"",SUMIFS(BD!$AB$3:$AB$5001,BD!$A$3:$A$5001,AI$3,BD!$B$3:$B$5001,$A$131)))</f>
        <v/>
      </c>
      <c r="AJ145" s="207" t="str">
        <f>IF(AJ$3="","",IF(COUNTIFS(BD!$A$3:$A$5001,AJ$3,BD!$B$3:$B$5001,$A$131,BD!$AB$3:$AB$5001,"&lt;&gt;")=0,"",SUMIFS(BD!$AB$3:$AB$5001,BD!$A$3:$A$5001,AJ$3,BD!$B$3:$B$5001,$A$131)))</f>
        <v/>
      </c>
      <c r="AK145" s="208" t="str">
        <f>IF(COUNT(F145:AJ145)=0,"",SUM(F145:AJ145))</f>
        <v/>
      </c>
    </row>
    <row r="146" ht="15.75" customHeight="1">
      <c r="A146" s="227"/>
      <c r="B146" s="224"/>
      <c r="C146" s="202" t="inlineStr">
        <is>
          <t xml:space="preserve">Férias</t>
        </is>
      </c>
      <c r="D146" s="203" t="str">
        <f>IFERROR(1/(1/INDEX(BD!$AK$50:$AT$50,MATCH($A$131,BD!$AK$22:$AT$22,0))),"")</f>
        <v/>
      </c>
      <c r="E146" s="204"/>
      <c r="F146" s="205" t="str">
        <f>IF(F$3="","",IF(COUNTIFS(BD!$A$3:$A$5001,F$3,BD!$B$3:$B$5001,$A$131,BD!$AC$3:$AC$5001,"&lt;&gt;")=0,"",SUMIFS(BD!$AC$3:$AC$5001,BD!$A$3:$A$5001,F$3,BD!$B$3:$B$5001,$A$131)))</f>
        <v/>
      </c>
      <c r="G146" s="206" t="str">
        <f>IF(G$3="","",IF(COUNTIFS(BD!$A$3:$A$5001,G$3,BD!$B$3:$B$5001,$A$131,BD!$AC$3:$AC$5001,"&lt;&gt;")=0,"",SUMIFS(BD!$AC$3:$AC$5001,BD!$A$3:$A$5001,G$3,BD!$B$3:$B$5001,$A$131)))</f>
        <v/>
      </c>
      <c r="H146" s="206" t="str">
        <f>IF(H$3="","",IF(COUNTIFS(BD!$A$3:$A$5001,H$3,BD!$B$3:$B$5001,$A$131,BD!$AC$3:$AC$5001,"&lt;&gt;")=0,"",SUMIFS(BD!$AC$3:$AC$5001,BD!$A$3:$A$5001,H$3,BD!$B$3:$B$5001,$A$131)))</f>
        <v/>
      </c>
      <c r="I146" s="206" t="str">
        <f>IF(I$3="","",IF(COUNTIFS(BD!$A$3:$A$5001,I$3,BD!$B$3:$B$5001,$A$131,BD!$AC$3:$AC$5001,"&lt;&gt;")=0,"",SUMIFS(BD!$AC$3:$AC$5001,BD!$A$3:$A$5001,I$3,BD!$B$3:$B$5001,$A$131)))</f>
        <v/>
      </c>
      <c r="J146" s="206" t="str">
        <f>IF(J$3="","",IF(COUNTIFS(BD!$A$3:$A$5001,J$3,BD!$B$3:$B$5001,$A$131,BD!$AC$3:$AC$5001,"&lt;&gt;")=0,"",SUMIFS(BD!$AC$3:$AC$5001,BD!$A$3:$A$5001,J$3,BD!$B$3:$B$5001,$A$131)))</f>
        <v/>
      </c>
      <c r="K146" s="206" t="str">
        <f>IF(K$3="","",IF(COUNTIFS(BD!$A$3:$A$5001,K$3,BD!$B$3:$B$5001,$A$131,BD!$AC$3:$AC$5001,"&lt;&gt;")=0,"",SUMIFS(BD!$AC$3:$AC$5001,BD!$A$3:$A$5001,K$3,BD!$B$3:$B$5001,$A$131)))</f>
        <v/>
      </c>
      <c r="L146" s="206" t="str">
        <f>IF(L$3="","",IF(COUNTIFS(BD!$A$3:$A$5001,L$3,BD!$B$3:$B$5001,$A$131,BD!$AC$3:$AC$5001,"&lt;&gt;")=0,"",SUMIFS(BD!$AC$3:$AC$5001,BD!$A$3:$A$5001,L$3,BD!$B$3:$B$5001,$A$131)))</f>
        <v/>
      </c>
      <c r="M146" s="206" t="str">
        <f>IF(M$3="","",IF(COUNTIFS(BD!$A$3:$A$5001,M$3,BD!$B$3:$B$5001,$A$131,BD!$AC$3:$AC$5001,"&lt;&gt;")=0,"",SUMIFS(BD!$AC$3:$AC$5001,BD!$A$3:$A$5001,M$3,BD!$B$3:$B$5001,$A$131)))</f>
        <v/>
      </c>
      <c r="N146" s="206" t="str">
        <f>IF(N$3="","",IF(COUNTIFS(BD!$A$3:$A$5001,N$3,BD!$B$3:$B$5001,$A$131,BD!$AC$3:$AC$5001,"&lt;&gt;")=0,"",SUMIFS(BD!$AC$3:$AC$5001,BD!$A$3:$A$5001,N$3,BD!$B$3:$B$5001,$A$131)))</f>
        <v/>
      </c>
      <c r="O146" s="206" t="str">
        <f>IF(O$3="","",IF(COUNTIFS(BD!$A$3:$A$5001,O$3,BD!$B$3:$B$5001,$A$131,BD!$AC$3:$AC$5001,"&lt;&gt;")=0,"",SUMIFS(BD!$AC$3:$AC$5001,BD!$A$3:$A$5001,O$3,BD!$B$3:$B$5001,$A$131)))</f>
        <v/>
      </c>
      <c r="P146" s="206" t="str">
        <f>IF(P$3="","",IF(COUNTIFS(BD!$A$3:$A$5001,P$3,BD!$B$3:$B$5001,$A$131,BD!$AC$3:$AC$5001,"&lt;&gt;")=0,"",SUMIFS(BD!$AC$3:$AC$5001,BD!$A$3:$A$5001,P$3,BD!$B$3:$B$5001,$A$131)))</f>
        <v/>
      </c>
      <c r="Q146" s="206" t="str">
        <f>IF(Q$3="","",IF(COUNTIFS(BD!$A$3:$A$5001,Q$3,BD!$B$3:$B$5001,$A$131,BD!$AC$3:$AC$5001,"&lt;&gt;")=0,"",SUMIFS(BD!$AC$3:$AC$5001,BD!$A$3:$A$5001,Q$3,BD!$B$3:$B$5001,$A$131)))</f>
        <v/>
      </c>
      <c r="R146" s="206" t="str">
        <f>IF(R$3="","",IF(COUNTIFS(BD!$A$3:$A$5001,R$3,BD!$B$3:$B$5001,$A$131,BD!$AC$3:$AC$5001,"&lt;&gt;")=0,"",SUMIFS(BD!$AC$3:$AC$5001,BD!$A$3:$A$5001,R$3,BD!$B$3:$B$5001,$A$131)))</f>
        <v/>
      </c>
      <c r="S146" s="206" t="str">
        <f>IF(S$3="","",IF(COUNTIFS(BD!$A$3:$A$5001,S$3,BD!$B$3:$B$5001,$A$131,BD!$AC$3:$AC$5001,"&lt;&gt;")=0,"",SUMIFS(BD!$AC$3:$AC$5001,BD!$A$3:$A$5001,S$3,BD!$B$3:$B$5001,$A$131)))</f>
        <v/>
      </c>
      <c r="T146" s="206" t="str">
        <f>IF(T$3="","",IF(COUNTIFS(BD!$A$3:$A$5001,T$3,BD!$B$3:$B$5001,$A$131,BD!$AC$3:$AC$5001,"&lt;&gt;")=0,"",SUMIFS(BD!$AC$3:$AC$5001,BD!$A$3:$A$5001,T$3,BD!$B$3:$B$5001,$A$131)))</f>
        <v/>
      </c>
      <c r="U146" s="206" t="str">
        <f>IF(U$3="","",IF(COUNTIFS(BD!$A$3:$A$5001,U$3,BD!$B$3:$B$5001,$A$131,BD!$AC$3:$AC$5001,"&lt;&gt;")=0,"",SUMIFS(BD!$AC$3:$AC$5001,BD!$A$3:$A$5001,U$3,BD!$B$3:$B$5001,$A$131)))</f>
        <v/>
      </c>
      <c r="V146" s="206" t="str">
        <f>IF(V$3="","",IF(COUNTIFS(BD!$A$3:$A$5001,V$3,BD!$B$3:$B$5001,$A$131,BD!$AC$3:$AC$5001,"&lt;&gt;")=0,"",SUMIFS(BD!$AC$3:$AC$5001,BD!$A$3:$A$5001,V$3,BD!$B$3:$B$5001,$A$131)))</f>
        <v/>
      </c>
      <c r="W146" s="206" t="str">
        <f>IF(W$3="","",IF(COUNTIFS(BD!$A$3:$A$5001,W$3,BD!$B$3:$B$5001,$A$131,BD!$AC$3:$AC$5001,"&lt;&gt;")=0,"",SUMIFS(BD!$AC$3:$AC$5001,BD!$A$3:$A$5001,W$3,BD!$B$3:$B$5001,$A$131)))</f>
        <v/>
      </c>
      <c r="X146" s="206" t="str">
        <f>IF(X$3="","",IF(COUNTIFS(BD!$A$3:$A$5001,X$3,BD!$B$3:$B$5001,$A$131,BD!$AC$3:$AC$5001,"&lt;&gt;")=0,"",SUMIFS(BD!$AC$3:$AC$5001,BD!$A$3:$A$5001,X$3,BD!$B$3:$B$5001,$A$131)))</f>
        <v/>
      </c>
      <c r="Y146" s="206" t="str">
        <f>IF(Y$3="","",IF(COUNTIFS(BD!$A$3:$A$5001,Y$3,BD!$B$3:$B$5001,$A$131,BD!$AC$3:$AC$5001,"&lt;&gt;")=0,"",SUMIFS(BD!$AC$3:$AC$5001,BD!$A$3:$A$5001,Y$3,BD!$B$3:$B$5001,$A$131)))</f>
        <v/>
      </c>
      <c r="Z146" s="206" t="str">
        <f>IF(Z$3="","",IF(COUNTIFS(BD!$A$3:$A$5001,Z$3,BD!$B$3:$B$5001,$A$131,BD!$AC$3:$AC$5001,"&lt;&gt;")=0,"",SUMIFS(BD!$AC$3:$AC$5001,BD!$A$3:$A$5001,Z$3,BD!$B$3:$B$5001,$A$131)))</f>
        <v/>
      </c>
      <c r="AA146" s="206" t="str">
        <f>IF(AA$3="","",IF(COUNTIFS(BD!$A$3:$A$5001,AA$3,BD!$B$3:$B$5001,$A$131,BD!$AC$3:$AC$5001,"&lt;&gt;")=0,"",SUMIFS(BD!$AC$3:$AC$5001,BD!$A$3:$A$5001,AA$3,BD!$B$3:$B$5001,$A$131)))</f>
        <v/>
      </c>
      <c r="AB146" s="206" t="str">
        <f>IF(AB$3="","",IF(COUNTIFS(BD!$A$3:$A$5001,AB$3,BD!$B$3:$B$5001,$A$131,BD!$AC$3:$AC$5001,"&lt;&gt;")=0,"",SUMIFS(BD!$AC$3:$AC$5001,BD!$A$3:$A$5001,AB$3,BD!$B$3:$B$5001,$A$131)))</f>
        <v/>
      </c>
      <c r="AC146" s="206" t="str">
        <f>IF(AC$3="","",IF(COUNTIFS(BD!$A$3:$A$5001,AC$3,BD!$B$3:$B$5001,$A$131,BD!$AC$3:$AC$5001,"&lt;&gt;")=0,"",SUMIFS(BD!$AC$3:$AC$5001,BD!$A$3:$A$5001,AC$3,BD!$B$3:$B$5001,$A$131)))</f>
        <v/>
      </c>
      <c r="AD146" s="206" t="str">
        <f>IF(AD$3="","",IF(COUNTIFS(BD!$A$3:$A$5001,AD$3,BD!$B$3:$B$5001,$A$131,BD!$AC$3:$AC$5001,"&lt;&gt;")=0,"",SUMIFS(BD!$AC$3:$AC$5001,BD!$A$3:$A$5001,AD$3,BD!$B$3:$B$5001,$A$131)))</f>
        <v/>
      </c>
      <c r="AE146" s="206" t="str">
        <f>IF(AE$3="","",IF(COUNTIFS(BD!$A$3:$A$5001,AE$3,BD!$B$3:$B$5001,$A$131,BD!$AC$3:$AC$5001,"&lt;&gt;")=0,"",SUMIFS(BD!$AC$3:$AC$5001,BD!$A$3:$A$5001,AE$3,BD!$B$3:$B$5001,$A$131)))</f>
        <v/>
      </c>
      <c r="AF146" s="206" t="str">
        <f>IF(AF$3="","",IF(COUNTIFS(BD!$A$3:$A$5001,AF$3,BD!$B$3:$B$5001,$A$131,BD!$AC$3:$AC$5001,"&lt;&gt;")=0,"",SUMIFS(BD!$AC$3:$AC$5001,BD!$A$3:$A$5001,AF$3,BD!$B$3:$B$5001,$A$131)))</f>
        <v/>
      </c>
      <c r="AG146" s="206" t="str">
        <f>IF(AG$3="","",IF(COUNTIFS(BD!$A$3:$A$5001,AG$3,BD!$B$3:$B$5001,$A$131,BD!$AC$3:$AC$5001,"&lt;&gt;")=0,"",SUMIFS(BD!$AC$3:$AC$5001,BD!$A$3:$A$5001,AG$3,BD!$B$3:$B$5001,$A$131)))</f>
        <v/>
      </c>
      <c r="AH146" s="206" t="str">
        <f>IF(AH$3="","",IF(COUNTIFS(BD!$A$3:$A$5001,AH$3,BD!$B$3:$B$5001,$A$131,BD!$AC$3:$AC$5001,"&lt;&gt;")=0,"",SUMIFS(BD!$AC$3:$AC$5001,BD!$A$3:$A$5001,AH$3,BD!$B$3:$B$5001,$A$131)))</f>
        <v/>
      </c>
      <c r="AI146" s="206" t="str">
        <f>IF(AI$3="","",IF(COUNTIFS(BD!$A$3:$A$5001,AI$3,BD!$B$3:$B$5001,$A$131,BD!$AC$3:$AC$5001,"&lt;&gt;")=0,"",SUMIFS(BD!$AC$3:$AC$5001,BD!$A$3:$A$5001,AI$3,BD!$B$3:$B$5001,$A$131)))</f>
        <v/>
      </c>
      <c r="AJ146" s="207" t="str">
        <f>IF(AJ$3="","",IF(COUNTIFS(BD!$A$3:$A$5001,AJ$3,BD!$B$3:$B$5001,$A$131,BD!$AC$3:$AC$5001,"&lt;&gt;")=0,"",SUMIFS(BD!$AC$3:$AC$5001,BD!$A$3:$A$5001,AJ$3,BD!$B$3:$B$5001,$A$131)))</f>
        <v/>
      </c>
      <c r="AK146" s="208" t="str">
        <f>IF(COUNT(F146:AJ146)=0,"",SUM(F146:AJ146))</f>
        <v/>
      </c>
    </row>
    <row r="147" ht="15.75" customHeight="1">
      <c r="A147" s="227"/>
      <c r="B147" s="224"/>
      <c r="C147" s="202" t="inlineStr">
        <is>
          <t xml:space="preserve">Desligamento</t>
        </is>
      </c>
      <c r="D147" s="203" t="str">
        <f>IFERROR(1/(1/INDEX(BD!$AK$51:$AT$51,MATCH($A$131,BD!$AK$22:$AT$22,0))),"")</f>
        <v/>
      </c>
      <c r="E147" s="204"/>
      <c r="F147" s="205" t="str">
        <f>IF(F$3="","",IF(COUNTIFS(BD!$A$3:$A$5001,F$3,BD!$B$3:$B$5001,$A$131,BD!$AD$3:$AD$5001,"&lt;&gt;")=0,"",SUMIFS(BD!$AD$3:$AD$5001,BD!$A$3:$A$5001,F$3,BD!$B$3:$B$5001,$A$131)))</f>
        <v/>
      </c>
      <c r="G147" s="206" t="str">
        <f>IF(G$3="","",IF(COUNTIFS(BD!$A$3:$A$5001,G$3,BD!$B$3:$B$5001,$A$131,BD!$AD$3:$AD$5001,"&lt;&gt;")=0,"",SUMIFS(BD!$AD$3:$AD$5001,BD!$A$3:$A$5001,G$3,BD!$B$3:$B$5001,$A$131)))</f>
        <v/>
      </c>
      <c r="H147" s="206" t="str">
        <f>IF(H$3="","",IF(COUNTIFS(BD!$A$3:$A$5001,H$3,BD!$B$3:$B$5001,$A$131,BD!$AD$3:$AD$5001,"&lt;&gt;")=0,"",SUMIFS(BD!$AD$3:$AD$5001,BD!$A$3:$A$5001,H$3,BD!$B$3:$B$5001,$A$131)))</f>
        <v/>
      </c>
      <c r="I147" s="206" t="str">
        <f>IF(I$3="","",IF(COUNTIFS(BD!$A$3:$A$5001,I$3,BD!$B$3:$B$5001,$A$131,BD!$AD$3:$AD$5001,"&lt;&gt;")=0,"",SUMIFS(BD!$AD$3:$AD$5001,BD!$A$3:$A$5001,I$3,BD!$B$3:$B$5001,$A$131)))</f>
        <v/>
      </c>
      <c r="J147" s="206" t="str">
        <f>IF(J$3="","",IF(COUNTIFS(BD!$A$3:$A$5001,J$3,BD!$B$3:$B$5001,$A$131,BD!$AD$3:$AD$5001,"&lt;&gt;")=0,"",SUMIFS(BD!$AD$3:$AD$5001,BD!$A$3:$A$5001,J$3,BD!$B$3:$B$5001,$A$131)))</f>
        <v/>
      </c>
      <c r="K147" s="206" t="str">
        <f>IF(K$3="","",IF(COUNTIFS(BD!$A$3:$A$5001,K$3,BD!$B$3:$B$5001,$A$131,BD!$AD$3:$AD$5001,"&lt;&gt;")=0,"",SUMIFS(BD!$AD$3:$AD$5001,BD!$A$3:$A$5001,K$3,BD!$B$3:$B$5001,$A$131)))</f>
        <v/>
      </c>
      <c r="L147" s="206" t="str">
        <f>IF(L$3="","",IF(COUNTIFS(BD!$A$3:$A$5001,L$3,BD!$B$3:$B$5001,$A$131,BD!$AD$3:$AD$5001,"&lt;&gt;")=0,"",SUMIFS(BD!$AD$3:$AD$5001,BD!$A$3:$A$5001,L$3,BD!$B$3:$B$5001,$A$131)))</f>
        <v/>
      </c>
      <c r="M147" s="206" t="str">
        <f>IF(M$3="","",IF(COUNTIFS(BD!$A$3:$A$5001,M$3,BD!$B$3:$B$5001,$A$131,BD!$AD$3:$AD$5001,"&lt;&gt;")=0,"",SUMIFS(BD!$AD$3:$AD$5001,BD!$A$3:$A$5001,M$3,BD!$B$3:$B$5001,$A$131)))</f>
        <v/>
      </c>
      <c r="N147" s="206" t="str">
        <f>IF(N$3="","",IF(COUNTIFS(BD!$A$3:$A$5001,N$3,BD!$B$3:$B$5001,$A$131,BD!$AD$3:$AD$5001,"&lt;&gt;")=0,"",SUMIFS(BD!$AD$3:$AD$5001,BD!$A$3:$A$5001,N$3,BD!$B$3:$B$5001,$A$131)))</f>
        <v/>
      </c>
      <c r="O147" s="206" t="str">
        <f>IF(O$3="","",IF(COUNTIFS(BD!$A$3:$A$5001,O$3,BD!$B$3:$B$5001,$A$131,BD!$AD$3:$AD$5001,"&lt;&gt;")=0,"",SUMIFS(BD!$AD$3:$AD$5001,BD!$A$3:$A$5001,O$3,BD!$B$3:$B$5001,$A$131)))</f>
        <v/>
      </c>
      <c r="P147" s="206" t="str">
        <f>IF(P$3="","",IF(COUNTIFS(BD!$A$3:$A$5001,P$3,BD!$B$3:$B$5001,$A$131,BD!$AD$3:$AD$5001,"&lt;&gt;")=0,"",SUMIFS(BD!$AD$3:$AD$5001,BD!$A$3:$A$5001,P$3,BD!$B$3:$B$5001,$A$131)))</f>
        <v/>
      </c>
      <c r="Q147" s="206" t="str">
        <f>IF(Q$3="","",IF(COUNTIFS(BD!$A$3:$A$5001,Q$3,BD!$B$3:$B$5001,$A$131,BD!$AD$3:$AD$5001,"&lt;&gt;")=0,"",SUMIFS(BD!$AD$3:$AD$5001,BD!$A$3:$A$5001,Q$3,BD!$B$3:$B$5001,$A$131)))</f>
        <v/>
      </c>
      <c r="R147" s="206" t="str">
        <f>IF(R$3="","",IF(COUNTIFS(BD!$A$3:$A$5001,R$3,BD!$B$3:$B$5001,$A$131,BD!$AD$3:$AD$5001,"&lt;&gt;")=0,"",SUMIFS(BD!$AD$3:$AD$5001,BD!$A$3:$A$5001,R$3,BD!$B$3:$B$5001,$A$131)))</f>
        <v/>
      </c>
      <c r="S147" s="206" t="str">
        <f>IF(S$3="","",IF(COUNTIFS(BD!$A$3:$A$5001,S$3,BD!$B$3:$B$5001,$A$131,BD!$AD$3:$AD$5001,"&lt;&gt;")=0,"",SUMIFS(BD!$AD$3:$AD$5001,BD!$A$3:$A$5001,S$3,BD!$B$3:$B$5001,$A$131)))</f>
        <v/>
      </c>
      <c r="T147" s="206" t="str">
        <f>IF(T$3="","",IF(COUNTIFS(BD!$A$3:$A$5001,T$3,BD!$B$3:$B$5001,$A$131,BD!$AD$3:$AD$5001,"&lt;&gt;")=0,"",SUMIFS(BD!$AD$3:$AD$5001,BD!$A$3:$A$5001,T$3,BD!$B$3:$B$5001,$A$131)))</f>
        <v/>
      </c>
      <c r="U147" s="206" t="str">
        <f>IF(U$3="","",IF(COUNTIFS(BD!$A$3:$A$5001,U$3,BD!$B$3:$B$5001,$A$131,BD!$AD$3:$AD$5001,"&lt;&gt;")=0,"",SUMIFS(BD!$AD$3:$AD$5001,BD!$A$3:$A$5001,U$3,BD!$B$3:$B$5001,$A$131)))</f>
        <v/>
      </c>
      <c r="V147" s="206" t="str">
        <f>IF(V$3="","",IF(COUNTIFS(BD!$A$3:$A$5001,V$3,BD!$B$3:$B$5001,$A$131,BD!$AD$3:$AD$5001,"&lt;&gt;")=0,"",SUMIFS(BD!$AD$3:$AD$5001,BD!$A$3:$A$5001,V$3,BD!$B$3:$B$5001,$A$131)))</f>
        <v/>
      </c>
      <c r="W147" s="206" t="str">
        <f>IF(W$3="","",IF(COUNTIFS(BD!$A$3:$A$5001,W$3,BD!$B$3:$B$5001,$A$131,BD!$AD$3:$AD$5001,"&lt;&gt;")=0,"",SUMIFS(BD!$AD$3:$AD$5001,BD!$A$3:$A$5001,W$3,BD!$B$3:$B$5001,$A$131)))</f>
        <v/>
      </c>
      <c r="X147" s="206" t="str">
        <f>IF(X$3="","",IF(COUNTIFS(BD!$A$3:$A$5001,X$3,BD!$B$3:$B$5001,$A$131,BD!$AD$3:$AD$5001,"&lt;&gt;")=0,"",SUMIFS(BD!$AD$3:$AD$5001,BD!$A$3:$A$5001,X$3,BD!$B$3:$B$5001,$A$131)))</f>
        <v/>
      </c>
      <c r="Y147" s="206" t="str">
        <f>IF(Y$3="","",IF(COUNTIFS(BD!$A$3:$A$5001,Y$3,BD!$B$3:$B$5001,$A$131,BD!$AD$3:$AD$5001,"&lt;&gt;")=0,"",SUMIFS(BD!$AD$3:$AD$5001,BD!$A$3:$A$5001,Y$3,BD!$B$3:$B$5001,$A$131)))</f>
        <v/>
      </c>
      <c r="Z147" s="206" t="str">
        <f>IF(Z$3="","",IF(COUNTIFS(BD!$A$3:$A$5001,Z$3,BD!$B$3:$B$5001,$A$131,BD!$AD$3:$AD$5001,"&lt;&gt;")=0,"",SUMIFS(BD!$AD$3:$AD$5001,BD!$A$3:$A$5001,Z$3,BD!$B$3:$B$5001,$A$131)))</f>
        <v/>
      </c>
      <c r="AA147" s="206" t="str">
        <f>IF(AA$3="","",IF(COUNTIFS(BD!$A$3:$A$5001,AA$3,BD!$B$3:$B$5001,$A$131,BD!$AD$3:$AD$5001,"&lt;&gt;")=0,"",SUMIFS(BD!$AD$3:$AD$5001,BD!$A$3:$A$5001,AA$3,BD!$B$3:$B$5001,$A$131)))</f>
        <v/>
      </c>
      <c r="AB147" s="206" t="str">
        <f>IF(AB$3="","",IF(COUNTIFS(BD!$A$3:$A$5001,AB$3,BD!$B$3:$B$5001,$A$131,BD!$AD$3:$AD$5001,"&lt;&gt;")=0,"",SUMIFS(BD!$AD$3:$AD$5001,BD!$A$3:$A$5001,AB$3,BD!$B$3:$B$5001,$A$131)))</f>
        <v/>
      </c>
      <c r="AC147" s="206" t="str">
        <f>IF(AC$3="","",IF(COUNTIFS(BD!$A$3:$A$5001,AC$3,BD!$B$3:$B$5001,$A$131,BD!$AD$3:$AD$5001,"&lt;&gt;")=0,"",SUMIFS(BD!$AD$3:$AD$5001,BD!$A$3:$A$5001,AC$3,BD!$B$3:$B$5001,$A$131)))</f>
        <v/>
      </c>
      <c r="AD147" s="206" t="str">
        <f>IF(AD$3="","",IF(COUNTIFS(BD!$A$3:$A$5001,AD$3,BD!$B$3:$B$5001,$A$131,BD!$AD$3:$AD$5001,"&lt;&gt;")=0,"",SUMIFS(BD!$AD$3:$AD$5001,BD!$A$3:$A$5001,AD$3,BD!$B$3:$B$5001,$A$131)))</f>
        <v/>
      </c>
      <c r="AE147" s="206" t="str">
        <f>IF(AE$3="","",IF(COUNTIFS(BD!$A$3:$A$5001,AE$3,BD!$B$3:$B$5001,$A$131,BD!$AD$3:$AD$5001,"&lt;&gt;")=0,"",SUMIFS(BD!$AD$3:$AD$5001,BD!$A$3:$A$5001,AE$3,BD!$B$3:$B$5001,$A$131)))</f>
        <v/>
      </c>
      <c r="AF147" s="206" t="str">
        <f>IF(AF$3="","",IF(COUNTIFS(BD!$A$3:$A$5001,AF$3,BD!$B$3:$B$5001,$A$131,BD!$AD$3:$AD$5001,"&lt;&gt;")=0,"",SUMIFS(BD!$AD$3:$AD$5001,BD!$A$3:$A$5001,AF$3,BD!$B$3:$B$5001,$A$131)))</f>
        <v/>
      </c>
      <c r="AG147" s="206" t="str">
        <f>IF(AG$3="","",IF(COUNTIFS(BD!$A$3:$A$5001,AG$3,BD!$B$3:$B$5001,$A$131,BD!$AD$3:$AD$5001,"&lt;&gt;")=0,"",SUMIFS(BD!$AD$3:$AD$5001,BD!$A$3:$A$5001,AG$3,BD!$B$3:$B$5001,$A$131)))</f>
        <v/>
      </c>
      <c r="AH147" s="206" t="str">
        <f>IF(AH$3="","",IF(COUNTIFS(BD!$A$3:$A$5001,AH$3,BD!$B$3:$B$5001,$A$131,BD!$AD$3:$AD$5001,"&lt;&gt;")=0,"",SUMIFS(BD!$AD$3:$AD$5001,BD!$A$3:$A$5001,AH$3,BD!$B$3:$B$5001,$A$131)))</f>
        <v/>
      </c>
      <c r="AI147" s="206" t="str">
        <f>IF(AI$3="","",IF(COUNTIFS(BD!$A$3:$A$5001,AI$3,BD!$B$3:$B$5001,$A$131,BD!$AD$3:$AD$5001,"&lt;&gt;")=0,"",SUMIFS(BD!$AD$3:$AD$5001,BD!$A$3:$A$5001,AI$3,BD!$B$3:$B$5001,$A$131)))</f>
        <v/>
      </c>
      <c r="AJ147" s="207" t="str">
        <f>IF(AJ$3="","",IF(COUNTIFS(BD!$A$3:$A$5001,AJ$3,BD!$B$3:$B$5001,$A$131,BD!$AD$3:$AD$5001,"&lt;&gt;")=0,"",SUMIFS(BD!$AD$3:$AD$5001,BD!$A$3:$A$5001,AJ$3,BD!$B$3:$B$5001,$A$131)))</f>
        <v/>
      </c>
      <c r="AK147" s="208" t="str">
        <f>IF(COUNT(F147:AJ147)=0,"",SUM(F147:AJ147))</f>
        <v/>
      </c>
    </row>
    <row r="148" ht="15.75" customHeight="1">
      <c r="A148" s="227"/>
      <c r="B148" s="224"/>
      <c r="C148" s="202" t="inlineStr">
        <is>
          <t xml:space="preserve">Desvios Comportamentais</t>
        </is>
      </c>
      <c r="D148" s="203" t="str">
        <f>IFERROR(1/(1/INDEX(BD!$AK$52:$AT$52,MATCH($A$131,BD!$AK$22:$AT$22,0))),"")</f>
        <v/>
      </c>
      <c r="E148" s="204"/>
      <c r="F148" s="205" t="str">
        <f>IF(F$3="","",IF(COUNTIFS(BD!$A$3:$A$5001,F$3,BD!$B$3:$B$5001,$A$131,BD!$AE$3:$AE$5001,"&lt;&gt;")=0,"",SUMIFS(BD!$AE$3:$AE$5001,BD!$A$3:$A$5001,F$3,BD!$B$3:$B$5001,$A$131)))</f>
        <v/>
      </c>
      <c r="G148" s="206" t="str">
        <f>IF(G$3="","",IF(COUNTIFS(BD!$A$3:$A$5001,G$3,BD!$B$3:$B$5001,$A$131,BD!$AE$3:$AE$5001,"&lt;&gt;")=0,"",SUMIFS(BD!$AE$3:$AE$5001,BD!$A$3:$A$5001,G$3,BD!$B$3:$B$5001,$A$131)))</f>
        <v/>
      </c>
      <c r="H148" s="206" t="str">
        <f>IF(H$3="","",IF(COUNTIFS(BD!$A$3:$A$5001,H$3,BD!$B$3:$B$5001,$A$131,BD!$AE$3:$AE$5001,"&lt;&gt;")=0,"",SUMIFS(BD!$AE$3:$AE$5001,BD!$A$3:$A$5001,H$3,BD!$B$3:$B$5001,$A$131)))</f>
        <v/>
      </c>
      <c r="I148" s="206" t="str">
        <f>IF(I$3="","",IF(COUNTIFS(BD!$A$3:$A$5001,I$3,BD!$B$3:$B$5001,$A$131,BD!$AE$3:$AE$5001,"&lt;&gt;")=0,"",SUMIFS(BD!$AE$3:$AE$5001,BD!$A$3:$A$5001,I$3,BD!$B$3:$B$5001,$A$131)))</f>
        <v/>
      </c>
      <c r="J148" s="206" t="str">
        <f>IF(J$3="","",IF(COUNTIFS(BD!$A$3:$A$5001,J$3,BD!$B$3:$B$5001,$A$131,BD!$AE$3:$AE$5001,"&lt;&gt;")=0,"",SUMIFS(BD!$AE$3:$AE$5001,BD!$A$3:$A$5001,J$3,BD!$B$3:$B$5001,$A$131)))</f>
        <v/>
      </c>
      <c r="K148" s="206" t="str">
        <f>IF(K$3="","",IF(COUNTIFS(BD!$A$3:$A$5001,K$3,BD!$B$3:$B$5001,$A$131,BD!$AE$3:$AE$5001,"&lt;&gt;")=0,"",SUMIFS(BD!$AE$3:$AE$5001,BD!$A$3:$A$5001,K$3,BD!$B$3:$B$5001,$A$131)))</f>
        <v/>
      </c>
      <c r="L148" s="206" t="str">
        <f>IF(L$3="","",IF(COUNTIFS(BD!$A$3:$A$5001,L$3,BD!$B$3:$B$5001,$A$131,BD!$AE$3:$AE$5001,"&lt;&gt;")=0,"",SUMIFS(BD!$AE$3:$AE$5001,BD!$A$3:$A$5001,L$3,BD!$B$3:$B$5001,$A$131)))</f>
        <v/>
      </c>
      <c r="M148" s="206" t="str">
        <f>IF(M$3="","",IF(COUNTIFS(BD!$A$3:$A$5001,M$3,BD!$B$3:$B$5001,$A$131,BD!$AE$3:$AE$5001,"&lt;&gt;")=0,"",SUMIFS(BD!$AE$3:$AE$5001,BD!$A$3:$A$5001,M$3,BD!$B$3:$B$5001,$A$131)))</f>
        <v/>
      </c>
      <c r="N148" s="206" t="str">
        <f>IF(N$3="","",IF(COUNTIFS(BD!$A$3:$A$5001,N$3,BD!$B$3:$B$5001,$A$131,BD!$AE$3:$AE$5001,"&lt;&gt;")=0,"",SUMIFS(BD!$AE$3:$AE$5001,BD!$A$3:$A$5001,N$3,BD!$B$3:$B$5001,$A$131)))</f>
        <v/>
      </c>
      <c r="O148" s="206" t="str">
        <f>IF(O$3="","",IF(COUNTIFS(BD!$A$3:$A$5001,O$3,BD!$B$3:$B$5001,$A$131,BD!$AE$3:$AE$5001,"&lt;&gt;")=0,"",SUMIFS(BD!$AE$3:$AE$5001,BD!$A$3:$A$5001,O$3,BD!$B$3:$B$5001,$A$131)))</f>
        <v/>
      </c>
      <c r="P148" s="206" t="str">
        <f>IF(P$3="","",IF(COUNTIFS(BD!$A$3:$A$5001,P$3,BD!$B$3:$B$5001,$A$131,BD!$AE$3:$AE$5001,"&lt;&gt;")=0,"",SUMIFS(BD!$AE$3:$AE$5001,BD!$A$3:$A$5001,P$3,BD!$B$3:$B$5001,$A$131)))</f>
        <v/>
      </c>
      <c r="Q148" s="206" t="str">
        <f>IF(Q$3="","",IF(COUNTIFS(BD!$A$3:$A$5001,Q$3,BD!$B$3:$B$5001,$A$131,BD!$AE$3:$AE$5001,"&lt;&gt;")=0,"",SUMIFS(BD!$AE$3:$AE$5001,BD!$A$3:$A$5001,Q$3,BD!$B$3:$B$5001,$A$131)))</f>
        <v/>
      </c>
      <c r="R148" s="206" t="str">
        <f>IF(R$3="","",IF(COUNTIFS(BD!$A$3:$A$5001,R$3,BD!$B$3:$B$5001,$A$131,BD!$AE$3:$AE$5001,"&lt;&gt;")=0,"",SUMIFS(BD!$AE$3:$AE$5001,BD!$A$3:$A$5001,R$3,BD!$B$3:$B$5001,$A$131)))</f>
        <v/>
      </c>
      <c r="S148" s="206" t="str">
        <f>IF(S$3="","",IF(COUNTIFS(BD!$A$3:$A$5001,S$3,BD!$B$3:$B$5001,$A$131,BD!$AE$3:$AE$5001,"&lt;&gt;")=0,"",SUMIFS(BD!$AE$3:$AE$5001,BD!$A$3:$A$5001,S$3,BD!$B$3:$B$5001,$A$131)))</f>
        <v/>
      </c>
      <c r="T148" s="206" t="str">
        <f>IF(T$3="","",IF(COUNTIFS(BD!$A$3:$A$5001,T$3,BD!$B$3:$B$5001,$A$131,BD!$AE$3:$AE$5001,"&lt;&gt;")=0,"",SUMIFS(BD!$AE$3:$AE$5001,BD!$A$3:$A$5001,T$3,BD!$B$3:$B$5001,$A$131)))</f>
        <v/>
      </c>
      <c r="U148" s="206" t="str">
        <f>IF(U$3="","",IF(COUNTIFS(BD!$A$3:$A$5001,U$3,BD!$B$3:$B$5001,$A$131,BD!$AE$3:$AE$5001,"&lt;&gt;")=0,"",SUMIFS(BD!$AE$3:$AE$5001,BD!$A$3:$A$5001,U$3,BD!$B$3:$B$5001,$A$131)))</f>
        <v/>
      </c>
      <c r="V148" s="206" t="str">
        <f>IF(V$3="","",IF(COUNTIFS(BD!$A$3:$A$5001,V$3,BD!$B$3:$B$5001,$A$131,BD!$AE$3:$AE$5001,"&lt;&gt;")=0,"",SUMIFS(BD!$AE$3:$AE$5001,BD!$A$3:$A$5001,V$3,BD!$B$3:$B$5001,$A$131)))</f>
        <v/>
      </c>
      <c r="W148" s="206" t="str">
        <f>IF(W$3="","",IF(COUNTIFS(BD!$A$3:$A$5001,W$3,BD!$B$3:$B$5001,$A$131,BD!$AE$3:$AE$5001,"&lt;&gt;")=0,"",SUMIFS(BD!$AE$3:$AE$5001,BD!$A$3:$A$5001,W$3,BD!$B$3:$B$5001,$A$131)))</f>
        <v/>
      </c>
      <c r="X148" s="206" t="str">
        <f>IF(X$3="","",IF(COUNTIFS(BD!$A$3:$A$5001,X$3,BD!$B$3:$B$5001,$A$131,BD!$AE$3:$AE$5001,"&lt;&gt;")=0,"",SUMIFS(BD!$AE$3:$AE$5001,BD!$A$3:$A$5001,X$3,BD!$B$3:$B$5001,$A$131)))</f>
        <v/>
      </c>
      <c r="Y148" s="206" t="str">
        <f>IF(Y$3="","",IF(COUNTIFS(BD!$A$3:$A$5001,Y$3,BD!$B$3:$B$5001,$A$131,BD!$AE$3:$AE$5001,"&lt;&gt;")=0,"",SUMIFS(BD!$AE$3:$AE$5001,BD!$A$3:$A$5001,Y$3,BD!$B$3:$B$5001,$A$131)))</f>
        <v/>
      </c>
      <c r="Z148" s="206" t="str">
        <f>IF(Z$3="","",IF(COUNTIFS(BD!$A$3:$A$5001,Z$3,BD!$B$3:$B$5001,$A$131,BD!$AE$3:$AE$5001,"&lt;&gt;")=0,"",SUMIFS(BD!$AE$3:$AE$5001,BD!$A$3:$A$5001,Z$3,BD!$B$3:$B$5001,$A$131)))</f>
        <v/>
      </c>
      <c r="AA148" s="206" t="str">
        <f>IF(AA$3="","",IF(COUNTIFS(BD!$A$3:$A$5001,AA$3,BD!$B$3:$B$5001,$A$131,BD!$AE$3:$AE$5001,"&lt;&gt;")=0,"",SUMIFS(BD!$AE$3:$AE$5001,BD!$A$3:$A$5001,AA$3,BD!$B$3:$B$5001,$A$131)))</f>
        <v/>
      </c>
      <c r="AB148" s="206" t="str">
        <f>IF(AB$3="","",IF(COUNTIFS(BD!$A$3:$A$5001,AB$3,BD!$B$3:$B$5001,$A$131,BD!$AE$3:$AE$5001,"&lt;&gt;")=0,"",SUMIFS(BD!$AE$3:$AE$5001,BD!$A$3:$A$5001,AB$3,BD!$B$3:$B$5001,$A$131)))</f>
        <v/>
      </c>
      <c r="AC148" s="206" t="str">
        <f>IF(AC$3="","",IF(COUNTIFS(BD!$A$3:$A$5001,AC$3,BD!$B$3:$B$5001,$A$131,BD!$AE$3:$AE$5001,"&lt;&gt;")=0,"",SUMIFS(BD!$AE$3:$AE$5001,BD!$A$3:$A$5001,AC$3,BD!$B$3:$B$5001,$A$131)))</f>
        <v/>
      </c>
      <c r="AD148" s="206" t="str">
        <f>IF(AD$3="","",IF(COUNTIFS(BD!$A$3:$A$5001,AD$3,BD!$B$3:$B$5001,$A$131,BD!$AE$3:$AE$5001,"&lt;&gt;")=0,"",SUMIFS(BD!$AE$3:$AE$5001,BD!$A$3:$A$5001,AD$3,BD!$B$3:$B$5001,$A$131)))</f>
        <v/>
      </c>
      <c r="AE148" s="206" t="str">
        <f>IF(AE$3="","",IF(COUNTIFS(BD!$A$3:$A$5001,AE$3,BD!$B$3:$B$5001,$A$131,BD!$AE$3:$AE$5001,"&lt;&gt;")=0,"",SUMIFS(BD!$AE$3:$AE$5001,BD!$A$3:$A$5001,AE$3,BD!$B$3:$B$5001,$A$131)))</f>
        <v/>
      </c>
      <c r="AF148" s="206" t="str">
        <f>IF(AF$3="","",IF(COUNTIFS(BD!$A$3:$A$5001,AF$3,BD!$B$3:$B$5001,$A$131,BD!$AE$3:$AE$5001,"&lt;&gt;")=0,"",SUMIFS(BD!$AE$3:$AE$5001,BD!$A$3:$A$5001,AF$3,BD!$B$3:$B$5001,$A$131)))</f>
        <v/>
      </c>
      <c r="AG148" s="206" t="str">
        <f>IF(AG$3="","",IF(COUNTIFS(BD!$A$3:$A$5001,AG$3,BD!$B$3:$B$5001,$A$131,BD!$AE$3:$AE$5001,"&lt;&gt;")=0,"",SUMIFS(BD!$AE$3:$AE$5001,BD!$A$3:$A$5001,AG$3,BD!$B$3:$B$5001,$A$131)))</f>
        <v/>
      </c>
      <c r="AH148" s="206" t="str">
        <f>IF(AH$3="","",IF(COUNTIFS(BD!$A$3:$A$5001,AH$3,BD!$B$3:$B$5001,$A$131,BD!$AE$3:$AE$5001,"&lt;&gt;")=0,"",SUMIFS(BD!$AE$3:$AE$5001,BD!$A$3:$A$5001,AH$3,BD!$B$3:$B$5001,$A$131)))</f>
        <v/>
      </c>
      <c r="AI148" s="206" t="str">
        <f>IF(AI$3="","",IF(COUNTIFS(BD!$A$3:$A$5001,AI$3,BD!$B$3:$B$5001,$A$131,BD!$AE$3:$AE$5001,"&lt;&gt;")=0,"",SUMIFS(BD!$AE$3:$AE$5001,BD!$A$3:$A$5001,AI$3,BD!$B$3:$B$5001,$A$131)))</f>
        <v/>
      </c>
      <c r="AJ148" s="207" t="str">
        <f>IF(AJ$3="","",IF(COUNTIFS(BD!$A$3:$A$5001,AJ$3,BD!$B$3:$B$5001,$A$131,BD!$AE$3:$AE$5001,"&lt;&gt;")=0,"",SUMIFS(BD!$AE$3:$AE$5001,BD!$A$3:$A$5001,AJ$3,BD!$B$3:$B$5001,$A$131)))</f>
        <v/>
      </c>
      <c r="AK148" s="208" t="str">
        <f>IF(COUNT(F148:AJ148)=0,"",SUM(F148:AJ148))</f>
        <v/>
      </c>
    </row>
    <row r="149" ht="15.75" customHeight="1">
      <c r="A149" s="227"/>
      <c r="B149" s="224"/>
      <c r="C149" s="202" t="inlineStr">
        <is>
          <t xml:space="preserve">Acidentes CAF</t>
        </is>
      </c>
      <c r="D149" s="203" t="str">
        <f>IFERROR(1/(1/INDEX(BD!$AK$53:$AT$53,MATCH($A$131,BD!$AK$22:$AT$22,0))),"")</f>
        <v/>
      </c>
      <c r="E149" s="204"/>
      <c r="F149" s="205" t="str">
        <f>IF(F$3="","",IF(COUNTIFS(BD!$A$3:$A$5001,F$3,BD!$B$3:$B$5001,$A$131,BD!$AF$3:$AF$5001,"&lt;&gt;")=0,"",SUMIFS(BD!$AF$3:$AF$5001,BD!$A$3:$A$5001,F$3,BD!$B$3:$B$5001,$A$131)))</f>
        <v/>
      </c>
      <c r="G149" s="206" t="str">
        <f>IF(G$3="","",IF(COUNTIFS(BD!$A$3:$A$5001,G$3,BD!$B$3:$B$5001,$A$131,BD!$AF$3:$AF$5001,"&lt;&gt;")=0,"",SUMIFS(BD!$AF$3:$AF$5001,BD!$A$3:$A$5001,G$3,BD!$B$3:$B$5001,$A$131)))</f>
        <v/>
      </c>
      <c r="H149" s="206" t="str">
        <f>IF(H$3="","",IF(COUNTIFS(BD!$A$3:$A$5001,H$3,BD!$B$3:$B$5001,$A$131,BD!$AF$3:$AF$5001,"&lt;&gt;")=0,"",SUMIFS(BD!$AF$3:$AF$5001,BD!$A$3:$A$5001,H$3,BD!$B$3:$B$5001,$A$131)))</f>
        <v/>
      </c>
      <c r="I149" s="206" t="str">
        <f>IF(I$3="","",IF(COUNTIFS(BD!$A$3:$A$5001,I$3,BD!$B$3:$B$5001,$A$131,BD!$AF$3:$AF$5001,"&lt;&gt;")=0,"",SUMIFS(BD!$AF$3:$AF$5001,BD!$A$3:$A$5001,I$3,BD!$B$3:$B$5001,$A$131)))</f>
        <v/>
      </c>
      <c r="J149" s="206" t="str">
        <f>IF(J$3="","",IF(COUNTIFS(BD!$A$3:$A$5001,J$3,BD!$B$3:$B$5001,$A$131,BD!$AF$3:$AF$5001,"&lt;&gt;")=0,"",SUMIFS(BD!$AF$3:$AF$5001,BD!$A$3:$A$5001,J$3,BD!$B$3:$B$5001,$A$131)))</f>
        <v/>
      </c>
      <c r="K149" s="206" t="str">
        <f>IF(K$3="","",IF(COUNTIFS(BD!$A$3:$A$5001,K$3,BD!$B$3:$B$5001,$A$131,BD!$AF$3:$AF$5001,"&lt;&gt;")=0,"",SUMIFS(BD!$AF$3:$AF$5001,BD!$A$3:$A$5001,K$3,BD!$B$3:$B$5001,$A$131)))</f>
        <v/>
      </c>
      <c r="L149" s="206" t="str">
        <f>IF(L$3="","",IF(COUNTIFS(BD!$A$3:$A$5001,L$3,BD!$B$3:$B$5001,$A$131,BD!$AF$3:$AF$5001,"&lt;&gt;")=0,"",SUMIFS(BD!$AF$3:$AF$5001,BD!$A$3:$A$5001,L$3,BD!$B$3:$B$5001,$A$131)))</f>
        <v/>
      </c>
      <c r="M149" s="206" t="str">
        <f>IF(M$3="","",IF(COUNTIFS(BD!$A$3:$A$5001,M$3,BD!$B$3:$B$5001,$A$131,BD!$AF$3:$AF$5001,"&lt;&gt;")=0,"",SUMIFS(BD!$AF$3:$AF$5001,BD!$A$3:$A$5001,M$3,BD!$B$3:$B$5001,$A$131)))</f>
        <v/>
      </c>
      <c r="N149" s="206" t="str">
        <f>IF(N$3="","",IF(COUNTIFS(BD!$A$3:$A$5001,N$3,BD!$B$3:$B$5001,$A$131,BD!$AF$3:$AF$5001,"&lt;&gt;")=0,"",SUMIFS(BD!$AF$3:$AF$5001,BD!$A$3:$A$5001,N$3,BD!$B$3:$B$5001,$A$131)))</f>
        <v/>
      </c>
      <c r="O149" s="206" t="str">
        <f>IF(O$3="","",IF(COUNTIFS(BD!$A$3:$A$5001,O$3,BD!$B$3:$B$5001,$A$131,BD!$AF$3:$AF$5001,"&lt;&gt;")=0,"",SUMIFS(BD!$AF$3:$AF$5001,BD!$A$3:$A$5001,O$3,BD!$B$3:$B$5001,$A$131)))</f>
        <v/>
      </c>
      <c r="P149" s="206" t="str">
        <f>IF(P$3="","",IF(COUNTIFS(BD!$A$3:$A$5001,P$3,BD!$B$3:$B$5001,$A$131,BD!$AF$3:$AF$5001,"&lt;&gt;")=0,"",SUMIFS(BD!$AF$3:$AF$5001,BD!$A$3:$A$5001,P$3,BD!$B$3:$B$5001,$A$131)))</f>
        <v/>
      </c>
      <c r="Q149" s="206" t="str">
        <f>IF(Q$3="","",IF(COUNTIFS(BD!$A$3:$A$5001,Q$3,BD!$B$3:$B$5001,$A$131,BD!$AF$3:$AF$5001,"&lt;&gt;")=0,"",SUMIFS(BD!$AF$3:$AF$5001,BD!$A$3:$A$5001,Q$3,BD!$B$3:$B$5001,$A$131)))</f>
        <v/>
      </c>
      <c r="R149" s="206" t="str">
        <f>IF(R$3="","",IF(COUNTIFS(BD!$A$3:$A$5001,R$3,BD!$B$3:$B$5001,$A$131,BD!$AF$3:$AF$5001,"&lt;&gt;")=0,"",SUMIFS(BD!$AF$3:$AF$5001,BD!$A$3:$A$5001,R$3,BD!$B$3:$B$5001,$A$131)))</f>
        <v/>
      </c>
      <c r="S149" s="206" t="str">
        <f>IF(S$3="","",IF(COUNTIFS(BD!$A$3:$A$5001,S$3,BD!$B$3:$B$5001,$A$131,BD!$AF$3:$AF$5001,"&lt;&gt;")=0,"",SUMIFS(BD!$AF$3:$AF$5001,BD!$A$3:$A$5001,S$3,BD!$B$3:$B$5001,$A$131)))</f>
        <v/>
      </c>
      <c r="T149" s="206" t="str">
        <f>IF(T$3="","",IF(COUNTIFS(BD!$A$3:$A$5001,T$3,BD!$B$3:$B$5001,$A$131,BD!$AF$3:$AF$5001,"&lt;&gt;")=0,"",SUMIFS(BD!$AF$3:$AF$5001,BD!$A$3:$A$5001,T$3,BD!$B$3:$B$5001,$A$131)))</f>
        <v/>
      </c>
      <c r="U149" s="206" t="str">
        <f>IF(U$3="","",IF(COUNTIFS(BD!$A$3:$A$5001,U$3,BD!$B$3:$B$5001,$A$131,BD!$AF$3:$AF$5001,"&lt;&gt;")=0,"",SUMIFS(BD!$AF$3:$AF$5001,BD!$A$3:$A$5001,U$3,BD!$B$3:$B$5001,$A$131)))</f>
        <v/>
      </c>
      <c r="V149" s="206" t="str">
        <f>IF(V$3="","",IF(COUNTIFS(BD!$A$3:$A$5001,V$3,BD!$B$3:$B$5001,$A$131,BD!$AF$3:$AF$5001,"&lt;&gt;")=0,"",SUMIFS(BD!$AF$3:$AF$5001,BD!$A$3:$A$5001,V$3,BD!$B$3:$B$5001,$A$131)))</f>
        <v/>
      </c>
      <c r="W149" s="206" t="str">
        <f>IF(W$3="","",IF(COUNTIFS(BD!$A$3:$A$5001,W$3,BD!$B$3:$B$5001,$A$131,BD!$AF$3:$AF$5001,"&lt;&gt;")=0,"",SUMIFS(BD!$AF$3:$AF$5001,BD!$A$3:$A$5001,W$3,BD!$B$3:$B$5001,$A$131)))</f>
        <v/>
      </c>
      <c r="X149" s="206" t="str">
        <f>IF(X$3="","",IF(COUNTIFS(BD!$A$3:$A$5001,X$3,BD!$B$3:$B$5001,$A$131,BD!$AF$3:$AF$5001,"&lt;&gt;")=0,"",SUMIFS(BD!$AF$3:$AF$5001,BD!$A$3:$A$5001,X$3,BD!$B$3:$B$5001,$A$131)))</f>
        <v/>
      </c>
      <c r="Y149" s="206" t="str">
        <f>IF(Y$3="","",IF(COUNTIFS(BD!$A$3:$A$5001,Y$3,BD!$B$3:$B$5001,$A$131,BD!$AF$3:$AF$5001,"&lt;&gt;")=0,"",SUMIFS(BD!$AF$3:$AF$5001,BD!$A$3:$A$5001,Y$3,BD!$B$3:$B$5001,$A$131)))</f>
        <v/>
      </c>
      <c r="Z149" s="206" t="str">
        <f>IF(Z$3="","",IF(COUNTIFS(BD!$A$3:$A$5001,Z$3,BD!$B$3:$B$5001,$A$131,BD!$AF$3:$AF$5001,"&lt;&gt;")=0,"",SUMIFS(BD!$AF$3:$AF$5001,BD!$A$3:$A$5001,Z$3,BD!$B$3:$B$5001,$A$131)))</f>
        <v/>
      </c>
      <c r="AA149" s="206" t="str">
        <f>IF(AA$3="","",IF(COUNTIFS(BD!$A$3:$A$5001,AA$3,BD!$B$3:$B$5001,$A$131,BD!$AF$3:$AF$5001,"&lt;&gt;")=0,"",SUMIFS(BD!$AF$3:$AF$5001,BD!$A$3:$A$5001,AA$3,BD!$B$3:$B$5001,$A$131)))</f>
        <v/>
      </c>
      <c r="AB149" s="206" t="str">
        <f>IF(AB$3="","",IF(COUNTIFS(BD!$A$3:$A$5001,AB$3,BD!$B$3:$B$5001,$A$131,BD!$AF$3:$AF$5001,"&lt;&gt;")=0,"",SUMIFS(BD!$AF$3:$AF$5001,BD!$A$3:$A$5001,AB$3,BD!$B$3:$B$5001,$A$131)))</f>
        <v/>
      </c>
      <c r="AC149" s="206" t="str">
        <f>IF(AC$3="","",IF(COUNTIFS(BD!$A$3:$A$5001,AC$3,BD!$B$3:$B$5001,$A$131,BD!$AF$3:$AF$5001,"&lt;&gt;")=0,"",SUMIFS(BD!$AF$3:$AF$5001,BD!$A$3:$A$5001,AC$3,BD!$B$3:$B$5001,$A$131)))</f>
        <v/>
      </c>
      <c r="AD149" s="206" t="str">
        <f>IF(AD$3="","",IF(COUNTIFS(BD!$A$3:$A$5001,AD$3,BD!$B$3:$B$5001,$A$131,BD!$AF$3:$AF$5001,"&lt;&gt;")=0,"",SUMIFS(BD!$AF$3:$AF$5001,BD!$A$3:$A$5001,AD$3,BD!$B$3:$B$5001,$A$131)))</f>
        <v/>
      </c>
      <c r="AE149" s="206" t="str">
        <f>IF(AE$3="","",IF(COUNTIFS(BD!$A$3:$A$5001,AE$3,BD!$B$3:$B$5001,$A$131,BD!$AF$3:$AF$5001,"&lt;&gt;")=0,"",SUMIFS(BD!$AF$3:$AF$5001,BD!$A$3:$A$5001,AE$3,BD!$B$3:$B$5001,$A$131)))</f>
        <v/>
      </c>
      <c r="AF149" s="206" t="str">
        <f>IF(AF$3="","",IF(COUNTIFS(BD!$A$3:$A$5001,AF$3,BD!$B$3:$B$5001,$A$131,BD!$AF$3:$AF$5001,"&lt;&gt;")=0,"",SUMIFS(BD!$AF$3:$AF$5001,BD!$A$3:$A$5001,AF$3,BD!$B$3:$B$5001,$A$131)))</f>
        <v/>
      </c>
      <c r="AG149" s="206" t="str">
        <f>IF(AG$3="","",IF(COUNTIFS(BD!$A$3:$A$5001,AG$3,BD!$B$3:$B$5001,$A$131,BD!$AF$3:$AF$5001,"&lt;&gt;")=0,"",SUMIFS(BD!$AF$3:$AF$5001,BD!$A$3:$A$5001,AG$3,BD!$B$3:$B$5001,$A$131)))</f>
        <v/>
      </c>
      <c r="AH149" s="206" t="str">
        <f>IF(AH$3="","",IF(COUNTIFS(BD!$A$3:$A$5001,AH$3,BD!$B$3:$B$5001,$A$131,BD!$AF$3:$AF$5001,"&lt;&gt;")=0,"",SUMIFS(BD!$AF$3:$AF$5001,BD!$A$3:$A$5001,AH$3,BD!$B$3:$B$5001,$A$131)))</f>
        <v/>
      </c>
      <c r="AI149" s="206" t="str">
        <f>IF(AI$3="","",IF(COUNTIFS(BD!$A$3:$A$5001,AI$3,BD!$B$3:$B$5001,$A$131,BD!$AF$3:$AF$5001,"&lt;&gt;")=0,"",SUMIFS(BD!$AF$3:$AF$5001,BD!$A$3:$A$5001,AI$3,BD!$B$3:$B$5001,$A$131)))</f>
        <v/>
      </c>
      <c r="AJ149" s="207" t="str">
        <f>IF(AJ$3="","",IF(COUNTIFS(BD!$A$3:$A$5001,AJ$3,BD!$B$3:$B$5001,$A$131,BD!$AF$3:$AF$5001,"&lt;&gt;")=0,"",SUMIFS(BD!$AF$3:$AF$5001,BD!$A$3:$A$5001,AJ$3,BD!$B$3:$B$5001,$A$131)))</f>
        <v/>
      </c>
      <c r="AK149" s="208" t="str">
        <f>IF(COUNT(F149:AJ149)=0,"",SUM(F149:AJ149))</f>
        <v/>
      </c>
    </row>
    <row r="150" ht="15.75" customHeight="1">
      <c r="A150" s="228"/>
      <c r="B150" s="225"/>
      <c r="C150" s="209" t="inlineStr">
        <is>
          <t xml:space="preserve">Acidentes SAF</t>
        </is>
      </c>
      <c r="D150" s="210" t="str">
        <f>IFERROR(1/(1/INDEX(BD!$AK$54:$AT$54,MATCH($A$131,BD!$AK$22:$AT$22,0))),"")</f>
        <v/>
      </c>
      <c r="E150" s="211"/>
      <c r="F150" s="212" t="str">
        <f>IF(F$3="","",IF(COUNTIFS(BD!$A$3:$A$5001,F$3,BD!$B$3:$B$5001,$A$131,BD!$AG$3:$AG$5001,"&lt;&gt;")=0,"",SUMIFS(BD!$AG$3:$AG$5001,BD!$A$3:$A$5001,F$3,BD!$B$3:$B$5001,$A$131)))</f>
        <v/>
      </c>
      <c r="G150" s="213" t="str">
        <f>IF(G$3="","",IF(COUNTIFS(BD!$A$3:$A$5001,G$3,BD!$B$3:$B$5001,$A$131,BD!$AG$3:$AG$5001,"&lt;&gt;")=0,"",SUMIFS(BD!$AG$3:$AG$5001,BD!$A$3:$A$5001,G$3,BD!$B$3:$B$5001,$A$131)))</f>
        <v/>
      </c>
      <c r="H150" s="213" t="str">
        <f>IF(H$3="","",IF(COUNTIFS(BD!$A$3:$A$5001,H$3,BD!$B$3:$B$5001,$A$131,BD!$AG$3:$AG$5001,"&lt;&gt;")=0,"",SUMIFS(BD!$AG$3:$AG$5001,BD!$A$3:$A$5001,H$3,BD!$B$3:$B$5001,$A$131)))</f>
        <v/>
      </c>
      <c r="I150" s="213" t="str">
        <f>IF(I$3="","",IF(COUNTIFS(BD!$A$3:$A$5001,I$3,BD!$B$3:$B$5001,$A$131,BD!$AG$3:$AG$5001,"&lt;&gt;")=0,"",SUMIFS(BD!$AG$3:$AG$5001,BD!$A$3:$A$5001,I$3,BD!$B$3:$B$5001,$A$131)))</f>
        <v/>
      </c>
      <c r="J150" s="213" t="str">
        <f>IF(J$3="","",IF(COUNTIFS(BD!$A$3:$A$5001,J$3,BD!$B$3:$B$5001,$A$131,BD!$AG$3:$AG$5001,"&lt;&gt;")=0,"",SUMIFS(BD!$AG$3:$AG$5001,BD!$A$3:$A$5001,J$3,BD!$B$3:$B$5001,$A$131)))</f>
        <v/>
      </c>
      <c r="K150" s="213" t="str">
        <f>IF(K$3="","",IF(COUNTIFS(BD!$A$3:$A$5001,K$3,BD!$B$3:$B$5001,$A$131,BD!$AG$3:$AG$5001,"&lt;&gt;")=0,"",SUMIFS(BD!$AG$3:$AG$5001,BD!$A$3:$A$5001,K$3,BD!$B$3:$B$5001,$A$131)))</f>
        <v/>
      </c>
      <c r="L150" s="213" t="str">
        <f>IF(L$3="","",IF(COUNTIFS(BD!$A$3:$A$5001,L$3,BD!$B$3:$B$5001,$A$131,BD!$AG$3:$AG$5001,"&lt;&gt;")=0,"",SUMIFS(BD!$AG$3:$AG$5001,BD!$A$3:$A$5001,L$3,BD!$B$3:$B$5001,$A$131)))</f>
        <v/>
      </c>
      <c r="M150" s="213" t="str">
        <f>IF(M$3="","",IF(COUNTIFS(BD!$A$3:$A$5001,M$3,BD!$B$3:$B$5001,$A$131,BD!$AG$3:$AG$5001,"&lt;&gt;")=0,"",SUMIFS(BD!$AG$3:$AG$5001,BD!$A$3:$A$5001,M$3,BD!$B$3:$B$5001,$A$131)))</f>
        <v/>
      </c>
      <c r="N150" s="213" t="str">
        <f>IF(N$3="","",IF(COUNTIFS(BD!$A$3:$A$5001,N$3,BD!$B$3:$B$5001,$A$131,BD!$AG$3:$AG$5001,"&lt;&gt;")=0,"",SUMIFS(BD!$AG$3:$AG$5001,BD!$A$3:$A$5001,N$3,BD!$B$3:$B$5001,$A$131)))</f>
        <v/>
      </c>
      <c r="O150" s="213" t="str">
        <f>IF(O$3="","",IF(COUNTIFS(BD!$A$3:$A$5001,O$3,BD!$B$3:$B$5001,$A$131,BD!$AG$3:$AG$5001,"&lt;&gt;")=0,"",SUMIFS(BD!$AG$3:$AG$5001,BD!$A$3:$A$5001,O$3,BD!$B$3:$B$5001,$A$131)))</f>
        <v/>
      </c>
      <c r="P150" s="213" t="str">
        <f>IF(P$3="","",IF(COUNTIFS(BD!$A$3:$A$5001,P$3,BD!$B$3:$B$5001,$A$131,BD!$AG$3:$AG$5001,"&lt;&gt;")=0,"",SUMIFS(BD!$AG$3:$AG$5001,BD!$A$3:$A$5001,P$3,BD!$B$3:$B$5001,$A$131)))</f>
        <v/>
      </c>
      <c r="Q150" s="213" t="str">
        <f>IF(Q$3="","",IF(COUNTIFS(BD!$A$3:$A$5001,Q$3,BD!$B$3:$B$5001,$A$131,BD!$AG$3:$AG$5001,"&lt;&gt;")=0,"",SUMIFS(BD!$AG$3:$AG$5001,BD!$A$3:$A$5001,Q$3,BD!$B$3:$B$5001,$A$131)))</f>
        <v/>
      </c>
      <c r="R150" s="213" t="str">
        <f>IF(R$3="","",IF(COUNTIFS(BD!$A$3:$A$5001,R$3,BD!$B$3:$B$5001,$A$131,BD!$AG$3:$AG$5001,"&lt;&gt;")=0,"",SUMIFS(BD!$AG$3:$AG$5001,BD!$A$3:$A$5001,R$3,BD!$B$3:$B$5001,$A$131)))</f>
        <v/>
      </c>
      <c r="S150" s="213" t="str">
        <f>IF(S$3="","",IF(COUNTIFS(BD!$A$3:$A$5001,S$3,BD!$B$3:$B$5001,$A$131,BD!$AG$3:$AG$5001,"&lt;&gt;")=0,"",SUMIFS(BD!$AG$3:$AG$5001,BD!$A$3:$A$5001,S$3,BD!$B$3:$B$5001,$A$131)))</f>
        <v/>
      </c>
      <c r="T150" s="213" t="str">
        <f>IF(T$3="","",IF(COUNTIFS(BD!$A$3:$A$5001,T$3,BD!$B$3:$B$5001,$A$131,BD!$AG$3:$AG$5001,"&lt;&gt;")=0,"",SUMIFS(BD!$AG$3:$AG$5001,BD!$A$3:$A$5001,T$3,BD!$B$3:$B$5001,$A$131)))</f>
        <v/>
      </c>
      <c r="U150" s="213" t="str">
        <f>IF(U$3="","",IF(COUNTIFS(BD!$A$3:$A$5001,U$3,BD!$B$3:$B$5001,$A$131,BD!$AG$3:$AG$5001,"&lt;&gt;")=0,"",SUMIFS(BD!$AG$3:$AG$5001,BD!$A$3:$A$5001,U$3,BD!$B$3:$B$5001,$A$131)))</f>
        <v/>
      </c>
      <c r="V150" s="213" t="str">
        <f>IF(V$3="","",IF(COUNTIFS(BD!$A$3:$A$5001,V$3,BD!$B$3:$B$5001,$A$131,BD!$AG$3:$AG$5001,"&lt;&gt;")=0,"",SUMIFS(BD!$AG$3:$AG$5001,BD!$A$3:$A$5001,V$3,BD!$B$3:$B$5001,$A$131)))</f>
        <v/>
      </c>
      <c r="W150" s="213" t="str">
        <f>IF(W$3="","",IF(COUNTIFS(BD!$A$3:$A$5001,W$3,BD!$B$3:$B$5001,$A$131,BD!$AG$3:$AG$5001,"&lt;&gt;")=0,"",SUMIFS(BD!$AG$3:$AG$5001,BD!$A$3:$A$5001,W$3,BD!$B$3:$B$5001,$A$131)))</f>
        <v/>
      </c>
      <c r="X150" s="213" t="str">
        <f>IF(X$3="","",IF(COUNTIFS(BD!$A$3:$A$5001,X$3,BD!$B$3:$B$5001,$A$131,BD!$AG$3:$AG$5001,"&lt;&gt;")=0,"",SUMIFS(BD!$AG$3:$AG$5001,BD!$A$3:$A$5001,X$3,BD!$B$3:$B$5001,$A$131)))</f>
        <v/>
      </c>
      <c r="Y150" s="213" t="str">
        <f>IF(Y$3="","",IF(COUNTIFS(BD!$A$3:$A$5001,Y$3,BD!$B$3:$B$5001,$A$131,BD!$AG$3:$AG$5001,"&lt;&gt;")=0,"",SUMIFS(BD!$AG$3:$AG$5001,BD!$A$3:$A$5001,Y$3,BD!$B$3:$B$5001,$A$131)))</f>
        <v/>
      </c>
      <c r="Z150" s="213" t="str">
        <f>IF(Z$3="","",IF(COUNTIFS(BD!$A$3:$A$5001,Z$3,BD!$B$3:$B$5001,$A$131,BD!$AG$3:$AG$5001,"&lt;&gt;")=0,"",SUMIFS(BD!$AG$3:$AG$5001,BD!$A$3:$A$5001,Z$3,BD!$B$3:$B$5001,$A$131)))</f>
        <v/>
      </c>
      <c r="AA150" s="213" t="str">
        <f>IF(AA$3="","",IF(COUNTIFS(BD!$A$3:$A$5001,AA$3,BD!$B$3:$B$5001,$A$131,BD!$AG$3:$AG$5001,"&lt;&gt;")=0,"",SUMIFS(BD!$AG$3:$AG$5001,BD!$A$3:$A$5001,AA$3,BD!$B$3:$B$5001,$A$131)))</f>
        <v/>
      </c>
      <c r="AB150" s="213" t="str">
        <f>IF(AB$3="","",IF(COUNTIFS(BD!$A$3:$A$5001,AB$3,BD!$B$3:$B$5001,$A$131,BD!$AG$3:$AG$5001,"&lt;&gt;")=0,"",SUMIFS(BD!$AG$3:$AG$5001,BD!$A$3:$A$5001,AB$3,BD!$B$3:$B$5001,$A$131)))</f>
        <v/>
      </c>
      <c r="AC150" s="213" t="str">
        <f>IF(AC$3="","",IF(COUNTIFS(BD!$A$3:$A$5001,AC$3,BD!$B$3:$B$5001,$A$131,BD!$AG$3:$AG$5001,"&lt;&gt;")=0,"",SUMIFS(BD!$AG$3:$AG$5001,BD!$A$3:$A$5001,AC$3,BD!$B$3:$B$5001,$A$131)))</f>
        <v/>
      </c>
      <c r="AD150" s="213" t="str">
        <f>IF(AD$3="","",IF(COUNTIFS(BD!$A$3:$A$5001,AD$3,BD!$B$3:$B$5001,$A$131,BD!$AG$3:$AG$5001,"&lt;&gt;")=0,"",SUMIFS(BD!$AG$3:$AG$5001,BD!$A$3:$A$5001,AD$3,BD!$B$3:$B$5001,$A$131)))</f>
        <v/>
      </c>
      <c r="AE150" s="213" t="str">
        <f>IF(AE$3="","",IF(COUNTIFS(BD!$A$3:$A$5001,AE$3,BD!$B$3:$B$5001,$A$131,BD!$AG$3:$AG$5001,"&lt;&gt;")=0,"",SUMIFS(BD!$AG$3:$AG$5001,BD!$A$3:$A$5001,AE$3,BD!$B$3:$B$5001,$A$131)))</f>
        <v/>
      </c>
      <c r="AF150" s="213" t="str">
        <f>IF(AF$3="","",IF(COUNTIFS(BD!$A$3:$A$5001,AF$3,BD!$B$3:$B$5001,$A$131,BD!$AG$3:$AG$5001,"&lt;&gt;")=0,"",SUMIFS(BD!$AG$3:$AG$5001,BD!$A$3:$A$5001,AF$3,BD!$B$3:$B$5001,$A$131)))</f>
        <v/>
      </c>
      <c r="AG150" s="213" t="str">
        <f>IF(AG$3="","",IF(COUNTIFS(BD!$A$3:$A$5001,AG$3,BD!$B$3:$B$5001,$A$131,BD!$AG$3:$AG$5001,"&lt;&gt;")=0,"",SUMIFS(BD!$AG$3:$AG$5001,BD!$A$3:$A$5001,AG$3,BD!$B$3:$B$5001,$A$131)))</f>
        <v/>
      </c>
      <c r="AH150" s="213" t="str">
        <f>IF(AH$3="","",IF(COUNTIFS(BD!$A$3:$A$5001,AH$3,BD!$B$3:$B$5001,$A$131,BD!$AG$3:$AG$5001,"&lt;&gt;")=0,"",SUMIFS(BD!$AG$3:$AG$5001,BD!$A$3:$A$5001,AH$3,BD!$B$3:$B$5001,$A$131)))</f>
        <v/>
      </c>
      <c r="AI150" s="213" t="str">
        <f>IF(AI$3="","",IF(COUNTIFS(BD!$A$3:$A$5001,AI$3,BD!$B$3:$B$5001,$A$131,BD!$AG$3:$AG$5001,"&lt;&gt;")=0,"",SUMIFS(BD!$AG$3:$AG$5001,BD!$A$3:$A$5001,AI$3,BD!$B$3:$B$5001,$A$131)))</f>
        <v/>
      </c>
      <c r="AJ150" s="214" t="str">
        <f>IF(AJ$3="","",IF(COUNTIFS(BD!$A$3:$A$5001,AJ$3,BD!$B$3:$B$5001,$A$131,BD!$AG$3:$AG$5001,"&lt;&gt;")=0,"",SUMIFS(BD!$AG$3:$AG$5001,BD!$A$3:$A$5001,AJ$3,BD!$B$3:$B$5001,$A$131)))</f>
        <v/>
      </c>
      <c r="AK150" s="210" t="str">
        <f>IF(COUNT(F150:AJ150)=0,"",SUM(F150:AJ150))</f>
        <v/>
      </c>
    </row>
    <row r="152" ht="15.75" customHeight="1">
      <c r="A152" s="226" t="inlineStr">
        <is>
          <t xml:space="preserve">Vedacit</t>
        </is>
      </c>
      <c r="B152" s="215" t="inlineStr">
        <is>
          <t xml:space="preserve">IN</t>
        </is>
      </c>
      <c r="C152" s="138" t="inlineStr">
        <is>
          <t xml:space="preserve">Veículos Recebidos</t>
        </is>
      </c>
      <c r="D152" s="139" t="str">
        <f>IFERROR(1/(1/INDEX(BD!$AK$23:$AT$23,MATCH($A$152,BD!$AK$22:$AT$22,0))),"")</f>
        <v/>
      </c>
      <c r="E152" s="140"/>
      <c r="F152" s="141" t="str">
        <f>IF(F$3="","",IF(COUNTIFS(BD!$A$3:$A$5001,F$3,BD!$B$3:$B$5001,$A$152,BD!$C$3:$C$5001,"&lt;&gt;")=0,"",SUMIFS(BD!$C$3:$C$5001,BD!$A$3:$A$5001,F$3,BD!$B$3:$B$5001,$A$152)))</f>
        <v/>
      </c>
      <c r="G152" s="142" t="str">
        <f>IF(G$3="","",IF(COUNTIFS(BD!$A$3:$A$5001,G$3,BD!$B$3:$B$5001,$A$152,BD!$C$3:$C$5001,"&lt;&gt;")=0,"",SUMIFS(BD!$C$3:$C$5001,BD!$A$3:$A$5001,G$3,BD!$B$3:$B$5001,$A$152)))</f>
        <v/>
      </c>
      <c r="H152" s="142" t="str">
        <f>IF(H$3="","",IF(COUNTIFS(BD!$A$3:$A$5001,H$3,BD!$B$3:$B$5001,$A$152,BD!$C$3:$C$5001,"&lt;&gt;")=0,"",SUMIFS(BD!$C$3:$C$5001,BD!$A$3:$A$5001,H$3,BD!$B$3:$B$5001,$A$152)))</f>
        <v/>
      </c>
      <c r="I152" s="142" t="str">
        <f>IF(I$3="","",IF(COUNTIFS(BD!$A$3:$A$5001,I$3,BD!$B$3:$B$5001,$A$152,BD!$C$3:$C$5001,"&lt;&gt;")=0,"",SUMIFS(BD!$C$3:$C$5001,BD!$A$3:$A$5001,I$3,BD!$B$3:$B$5001,$A$152)))</f>
        <v/>
      </c>
      <c r="J152" s="142" t="str">
        <f>IF(J$3="","",IF(COUNTIFS(BD!$A$3:$A$5001,J$3,BD!$B$3:$B$5001,$A$152,BD!$C$3:$C$5001,"&lt;&gt;")=0,"",SUMIFS(BD!$C$3:$C$5001,BD!$A$3:$A$5001,J$3,BD!$B$3:$B$5001,$A$152)))</f>
        <v/>
      </c>
      <c r="K152" s="142" t="str">
        <f>IF(K$3="","",IF(COUNTIFS(BD!$A$3:$A$5001,K$3,BD!$B$3:$B$5001,$A$152,BD!$C$3:$C$5001,"&lt;&gt;")=0,"",SUMIFS(BD!$C$3:$C$5001,BD!$A$3:$A$5001,K$3,BD!$B$3:$B$5001,$A$152)))</f>
        <v/>
      </c>
      <c r="L152" s="142" t="str">
        <f>IF(L$3="","",IF(COUNTIFS(BD!$A$3:$A$5001,L$3,BD!$B$3:$B$5001,$A$152,BD!$C$3:$C$5001,"&lt;&gt;")=0,"",SUMIFS(BD!$C$3:$C$5001,BD!$A$3:$A$5001,L$3,BD!$B$3:$B$5001,$A$152)))</f>
        <v/>
      </c>
      <c r="M152" s="142" t="str">
        <f>IF(M$3="","",IF(COUNTIFS(BD!$A$3:$A$5001,M$3,BD!$B$3:$B$5001,$A$152,BD!$C$3:$C$5001,"&lt;&gt;")=0,"",SUMIFS(BD!$C$3:$C$5001,BD!$A$3:$A$5001,M$3,BD!$B$3:$B$5001,$A$152)))</f>
        <v/>
      </c>
      <c r="N152" s="142" t="str">
        <f>IF(N$3="","",IF(COUNTIFS(BD!$A$3:$A$5001,N$3,BD!$B$3:$B$5001,$A$152,BD!$C$3:$C$5001,"&lt;&gt;")=0,"",SUMIFS(BD!$C$3:$C$5001,BD!$A$3:$A$5001,N$3,BD!$B$3:$B$5001,$A$152)))</f>
        <v/>
      </c>
      <c r="O152" s="142" t="str">
        <f>IF(O$3="","",IF(COUNTIFS(BD!$A$3:$A$5001,O$3,BD!$B$3:$B$5001,$A$152,BD!$C$3:$C$5001,"&lt;&gt;")=0,"",SUMIFS(BD!$C$3:$C$5001,BD!$A$3:$A$5001,O$3,BD!$B$3:$B$5001,$A$152)))</f>
        <v/>
      </c>
      <c r="P152" s="142" t="str">
        <f>IF(P$3="","",IF(COUNTIFS(BD!$A$3:$A$5001,P$3,BD!$B$3:$B$5001,$A$152,BD!$C$3:$C$5001,"&lt;&gt;")=0,"",SUMIFS(BD!$C$3:$C$5001,BD!$A$3:$A$5001,P$3,BD!$B$3:$B$5001,$A$152)))</f>
        <v/>
      </c>
      <c r="Q152" s="142" t="str">
        <f>IF(Q$3="","",IF(COUNTIFS(BD!$A$3:$A$5001,Q$3,BD!$B$3:$B$5001,$A$152,BD!$C$3:$C$5001,"&lt;&gt;")=0,"",SUMIFS(BD!$C$3:$C$5001,BD!$A$3:$A$5001,Q$3,BD!$B$3:$B$5001,$A$152)))</f>
        <v/>
      </c>
      <c r="R152" s="142" t="str">
        <f>IF(R$3="","",IF(COUNTIFS(BD!$A$3:$A$5001,R$3,BD!$B$3:$B$5001,$A$152,BD!$C$3:$C$5001,"&lt;&gt;")=0,"",SUMIFS(BD!$C$3:$C$5001,BD!$A$3:$A$5001,R$3,BD!$B$3:$B$5001,$A$152)))</f>
        <v/>
      </c>
      <c r="S152" s="142" t="str">
        <f>IF(S$3="","",IF(COUNTIFS(BD!$A$3:$A$5001,S$3,BD!$B$3:$B$5001,$A$152,BD!$C$3:$C$5001,"&lt;&gt;")=0,"",SUMIFS(BD!$C$3:$C$5001,BD!$A$3:$A$5001,S$3,BD!$B$3:$B$5001,$A$152)))</f>
        <v/>
      </c>
      <c r="T152" s="142" t="str">
        <f>IF(T$3="","",IF(COUNTIFS(BD!$A$3:$A$5001,T$3,BD!$B$3:$B$5001,$A$152,BD!$C$3:$C$5001,"&lt;&gt;")=0,"",SUMIFS(BD!$C$3:$C$5001,BD!$A$3:$A$5001,T$3,BD!$B$3:$B$5001,$A$152)))</f>
        <v/>
      </c>
      <c r="U152" s="142" t="str">
        <f>IF(U$3="","",IF(COUNTIFS(BD!$A$3:$A$5001,U$3,BD!$B$3:$B$5001,$A$152,BD!$C$3:$C$5001,"&lt;&gt;")=0,"",SUMIFS(BD!$C$3:$C$5001,BD!$A$3:$A$5001,U$3,BD!$B$3:$B$5001,$A$152)))</f>
        <v/>
      </c>
      <c r="V152" s="142" t="str">
        <f>IF(V$3="","",IF(COUNTIFS(BD!$A$3:$A$5001,V$3,BD!$B$3:$B$5001,$A$152,BD!$C$3:$C$5001,"&lt;&gt;")=0,"",SUMIFS(BD!$C$3:$C$5001,BD!$A$3:$A$5001,V$3,BD!$B$3:$B$5001,$A$152)))</f>
        <v/>
      </c>
      <c r="W152" s="142" t="str">
        <f>IF(W$3="","",IF(COUNTIFS(BD!$A$3:$A$5001,W$3,BD!$B$3:$B$5001,$A$152,BD!$C$3:$C$5001,"&lt;&gt;")=0,"",SUMIFS(BD!$C$3:$C$5001,BD!$A$3:$A$5001,W$3,BD!$B$3:$B$5001,$A$152)))</f>
        <v/>
      </c>
      <c r="X152" s="142" t="str">
        <f>IF(X$3="","",IF(COUNTIFS(BD!$A$3:$A$5001,X$3,BD!$B$3:$B$5001,$A$152,BD!$C$3:$C$5001,"&lt;&gt;")=0,"",SUMIFS(BD!$C$3:$C$5001,BD!$A$3:$A$5001,X$3,BD!$B$3:$B$5001,$A$152)))</f>
        <v/>
      </c>
      <c r="Y152" s="142" t="str">
        <f>IF(Y$3="","",IF(COUNTIFS(BD!$A$3:$A$5001,Y$3,BD!$B$3:$B$5001,$A$152,BD!$C$3:$C$5001,"&lt;&gt;")=0,"",SUMIFS(BD!$C$3:$C$5001,BD!$A$3:$A$5001,Y$3,BD!$B$3:$B$5001,$A$152)))</f>
        <v/>
      </c>
      <c r="Z152" s="142" t="str">
        <f>IF(Z$3="","",IF(COUNTIFS(BD!$A$3:$A$5001,Z$3,BD!$B$3:$B$5001,$A$152,BD!$C$3:$C$5001,"&lt;&gt;")=0,"",SUMIFS(BD!$C$3:$C$5001,BD!$A$3:$A$5001,Z$3,BD!$B$3:$B$5001,$A$152)))</f>
        <v/>
      </c>
      <c r="AA152" s="142" t="str">
        <f>IF(AA$3="","",IF(COUNTIFS(BD!$A$3:$A$5001,AA$3,BD!$B$3:$B$5001,$A$152,BD!$C$3:$C$5001,"&lt;&gt;")=0,"",SUMIFS(BD!$C$3:$C$5001,BD!$A$3:$A$5001,AA$3,BD!$B$3:$B$5001,$A$152)))</f>
        <v/>
      </c>
      <c r="AB152" s="142" t="str">
        <f>IF(AB$3="","",IF(COUNTIFS(BD!$A$3:$A$5001,AB$3,BD!$B$3:$B$5001,$A$152,BD!$C$3:$C$5001,"&lt;&gt;")=0,"",SUMIFS(BD!$C$3:$C$5001,BD!$A$3:$A$5001,AB$3,BD!$B$3:$B$5001,$A$152)))</f>
        <v/>
      </c>
      <c r="AC152" s="142" t="str">
        <f>IF(AC$3="","",IF(COUNTIFS(BD!$A$3:$A$5001,AC$3,BD!$B$3:$B$5001,$A$152,BD!$C$3:$C$5001,"&lt;&gt;")=0,"",SUMIFS(BD!$C$3:$C$5001,BD!$A$3:$A$5001,AC$3,BD!$B$3:$B$5001,$A$152)))</f>
        <v/>
      </c>
      <c r="AD152" s="142" t="str">
        <f>IF(AD$3="","",IF(COUNTIFS(BD!$A$3:$A$5001,AD$3,BD!$B$3:$B$5001,$A$152,BD!$C$3:$C$5001,"&lt;&gt;")=0,"",SUMIFS(BD!$C$3:$C$5001,BD!$A$3:$A$5001,AD$3,BD!$B$3:$B$5001,$A$152)))</f>
        <v/>
      </c>
      <c r="AE152" s="142" t="str">
        <f>IF(AE$3="","",IF(COUNTIFS(BD!$A$3:$A$5001,AE$3,BD!$B$3:$B$5001,$A$152,BD!$C$3:$C$5001,"&lt;&gt;")=0,"",SUMIFS(BD!$C$3:$C$5001,BD!$A$3:$A$5001,AE$3,BD!$B$3:$B$5001,$A$152)))</f>
        <v/>
      </c>
      <c r="AF152" s="142" t="str">
        <f>IF(AF$3="","",IF(COUNTIFS(BD!$A$3:$A$5001,AF$3,BD!$B$3:$B$5001,$A$152,BD!$C$3:$C$5001,"&lt;&gt;")=0,"",SUMIFS(BD!$C$3:$C$5001,BD!$A$3:$A$5001,AF$3,BD!$B$3:$B$5001,$A$152)))</f>
        <v/>
      </c>
      <c r="AG152" s="142" t="str">
        <f>IF(AG$3="","",IF(COUNTIFS(BD!$A$3:$A$5001,AG$3,BD!$B$3:$B$5001,$A$152,BD!$C$3:$C$5001,"&lt;&gt;")=0,"",SUMIFS(BD!$C$3:$C$5001,BD!$A$3:$A$5001,AG$3,BD!$B$3:$B$5001,$A$152)))</f>
        <v/>
      </c>
      <c r="AH152" s="142" t="str">
        <f>IF(AH$3="","",IF(COUNTIFS(BD!$A$3:$A$5001,AH$3,BD!$B$3:$B$5001,$A$152,BD!$C$3:$C$5001,"&lt;&gt;")=0,"",SUMIFS(BD!$C$3:$C$5001,BD!$A$3:$A$5001,AH$3,BD!$B$3:$B$5001,$A$152)))</f>
        <v/>
      </c>
      <c r="AI152" s="142" t="str">
        <f>IF(AI$3="","",IF(COUNTIFS(BD!$A$3:$A$5001,AI$3,BD!$B$3:$B$5001,$A$152,BD!$C$3:$C$5001,"&lt;&gt;")=0,"",SUMIFS(BD!$C$3:$C$5001,BD!$A$3:$A$5001,AI$3,BD!$B$3:$B$5001,$A$152)))</f>
        <v/>
      </c>
      <c r="AJ152" s="143" t="str">
        <f>IF(AJ$3="","",IF(COUNTIFS(BD!$A$3:$A$5001,AJ$3,BD!$B$3:$B$5001,$A$152,BD!$C$3:$C$5001,"&lt;&gt;")=0,"",SUMIFS(BD!$C$3:$C$5001,BD!$A$3:$A$5001,AJ$3,BD!$B$3:$B$5001,$A$152)))</f>
        <v/>
      </c>
      <c r="AK152" s="144" t="str">
        <f>IF(COUNT(F152:AJ152)=0,"",SUM(F152:AJ152))</f>
        <v/>
      </c>
    </row>
    <row r="153" ht="15.75" customHeight="1">
      <c r="A153" s="227"/>
      <c r="B153" s="216"/>
      <c r="C153" s="145" t="inlineStr">
        <is>
          <t xml:space="preserve">Pallets Movimentados</t>
        </is>
      </c>
      <c r="D153" s="146" t="str">
        <f>IFERROR(1/(1/INDEX(BD!$AK$24:$AT$24,MATCH($A$152,BD!$AK$22:$AT$22,0))),"")</f>
        <v/>
      </c>
      <c r="E153" s="147"/>
      <c r="F153" s="148" t="str">
        <f>IF(F$3="","",IF(COUNTIFS(BD!$A$3:$A$5001,F$3,BD!$B$3:$B$5001,$A$152,BD!$D$3:$D$5001,"&lt;&gt;")=0,"",SUMIFS(BD!$D$3:$D$5001,BD!$A$3:$A$5001,F$3,BD!$B$3:$B$5001,$A$152)))</f>
        <v/>
      </c>
      <c r="G153" s="149" t="str">
        <f>IF(G$3="","",IF(COUNTIFS(BD!$A$3:$A$5001,G$3,BD!$B$3:$B$5001,$A$152,BD!$D$3:$D$5001,"&lt;&gt;")=0,"",SUMIFS(BD!$D$3:$D$5001,BD!$A$3:$A$5001,G$3,BD!$B$3:$B$5001,$A$152)))</f>
        <v/>
      </c>
      <c r="H153" s="149" t="str">
        <f>IF(H$3="","",IF(COUNTIFS(BD!$A$3:$A$5001,H$3,BD!$B$3:$B$5001,$A$152,BD!$D$3:$D$5001,"&lt;&gt;")=0,"",SUMIFS(BD!$D$3:$D$5001,BD!$A$3:$A$5001,H$3,BD!$B$3:$B$5001,$A$152)))</f>
        <v/>
      </c>
      <c r="I153" s="149" t="str">
        <f>IF(I$3="","",IF(COUNTIFS(BD!$A$3:$A$5001,I$3,BD!$B$3:$B$5001,$A$152,BD!$D$3:$D$5001,"&lt;&gt;")=0,"",SUMIFS(BD!$D$3:$D$5001,BD!$A$3:$A$5001,I$3,BD!$B$3:$B$5001,$A$152)))</f>
        <v/>
      </c>
      <c r="J153" s="149" t="str">
        <f>IF(J$3="","",IF(COUNTIFS(BD!$A$3:$A$5001,J$3,BD!$B$3:$B$5001,$A$152,BD!$D$3:$D$5001,"&lt;&gt;")=0,"",SUMIFS(BD!$D$3:$D$5001,BD!$A$3:$A$5001,J$3,BD!$B$3:$B$5001,$A$152)))</f>
        <v/>
      </c>
      <c r="K153" s="149" t="str">
        <f>IF(K$3="","",IF(COUNTIFS(BD!$A$3:$A$5001,K$3,BD!$B$3:$B$5001,$A$152,BD!$D$3:$D$5001,"&lt;&gt;")=0,"",SUMIFS(BD!$D$3:$D$5001,BD!$A$3:$A$5001,K$3,BD!$B$3:$B$5001,$A$152)))</f>
        <v/>
      </c>
      <c r="L153" s="149" t="str">
        <f>IF(L$3="","",IF(COUNTIFS(BD!$A$3:$A$5001,L$3,BD!$B$3:$B$5001,$A$152,BD!$D$3:$D$5001,"&lt;&gt;")=0,"",SUMIFS(BD!$D$3:$D$5001,BD!$A$3:$A$5001,L$3,BD!$B$3:$B$5001,$A$152)))</f>
        <v/>
      </c>
      <c r="M153" s="149" t="str">
        <f>IF(M$3="","",IF(COUNTIFS(BD!$A$3:$A$5001,M$3,BD!$B$3:$B$5001,$A$152,BD!$D$3:$D$5001,"&lt;&gt;")=0,"",SUMIFS(BD!$D$3:$D$5001,BD!$A$3:$A$5001,M$3,BD!$B$3:$B$5001,$A$152)))</f>
        <v/>
      </c>
      <c r="N153" s="149" t="str">
        <f>IF(N$3="","",IF(COUNTIFS(BD!$A$3:$A$5001,N$3,BD!$B$3:$B$5001,$A$152,BD!$D$3:$D$5001,"&lt;&gt;")=0,"",SUMIFS(BD!$D$3:$D$5001,BD!$A$3:$A$5001,N$3,BD!$B$3:$B$5001,$A$152)))</f>
        <v/>
      </c>
      <c r="O153" s="149" t="str">
        <f>IF(O$3="","",IF(COUNTIFS(BD!$A$3:$A$5001,O$3,BD!$B$3:$B$5001,$A$152,BD!$D$3:$D$5001,"&lt;&gt;")=0,"",SUMIFS(BD!$D$3:$D$5001,BD!$A$3:$A$5001,O$3,BD!$B$3:$B$5001,$A$152)))</f>
        <v/>
      </c>
      <c r="P153" s="149" t="str">
        <f>IF(P$3="","",IF(COUNTIFS(BD!$A$3:$A$5001,P$3,BD!$B$3:$B$5001,$A$152,BD!$D$3:$D$5001,"&lt;&gt;")=0,"",SUMIFS(BD!$D$3:$D$5001,BD!$A$3:$A$5001,P$3,BD!$B$3:$B$5001,$A$152)))</f>
        <v/>
      </c>
      <c r="Q153" s="149" t="str">
        <f>IF(Q$3="","",IF(COUNTIFS(BD!$A$3:$A$5001,Q$3,BD!$B$3:$B$5001,$A$152,BD!$D$3:$D$5001,"&lt;&gt;")=0,"",SUMIFS(BD!$D$3:$D$5001,BD!$A$3:$A$5001,Q$3,BD!$B$3:$B$5001,$A$152)))</f>
        <v/>
      </c>
      <c r="R153" s="149" t="str">
        <f>IF(R$3="","",IF(COUNTIFS(BD!$A$3:$A$5001,R$3,BD!$B$3:$B$5001,$A$152,BD!$D$3:$D$5001,"&lt;&gt;")=0,"",SUMIFS(BD!$D$3:$D$5001,BD!$A$3:$A$5001,R$3,BD!$B$3:$B$5001,$A$152)))</f>
        <v/>
      </c>
      <c r="S153" s="149" t="str">
        <f>IF(S$3="","",IF(COUNTIFS(BD!$A$3:$A$5001,S$3,BD!$B$3:$B$5001,$A$152,BD!$D$3:$D$5001,"&lt;&gt;")=0,"",SUMIFS(BD!$D$3:$D$5001,BD!$A$3:$A$5001,S$3,BD!$B$3:$B$5001,$A$152)))</f>
        <v/>
      </c>
      <c r="T153" s="149" t="str">
        <f>IF(T$3="","",IF(COUNTIFS(BD!$A$3:$A$5001,T$3,BD!$B$3:$B$5001,$A$152,BD!$D$3:$D$5001,"&lt;&gt;")=0,"",SUMIFS(BD!$D$3:$D$5001,BD!$A$3:$A$5001,T$3,BD!$B$3:$B$5001,$A$152)))</f>
        <v/>
      </c>
      <c r="U153" s="149" t="str">
        <f>IF(U$3="","",IF(COUNTIFS(BD!$A$3:$A$5001,U$3,BD!$B$3:$B$5001,$A$152,BD!$D$3:$D$5001,"&lt;&gt;")=0,"",SUMIFS(BD!$D$3:$D$5001,BD!$A$3:$A$5001,U$3,BD!$B$3:$B$5001,$A$152)))</f>
        <v/>
      </c>
      <c r="V153" s="149" t="str">
        <f>IF(V$3="","",IF(COUNTIFS(BD!$A$3:$A$5001,V$3,BD!$B$3:$B$5001,$A$152,BD!$D$3:$D$5001,"&lt;&gt;")=0,"",SUMIFS(BD!$D$3:$D$5001,BD!$A$3:$A$5001,V$3,BD!$B$3:$B$5001,$A$152)))</f>
        <v/>
      </c>
      <c r="W153" s="149" t="str">
        <f>IF(W$3="","",IF(COUNTIFS(BD!$A$3:$A$5001,W$3,BD!$B$3:$B$5001,$A$152,BD!$D$3:$D$5001,"&lt;&gt;")=0,"",SUMIFS(BD!$D$3:$D$5001,BD!$A$3:$A$5001,W$3,BD!$B$3:$B$5001,$A$152)))</f>
        <v/>
      </c>
      <c r="X153" s="149" t="str">
        <f>IF(X$3="","",IF(COUNTIFS(BD!$A$3:$A$5001,X$3,BD!$B$3:$B$5001,$A$152,BD!$D$3:$D$5001,"&lt;&gt;")=0,"",SUMIFS(BD!$D$3:$D$5001,BD!$A$3:$A$5001,X$3,BD!$B$3:$B$5001,$A$152)))</f>
        <v/>
      </c>
      <c r="Y153" s="149" t="str">
        <f>IF(Y$3="","",IF(COUNTIFS(BD!$A$3:$A$5001,Y$3,BD!$B$3:$B$5001,$A$152,BD!$D$3:$D$5001,"&lt;&gt;")=0,"",SUMIFS(BD!$D$3:$D$5001,BD!$A$3:$A$5001,Y$3,BD!$B$3:$B$5001,$A$152)))</f>
        <v/>
      </c>
      <c r="Z153" s="149" t="str">
        <f>IF(Z$3="","",IF(COUNTIFS(BD!$A$3:$A$5001,Z$3,BD!$B$3:$B$5001,$A$152,BD!$D$3:$D$5001,"&lt;&gt;")=0,"",SUMIFS(BD!$D$3:$D$5001,BD!$A$3:$A$5001,Z$3,BD!$B$3:$B$5001,$A$152)))</f>
        <v/>
      </c>
      <c r="AA153" s="149" t="str">
        <f>IF(AA$3="","",IF(COUNTIFS(BD!$A$3:$A$5001,AA$3,BD!$B$3:$B$5001,$A$152,BD!$D$3:$D$5001,"&lt;&gt;")=0,"",SUMIFS(BD!$D$3:$D$5001,BD!$A$3:$A$5001,AA$3,BD!$B$3:$B$5001,$A$152)))</f>
        <v/>
      </c>
      <c r="AB153" s="149" t="str">
        <f>IF(AB$3="","",IF(COUNTIFS(BD!$A$3:$A$5001,AB$3,BD!$B$3:$B$5001,$A$152,BD!$D$3:$D$5001,"&lt;&gt;")=0,"",SUMIFS(BD!$D$3:$D$5001,BD!$A$3:$A$5001,AB$3,BD!$B$3:$B$5001,$A$152)))</f>
        <v/>
      </c>
      <c r="AC153" s="149" t="str">
        <f>IF(AC$3="","",IF(COUNTIFS(BD!$A$3:$A$5001,AC$3,BD!$B$3:$B$5001,$A$152,BD!$D$3:$D$5001,"&lt;&gt;")=0,"",SUMIFS(BD!$D$3:$D$5001,BD!$A$3:$A$5001,AC$3,BD!$B$3:$B$5001,$A$152)))</f>
        <v/>
      </c>
      <c r="AD153" s="149" t="str">
        <f>IF(AD$3="","",IF(COUNTIFS(BD!$A$3:$A$5001,AD$3,BD!$B$3:$B$5001,$A$152,BD!$D$3:$D$5001,"&lt;&gt;")=0,"",SUMIFS(BD!$D$3:$D$5001,BD!$A$3:$A$5001,AD$3,BD!$B$3:$B$5001,$A$152)))</f>
        <v/>
      </c>
      <c r="AE153" s="149" t="str">
        <f>IF(AE$3="","",IF(COUNTIFS(BD!$A$3:$A$5001,AE$3,BD!$B$3:$B$5001,$A$152,BD!$D$3:$D$5001,"&lt;&gt;")=0,"",SUMIFS(BD!$D$3:$D$5001,BD!$A$3:$A$5001,AE$3,BD!$B$3:$B$5001,$A$152)))</f>
        <v/>
      </c>
      <c r="AF153" s="149" t="str">
        <f>IF(AF$3="","",IF(COUNTIFS(BD!$A$3:$A$5001,AF$3,BD!$B$3:$B$5001,$A$152,BD!$D$3:$D$5001,"&lt;&gt;")=0,"",SUMIFS(BD!$D$3:$D$5001,BD!$A$3:$A$5001,AF$3,BD!$B$3:$B$5001,$A$152)))</f>
        <v/>
      </c>
      <c r="AG153" s="149" t="str">
        <f>IF(AG$3="","",IF(COUNTIFS(BD!$A$3:$A$5001,AG$3,BD!$B$3:$B$5001,$A$152,BD!$D$3:$D$5001,"&lt;&gt;")=0,"",SUMIFS(BD!$D$3:$D$5001,BD!$A$3:$A$5001,AG$3,BD!$B$3:$B$5001,$A$152)))</f>
        <v/>
      </c>
      <c r="AH153" s="149" t="str">
        <f>IF(AH$3="","",IF(COUNTIFS(BD!$A$3:$A$5001,AH$3,BD!$B$3:$B$5001,$A$152,BD!$D$3:$D$5001,"&lt;&gt;")=0,"",SUMIFS(BD!$D$3:$D$5001,BD!$A$3:$A$5001,AH$3,BD!$B$3:$B$5001,$A$152)))</f>
        <v/>
      </c>
      <c r="AI153" s="149" t="str">
        <f>IF(AI$3="","",IF(COUNTIFS(BD!$A$3:$A$5001,AI$3,BD!$B$3:$B$5001,$A$152,BD!$D$3:$D$5001,"&lt;&gt;")=0,"",SUMIFS(BD!$D$3:$D$5001,BD!$A$3:$A$5001,AI$3,BD!$B$3:$B$5001,$A$152)))</f>
        <v/>
      </c>
      <c r="AJ153" s="150" t="str">
        <f>IF(AJ$3="","",IF(COUNTIFS(BD!$A$3:$A$5001,AJ$3,BD!$B$3:$B$5001,$A$152,BD!$D$3:$D$5001,"&lt;&gt;")=0,"",SUMIFS(BD!$D$3:$D$5001,BD!$A$3:$A$5001,AJ$3,BD!$B$3:$B$5001,$A$152)))</f>
        <v/>
      </c>
      <c r="AK153" s="146" t="str">
        <f>IF(COUNT(F153:AJ153)=0,"",SUM(F153:AJ153))</f>
        <v/>
      </c>
    </row>
    <row r="154" ht="15.75" customHeight="1">
      <c r="A154" s="227"/>
      <c r="B154" s="217" t="inlineStr">
        <is>
          <t xml:space="preserve">OUT</t>
        </is>
      </c>
      <c r="C154" s="151" t="inlineStr">
        <is>
          <t xml:space="preserve">Veículos Expedidos</t>
        </is>
      </c>
      <c r="D154" s="152" t="str">
        <f>IFERROR(1/(1/INDEX(BD!$AK$32:$AT$32,MATCH($A$152,BD!$AK$22:$AT$22,0))),"")</f>
        <v/>
      </c>
      <c r="E154" s="153"/>
      <c r="F154" s="154" t="str">
        <f>IF(F$3="","",IF(COUNTIFS(BD!$A$3:$A$5001,F$3,BD!$B$3:$B$5001,$A$152,BD!$L$3:$L$5001,"&lt;&gt;")=0,"",SUMIFS(BD!$L$3:$L$5001,BD!$A$3:$A$5001,F$3,BD!$B$3:$B$5001,$A$152)))</f>
        <v/>
      </c>
      <c r="G154" s="155" t="str">
        <f>IF(G$3="","",IF(COUNTIFS(BD!$A$3:$A$5001,G$3,BD!$B$3:$B$5001,$A$152,BD!$L$3:$L$5001,"&lt;&gt;")=0,"",SUMIFS(BD!$L$3:$L$5001,BD!$A$3:$A$5001,G$3,BD!$B$3:$B$5001,$A$152)))</f>
        <v/>
      </c>
      <c r="H154" s="155" t="str">
        <f>IF(H$3="","",IF(COUNTIFS(BD!$A$3:$A$5001,H$3,BD!$B$3:$B$5001,$A$152,BD!$L$3:$L$5001,"&lt;&gt;")=0,"",SUMIFS(BD!$L$3:$L$5001,BD!$A$3:$A$5001,H$3,BD!$B$3:$B$5001,$A$152)))</f>
        <v/>
      </c>
      <c r="I154" s="155" t="str">
        <f>IF(I$3="","",IF(COUNTIFS(BD!$A$3:$A$5001,I$3,BD!$B$3:$B$5001,$A$152,BD!$L$3:$L$5001,"&lt;&gt;")=0,"",SUMIFS(BD!$L$3:$L$5001,BD!$A$3:$A$5001,I$3,BD!$B$3:$B$5001,$A$152)))</f>
        <v/>
      </c>
      <c r="J154" s="155" t="str">
        <f>IF(J$3="","",IF(COUNTIFS(BD!$A$3:$A$5001,J$3,BD!$B$3:$B$5001,$A$152,BD!$L$3:$L$5001,"&lt;&gt;")=0,"",SUMIFS(BD!$L$3:$L$5001,BD!$A$3:$A$5001,J$3,BD!$B$3:$B$5001,$A$152)))</f>
        <v/>
      </c>
      <c r="K154" s="155" t="str">
        <f>IF(K$3="","",IF(COUNTIFS(BD!$A$3:$A$5001,K$3,BD!$B$3:$B$5001,$A$152,BD!$L$3:$L$5001,"&lt;&gt;")=0,"",SUMIFS(BD!$L$3:$L$5001,BD!$A$3:$A$5001,K$3,BD!$B$3:$B$5001,$A$152)))</f>
        <v/>
      </c>
      <c r="L154" s="155" t="str">
        <f>IF(L$3="","",IF(COUNTIFS(BD!$A$3:$A$5001,L$3,BD!$B$3:$B$5001,$A$152,BD!$L$3:$L$5001,"&lt;&gt;")=0,"",SUMIFS(BD!$L$3:$L$5001,BD!$A$3:$A$5001,L$3,BD!$B$3:$B$5001,$A$152)))</f>
        <v/>
      </c>
      <c r="M154" s="155" t="str">
        <f>IF(M$3="","",IF(COUNTIFS(BD!$A$3:$A$5001,M$3,BD!$B$3:$B$5001,$A$152,BD!$L$3:$L$5001,"&lt;&gt;")=0,"",SUMIFS(BD!$L$3:$L$5001,BD!$A$3:$A$5001,M$3,BD!$B$3:$B$5001,$A$152)))</f>
        <v/>
      </c>
      <c r="N154" s="155" t="str">
        <f>IF(N$3="","",IF(COUNTIFS(BD!$A$3:$A$5001,N$3,BD!$B$3:$B$5001,$A$152,BD!$L$3:$L$5001,"&lt;&gt;")=0,"",SUMIFS(BD!$L$3:$L$5001,BD!$A$3:$A$5001,N$3,BD!$B$3:$B$5001,$A$152)))</f>
        <v/>
      </c>
      <c r="O154" s="155" t="str">
        <f>IF(O$3="","",IF(COUNTIFS(BD!$A$3:$A$5001,O$3,BD!$B$3:$B$5001,$A$152,BD!$L$3:$L$5001,"&lt;&gt;")=0,"",SUMIFS(BD!$L$3:$L$5001,BD!$A$3:$A$5001,O$3,BD!$B$3:$B$5001,$A$152)))</f>
        <v/>
      </c>
      <c r="P154" s="155" t="str">
        <f>IF(P$3="","",IF(COUNTIFS(BD!$A$3:$A$5001,P$3,BD!$B$3:$B$5001,$A$152,BD!$L$3:$L$5001,"&lt;&gt;")=0,"",SUMIFS(BD!$L$3:$L$5001,BD!$A$3:$A$5001,P$3,BD!$B$3:$B$5001,$A$152)))</f>
        <v/>
      </c>
      <c r="Q154" s="155" t="str">
        <f>IF(Q$3="","",IF(COUNTIFS(BD!$A$3:$A$5001,Q$3,BD!$B$3:$B$5001,$A$152,BD!$L$3:$L$5001,"&lt;&gt;")=0,"",SUMIFS(BD!$L$3:$L$5001,BD!$A$3:$A$5001,Q$3,BD!$B$3:$B$5001,$A$152)))</f>
        <v/>
      </c>
      <c r="R154" s="155" t="str">
        <f>IF(R$3="","",IF(COUNTIFS(BD!$A$3:$A$5001,R$3,BD!$B$3:$B$5001,$A$152,BD!$L$3:$L$5001,"&lt;&gt;")=0,"",SUMIFS(BD!$L$3:$L$5001,BD!$A$3:$A$5001,R$3,BD!$B$3:$B$5001,$A$152)))</f>
        <v/>
      </c>
      <c r="S154" s="155" t="str">
        <f>IF(S$3="","",IF(COUNTIFS(BD!$A$3:$A$5001,S$3,BD!$B$3:$B$5001,$A$152,BD!$L$3:$L$5001,"&lt;&gt;")=0,"",SUMIFS(BD!$L$3:$L$5001,BD!$A$3:$A$5001,S$3,BD!$B$3:$B$5001,$A$152)))</f>
        <v/>
      </c>
      <c r="T154" s="155" t="str">
        <f>IF(T$3="","",IF(COUNTIFS(BD!$A$3:$A$5001,T$3,BD!$B$3:$B$5001,$A$152,BD!$L$3:$L$5001,"&lt;&gt;")=0,"",SUMIFS(BD!$L$3:$L$5001,BD!$A$3:$A$5001,T$3,BD!$B$3:$B$5001,$A$152)))</f>
        <v/>
      </c>
      <c r="U154" s="155" t="str">
        <f>IF(U$3="","",IF(COUNTIFS(BD!$A$3:$A$5001,U$3,BD!$B$3:$B$5001,$A$152,BD!$L$3:$L$5001,"&lt;&gt;")=0,"",SUMIFS(BD!$L$3:$L$5001,BD!$A$3:$A$5001,U$3,BD!$B$3:$B$5001,$A$152)))</f>
        <v/>
      </c>
      <c r="V154" s="155" t="str">
        <f>IF(V$3="","",IF(COUNTIFS(BD!$A$3:$A$5001,V$3,BD!$B$3:$B$5001,$A$152,BD!$L$3:$L$5001,"&lt;&gt;")=0,"",SUMIFS(BD!$L$3:$L$5001,BD!$A$3:$A$5001,V$3,BD!$B$3:$B$5001,$A$152)))</f>
        <v/>
      </c>
      <c r="W154" s="155" t="str">
        <f>IF(W$3="","",IF(COUNTIFS(BD!$A$3:$A$5001,W$3,BD!$B$3:$B$5001,$A$152,BD!$L$3:$L$5001,"&lt;&gt;")=0,"",SUMIFS(BD!$L$3:$L$5001,BD!$A$3:$A$5001,W$3,BD!$B$3:$B$5001,$A$152)))</f>
        <v/>
      </c>
      <c r="X154" s="155" t="str">
        <f>IF(X$3="","",IF(COUNTIFS(BD!$A$3:$A$5001,X$3,BD!$B$3:$B$5001,$A$152,BD!$L$3:$L$5001,"&lt;&gt;")=0,"",SUMIFS(BD!$L$3:$L$5001,BD!$A$3:$A$5001,X$3,BD!$B$3:$B$5001,$A$152)))</f>
        <v/>
      </c>
      <c r="Y154" s="155" t="str">
        <f>IF(Y$3="","",IF(COUNTIFS(BD!$A$3:$A$5001,Y$3,BD!$B$3:$B$5001,$A$152,BD!$L$3:$L$5001,"&lt;&gt;")=0,"",SUMIFS(BD!$L$3:$L$5001,BD!$A$3:$A$5001,Y$3,BD!$B$3:$B$5001,$A$152)))</f>
        <v/>
      </c>
      <c r="Z154" s="155" t="str">
        <f>IF(Z$3="","",IF(COUNTIFS(BD!$A$3:$A$5001,Z$3,BD!$B$3:$B$5001,$A$152,BD!$L$3:$L$5001,"&lt;&gt;")=0,"",SUMIFS(BD!$L$3:$L$5001,BD!$A$3:$A$5001,Z$3,BD!$B$3:$B$5001,$A$152)))</f>
        <v/>
      </c>
      <c r="AA154" s="155" t="str">
        <f>IF(AA$3="","",IF(COUNTIFS(BD!$A$3:$A$5001,AA$3,BD!$B$3:$B$5001,$A$152,BD!$L$3:$L$5001,"&lt;&gt;")=0,"",SUMIFS(BD!$L$3:$L$5001,BD!$A$3:$A$5001,AA$3,BD!$B$3:$B$5001,$A$152)))</f>
        <v/>
      </c>
      <c r="AB154" s="155" t="str">
        <f>IF(AB$3="","",IF(COUNTIFS(BD!$A$3:$A$5001,AB$3,BD!$B$3:$B$5001,$A$152,BD!$L$3:$L$5001,"&lt;&gt;")=0,"",SUMIFS(BD!$L$3:$L$5001,BD!$A$3:$A$5001,AB$3,BD!$B$3:$B$5001,$A$152)))</f>
        <v/>
      </c>
      <c r="AC154" s="155" t="str">
        <f>IF(AC$3="","",IF(COUNTIFS(BD!$A$3:$A$5001,AC$3,BD!$B$3:$B$5001,$A$152,BD!$L$3:$L$5001,"&lt;&gt;")=0,"",SUMIFS(BD!$L$3:$L$5001,BD!$A$3:$A$5001,AC$3,BD!$B$3:$B$5001,$A$152)))</f>
        <v/>
      </c>
      <c r="AD154" s="155" t="str">
        <f>IF(AD$3="","",IF(COUNTIFS(BD!$A$3:$A$5001,AD$3,BD!$B$3:$B$5001,$A$152,BD!$L$3:$L$5001,"&lt;&gt;")=0,"",SUMIFS(BD!$L$3:$L$5001,BD!$A$3:$A$5001,AD$3,BD!$B$3:$B$5001,$A$152)))</f>
        <v/>
      </c>
      <c r="AE154" s="155" t="str">
        <f>IF(AE$3="","",IF(COUNTIFS(BD!$A$3:$A$5001,AE$3,BD!$B$3:$B$5001,$A$152,BD!$L$3:$L$5001,"&lt;&gt;")=0,"",SUMIFS(BD!$L$3:$L$5001,BD!$A$3:$A$5001,AE$3,BD!$B$3:$B$5001,$A$152)))</f>
        <v/>
      </c>
      <c r="AF154" s="155" t="str">
        <f>IF(AF$3="","",IF(COUNTIFS(BD!$A$3:$A$5001,AF$3,BD!$B$3:$B$5001,$A$152,BD!$L$3:$L$5001,"&lt;&gt;")=0,"",SUMIFS(BD!$L$3:$L$5001,BD!$A$3:$A$5001,AF$3,BD!$B$3:$B$5001,$A$152)))</f>
        <v/>
      </c>
      <c r="AG154" s="155" t="str">
        <f>IF(AG$3="","",IF(COUNTIFS(BD!$A$3:$A$5001,AG$3,BD!$B$3:$B$5001,$A$152,BD!$L$3:$L$5001,"&lt;&gt;")=0,"",SUMIFS(BD!$L$3:$L$5001,BD!$A$3:$A$5001,AG$3,BD!$B$3:$B$5001,$A$152)))</f>
        <v/>
      </c>
      <c r="AH154" s="155" t="str">
        <f>IF(AH$3="","",IF(COUNTIFS(BD!$A$3:$A$5001,AH$3,BD!$B$3:$B$5001,$A$152,BD!$L$3:$L$5001,"&lt;&gt;")=0,"",SUMIFS(BD!$L$3:$L$5001,BD!$A$3:$A$5001,AH$3,BD!$B$3:$B$5001,$A$152)))</f>
        <v/>
      </c>
      <c r="AI154" s="155" t="str">
        <f>IF(AI$3="","",IF(COUNTIFS(BD!$A$3:$A$5001,AI$3,BD!$B$3:$B$5001,$A$152,BD!$L$3:$L$5001,"&lt;&gt;")=0,"",SUMIFS(BD!$L$3:$L$5001,BD!$A$3:$A$5001,AI$3,BD!$B$3:$B$5001,$A$152)))</f>
        <v/>
      </c>
      <c r="AJ154" s="156" t="str">
        <f>IF(AJ$3="","",IF(COUNTIFS(BD!$A$3:$A$5001,AJ$3,BD!$B$3:$B$5001,$A$152,BD!$L$3:$L$5001,"&lt;&gt;")=0,"",SUMIFS(BD!$L$3:$L$5001,BD!$A$3:$A$5001,AJ$3,BD!$B$3:$B$5001,$A$152)))</f>
        <v/>
      </c>
      <c r="AK154" s="157" t="str">
        <f>IF(COUNT(F154:AJ154)=0,"",SUM(F154:AJ154))</f>
        <v/>
      </c>
    </row>
    <row r="155" ht="15.75" customHeight="1">
      <c r="A155" s="227"/>
      <c r="B155" s="218"/>
      <c r="C155" s="158" t="inlineStr">
        <is>
          <t xml:space="preserve">Pallets Movimentados</t>
        </is>
      </c>
      <c r="D155" s="159" t="str">
        <f>IFERROR(1/(1/INDEX(BD!$AK$39:$AT$39,MATCH($A$152,BD!$AK$22:$AT$22,0))),"")</f>
        <v/>
      </c>
      <c r="E155" s="160"/>
      <c r="F155" s="161" t="str">
        <f>IF(F$3="","",IF(COUNTIFS(BD!$A$3:$A$5001,F$3,BD!$B$3:$B$5001,$A$152,BD!$S$3:$S$5001,"&lt;&gt;")=0,"",SUMIFS(BD!$S$3:$S$5001,BD!$A$3:$A$5001,F$3,BD!$B$3:$B$5001,$A$152)))</f>
        <v/>
      </c>
      <c r="G155" s="162" t="str">
        <f>IF(G$3="","",IF(COUNTIFS(BD!$A$3:$A$5001,G$3,BD!$B$3:$B$5001,$A$152,BD!$S$3:$S$5001,"&lt;&gt;")=0,"",SUMIFS(BD!$S$3:$S$5001,BD!$A$3:$A$5001,G$3,BD!$B$3:$B$5001,$A$152)))</f>
        <v/>
      </c>
      <c r="H155" s="162" t="str">
        <f>IF(H$3="","",IF(COUNTIFS(BD!$A$3:$A$5001,H$3,BD!$B$3:$B$5001,$A$152,BD!$S$3:$S$5001,"&lt;&gt;")=0,"",SUMIFS(BD!$S$3:$S$5001,BD!$A$3:$A$5001,H$3,BD!$B$3:$B$5001,$A$152)))</f>
        <v/>
      </c>
      <c r="I155" s="162" t="str">
        <f>IF(I$3="","",IF(COUNTIFS(BD!$A$3:$A$5001,I$3,BD!$B$3:$B$5001,$A$152,BD!$S$3:$S$5001,"&lt;&gt;")=0,"",SUMIFS(BD!$S$3:$S$5001,BD!$A$3:$A$5001,I$3,BD!$B$3:$B$5001,$A$152)))</f>
        <v/>
      </c>
      <c r="J155" s="162" t="str">
        <f>IF(J$3="","",IF(COUNTIFS(BD!$A$3:$A$5001,J$3,BD!$B$3:$B$5001,$A$152,BD!$S$3:$S$5001,"&lt;&gt;")=0,"",SUMIFS(BD!$S$3:$S$5001,BD!$A$3:$A$5001,J$3,BD!$B$3:$B$5001,$A$152)))</f>
        <v/>
      </c>
      <c r="K155" s="162" t="str">
        <f>IF(K$3="","",IF(COUNTIFS(BD!$A$3:$A$5001,K$3,BD!$B$3:$B$5001,$A$152,BD!$S$3:$S$5001,"&lt;&gt;")=0,"",SUMIFS(BD!$S$3:$S$5001,BD!$A$3:$A$5001,K$3,BD!$B$3:$B$5001,$A$152)))</f>
        <v/>
      </c>
      <c r="L155" s="162" t="str">
        <f>IF(L$3="","",IF(COUNTIFS(BD!$A$3:$A$5001,L$3,BD!$B$3:$B$5001,$A$152,BD!$S$3:$S$5001,"&lt;&gt;")=0,"",SUMIFS(BD!$S$3:$S$5001,BD!$A$3:$A$5001,L$3,BD!$B$3:$B$5001,$A$152)))</f>
        <v/>
      </c>
      <c r="M155" s="162" t="str">
        <f>IF(M$3="","",IF(COUNTIFS(BD!$A$3:$A$5001,M$3,BD!$B$3:$B$5001,$A$152,BD!$S$3:$S$5001,"&lt;&gt;")=0,"",SUMIFS(BD!$S$3:$S$5001,BD!$A$3:$A$5001,M$3,BD!$B$3:$B$5001,$A$152)))</f>
        <v/>
      </c>
      <c r="N155" s="162" t="str">
        <f>IF(N$3="","",IF(COUNTIFS(BD!$A$3:$A$5001,N$3,BD!$B$3:$B$5001,$A$152,BD!$S$3:$S$5001,"&lt;&gt;")=0,"",SUMIFS(BD!$S$3:$S$5001,BD!$A$3:$A$5001,N$3,BD!$B$3:$B$5001,$A$152)))</f>
        <v/>
      </c>
      <c r="O155" s="162" t="str">
        <f>IF(O$3="","",IF(COUNTIFS(BD!$A$3:$A$5001,O$3,BD!$B$3:$B$5001,$A$152,BD!$S$3:$S$5001,"&lt;&gt;")=0,"",SUMIFS(BD!$S$3:$S$5001,BD!$A$3:$A$5001,O$3,BD!$B$3:$B$5001,$A$152)))</f>
        <v/>
      </c>
      <c r="P155" s="162" t="str">
        <f>IF(P$3="","",IF(COUNTIFS(BD!$A$3:$A$5001,P$3,BD!$B$3:$B$5001,$A$152,BD!$S$3:$S$5001,"&lt;&gt;")=0,"",SUMIFS(BD!$S$3:$S$5001,BD!$A$3:$A$5001,P$3,BD!$B$3:$B$5001,$A$152)))</f>
        <v/>
      </c>
      <c r="Q155" s="162" t="str">
        <f>IF(Q$3="","",IF(COUNTIFS(BD!$A$3:$A$5001,Q$3,BD!$B$3:$B$5001,$A$152,BD!$S$3:$S$5001,"&lt;&gt;")=0,"",SUMIFS(BD!$S$3:$S$5001,BD!$A$3:$A$5001,Q$3,BD!$B$3:$B$5001,$A$152)))</f>
        <v/>
      </c>
      <c r="R155" s="162" t="str">
        <f>IF(R$3="","",IF(COUNTIFS(BD!$A$3:$A$5001,R$3,BD!$B$3:$B$5001,$A$152,BD!$S$3:$S$5001,"&lt;&gt;")=0,"",SUMIFS(BD!$S$3:$S$5001,BD!$A$3:$A$5001,R$3,BD!$B$3:$B$5001,$A$152)))</f>
        <v/>
      </c>
      <c r="S155" s="162" t="str">
        <f>IF(S$3="","",IF(COUNTIFS(BD!$A$3:$A$5001,S$3,BD!$B$3:$B$5001,$A$152,BD!$S$3:$S$5001,"&lt;&gt;")=0,"",SUMIFS(BD!$S$3:$S$5001,BD!$A$3:$A$5001,S$3,BD!$B$3:$B$5001,$A$152)))</f>
        <v/>
      </c>
      <c r="T155" s="162" t="str">
        <f>IF(T$3="","",IF(COUNTIFS(BD!$A$3:$A$5001,T$3,BD!$B$3:$B$5001,$A$152,BD!$S$3:$S$5001,"&lt;&gt;")=0,"",SUMIFS(BD!$S$3:$S$5001,BD!$A$3:$A$5001,T$3,BD!$B$3:$B$5001,$A$152)))</f>
        <v/>
      </c>
      <c r="U155" s="162" t="str">
        <f>IF(U$3="","",IF(COUNTIFS(BD!$A$3:$A$5001,U$3,BD!$B$3:$B$5001,$A$152,BD!$S$3:$S$5001,"&lt;&gt;")=0,"",SUMIFS(BD!$S$3:$S$5001,BD!$A$3:$A$5001,U$3,BD!$B$3:$B$5001,$A$152)))</f>
        <v/>
      </c>
      <c r="V155" s="162" t="str">
        <f>IF(V$3="","",IF(COUNTIFS(BD!$A$3:$A$5001,V$3,BD!$B$3:$B$5001,$A$152,BD!$S$3:$S$5001,"&lt;&gt;")=0,"",SUMIFS(BD!$S$3:$S$5001,BD!$A$3:$A$5001,V$3,BD!$B$3:$B$5001,$A$152)))</f>
        <v/>
      </c>
      <c r="W155" s="162" t="str">
        <f>IF(W$3="","",IF(COUNTIFS(BD!$A$3:$A$5001,W$3,BD!$B$3:$B$5001,$A$152,BD!$S$3:$S$5001,"&lt;&gt;")=0,"",SUMIFS(BD!$S$3:$S$5001,BD!$A$3:$A$5001,W$3,BD!$B$3:$B$5001,$A$152)))</f>
        <v/>
      </c>
      <c r="X155" s="162" t="str">
        <f>IF(X$3="","",IF(COUNTIFS(BD!$A$3:$A$5001,X$3,BD!$B$3:$B$5001,$A$152,BD!$S$3:$S$5001,"&lt;&gt;")=0,"",SUMIFS(BD!$S$3:$S$5001,BD!$A$3:$A$5001,X$3,BD!$B$3:$B$5001,$A$152)))</f>
        <v/>
      </c>
      <c r="Y155" s="162" t="str">
        <f>IF(Y$3="","",IF(COUNTIFS(BD!$A$3:$A$5001,Y$3,BD!$B$3:$B$5001,$A$152,BD!$S$3:$S$5001,"&lt;&gt;")=0,"",SUMIFS(BD!$S$3:$S$5001,BD!$A$3:$A$5001,Y$3,BD!$B$3:$B$5001,$A$152)))</f>
        <v/>
      </c>
      <c r="Z155" s="162" t="str">
        <f>IF(Z$3="","",IF(COUNTIFS(BD!$A$3:$A$5001,Z$3,BD!$B$3:$B$5001,$A$152,BD!$S$3:$S$5001,"&lt;&gt;")=0,"",SUMIFS(BD!$S$3:$S$5001,BD!$A$3:$A$5001,Z$3,BD!$B$3:$B$5001,$A$152)))</f>
        <v/>
      </c>
      <c r="AA155" s="162" t="str">
        <f>IF(AA$3="","",IF(COUNTIFS(BD!$A$3:$A$5001,AA$3,BD!$B$3:$B$5001,$A$152,BD!$S$3:$S$5001,"&lt;&gt;")=0,"",SUMIFS(BD!$S$3:$S$5001,BD!$A$3:$A$5001,AA$3,BD!$B$3:$B$5001,$A$152)))</f>
        <v/>
      </c>
      <c r="AB155" s="162" t="str">
        <f>IF(AB$3="","",IF(COUNTIFS(BD!$A$3:$A$5001,AB$3,BD!$B$3:$B$5001,$A$152,BD!$S$3:$S$5001,"&lt;&gt;")=0,"",SUMIFS(BD!$S$3:$S$5001,BD!$A$3:$A$5001,AB$3,BD!$B$3:$B$5001,$A$152)))</f>
        <v/>
      </c>
      <c r="AC155" s="162" t="str">
        <f>IF(AC$3="","",IF(COUNTIFS(BD!$A$3:$A$5001,AC$3,BD!$B$3:$B$5001,$A$152,BD!$S$3:$S$5001,"&lt;&gt;")=0,"",SUMIFS(BD!$S$3:$S$5001,BD!$A$3:$A$5001,AC$3,BD!$B$3:$B$5001,$A$152)))</f>
        <v/>
      </c>
      <c r="AD155" s="162" t="str">
        <f>IF(AD$3="","",IF(COUNTIFS(BD!$A$3:$A$5001,AD$3,BD!$B$3:$B$5001,$A$152,BD!$S$3:$S$5001,"&lt;&gt;")=0,"",SUMIFS(BD!$S$3:$S$5001,BD!$A$3:$A$5001,AD$3,BD!$B$3:$B$5001,$A$152)))</f>
        <v/>
      </c>
      <c r="AE155" s="162" t="str">
        <f>IF(AE$3="","",IF(COUNTIFS(BD!$A$3:$A$5001,AE$3,BD!$B$3:$B$5001,$A$152,BD!$S$3:$S$5001,"&lt;&gt;")=0,"",SUMIFS(BD!$S$3:$S$5001,BD!$A$3:$A$5001,AE$3,BD!$B$3:$B$5001,$A$152)))</f>
        <v/>
      </c>
      <c r="AF155" s="162" t="str">
        <f>IF(AF$3="","",IF(COUNTIFS(BD!$A$3:$A$5001,AF$3,BD!$B$3:$B$5001,$A$152,BD!$S$3:$S$5001,"&lt;&gt;")=0,"",SUMIFS(BD!$S$3:$S$5001,BD!$A$3:$A$5001,AF$3,BD!$B$3:$B$5001,$A$152)))</f>
        <v/>
      </c>
      <c r="AG155" s="162" t="str">
        <f>IF(AG$3="","",IF(COUNTIFS(BD!$A$3:$A$5001,AG$3,BD!$B$3:$B$5001,$A$152,BD!$S$3:$S$5001,"&lt;&gt;")=0,"",SUMIFS(BD!$S$3:$S$5001,BD!$A$3:$A$5001,AG$3,BD!$B$3:$B$5001,$A$152)))</f>
        <v/>
      </c>
      <c r="AH155" s="162" t="str">
        <f>IF(AH$3="","",IF(COUNTIFS(BD!$A$3:$A$5001,AH$3,BD!$B$3:$B$5001,$A$152,BD!$S$3:$S$5001,"&lt;&gt;")=0,"",SUMIFS(BD!$S$3:$S$5001,BD!$A$3:$A$5001,AH$3,BD!$B$3:$B$5001,$A$152)))</f>
        <v/>
      </c>
      <c r="AI155" s="162" t="str">
        <f>IF(AI$3="","",IF(COUNTIFS(BD!$A$3:$A$5001,AI$3,BD!$B$3:$B$5001,$A$152,BD!$S$3:$S$5001,"&lt;&gt;")=0,"",SUMIFS(BD!$S$3:$S$5001,BD!$A$3:$A$5001,AI$3,BD!$B$3:$B$5001,$A$152)))</f>
        <v/>
      </c>
      <c r="AJ155" s="163" t="str">
        <f>IF(AJ$3="","",IF(COUNTIFS(BD!$A$3:$A$5001,AJ$3,BD!$B$3:$B$5001,$A$152,BD!$S$3:$S$5001,"&lt;&gt;")=0,"",SUMIFS(BD!$S$3:$S$5001,BD!$A$3:$A$5001,AJ$3,BD!$B$3:$B$5001,$A$152)))</f>
        <v/>
      </c>
      <c r="AK155" s="159" t="str">
        <f>IF(COUNT(F155:AJ155)=0,"",SUM(F155:AJ155))</f>
        <v/>
      </c>
    </row>
    <row r="156" ht="15.75" customHeight="1">
      <c r="A156" s="227"/>
      <c r="B156" s="219" t="inlineStr">
        <is>
          <t xml:space="preserve">NC</t>
        </is>
      </c>
      <c r="C156" s="164" t="inlineStr">
        <is>
          <t xml:space="preserve">Incidentes</t>
        </is>
      </c>
      <c r="D156" s="165" t="str">
        <f>IFERROR(1/(1/INDEX(BD!$AK$41:$AT$41,MATCH($A$152,BD!$AK$22:$AT$22,0))),"")</f>
        <v/>
      </c>
      <c r="E156" s="166"/>
      <c r="F156" s="167" t="str">
        <f>IF(F$3="","",IF(COUNTIFS(BD!$A$3:$A$5001,F$3,BD!$B$3:$B$5001,$A$152,BD!$U$3:$U$5001,"&lt;&gt;")=0,"",SUMIFS(BD!$U$3:$U$5001,BD!$A$3:$A$5001,F$3,BD!$B$3:$B$5001,$A$152)))</f>
        <v/>
      </c>
      <c r="G156" s="168" t="str">
        <f>IF(G$3="","",IF(COUNTIFS(BD!$A$3:$A$5001,G$3,BD!$B$3:$B$5001,$A$152,BD!$U$3:$U$5001,"&lt;&gt;")=0,"",SUMIFS(BD!$U$3:$U$5001,BD!$A$3:$A$5001,G$3,BD!$B$3:$B$5001,$A$152)))</f>
        <v/>
      </c>
      <c r="H156" s="168" t="str">
        <f>IF(H$3="","",IF(COUNTIFS(BD!$A$3:$A$5001,H$3,BD!$B$3:$B$5001,$A$152,BD!$U$3:$U$5001,"&lt;&gt;")=0,"",SUMIFS(BD!$U$3:$U$5001,BD!$A$3:$A$5001,H$3,BD!$B$3:$B$5001,$A$152)))</f>
        <v/>
      </c>
      <c r="I156" s="168" t="str">
        <f>IF(I$3="","",IF(COUNTIFS(BD!$A$3:$A$5001,I$3,BD!$B$3:$B$5001,$A$152,BD!$U$3:$U$5001,"&lt;&gt;")=0,"",SUMIFS(BD!$U$3:$U$5001,BD!$A$3:$A$5001,I$3,BD!$B$3:$B$5001,$A$152)))</f>
        <v/>
      </c>
      <c r="J156" s="168" t="str">
        <f>IF(J$3="","",IF(COUNTIFS(BD!$A$3:$A$5001,J$3,BD!$B$3:$B$5001,$A$152,BD!$U$3:$U$5001,"&lt;&gt;")=0,"",SUMIFS(BD!$U$3:$U$5001,BD!$A$3:$A$5001,J$3,BD!$B$3:$B$5001,$A$152)))</f>
        <v/>
      </c>
      <c r="K156" s="168" t="str">
        <f>IF(K$3="","",IF(COUNTIFS(BD!$A$3:$A$5001,K$3,BD!$B$3:$B$5001,$A$152,BD!$U$3:$U$5001,"&lt;&gt;")=0,"",SUMIFS(BD!$U$3:$U$5001,BD!$A$3:$A$5001,K$3,BD!$B$3:$B$5001,$A$152)))</f>
        <v/>
      </c>
      <c r="L156" s="168" t="str">
        <f>IF(L$3="","",IF(COUNTIFS(BD!$A$3:$A$5001,L$3,BD!$B$3:$B$5001,$A$152,BD!$U$3:$U$5001,"&lt;&gt;")=0,"",SUMIFS(BD!$U$3:$U$5001,BD!$A$3:$A$5001,L$3,BD!$B$3:$B$5001,$A$152)))</f>
        <v/>
      </c>
      <c r="M156" s="168" t="str">
        <f>IF(M$3="","",IF(COUNTIFS(BD!$A$3:$A$5001,M$3,BD!$B$3:$B$5001,$A$152,BD!$U$3:$U$5001,"&lt;&gt;")=0,"",SUMIFS(BD!$U$3:$U$5001,BD!$A$3:$A$5001,M$3,BD!$B$3:$B$5001,$A$152)))</f>
        <v/>
      </c>
      <c r="N156" s="168" t="str">
        <f>IF(N$3="","",IF(COUNTIFS(BD!$A$3:$A$5001,N$3,BD!$B$3:$B$5001,$A$152,BD!$U$3:$U$5001,"&lt;&gt;")=0,"",SUMIFS(BD!$U$3:$U$5001,BD!$A$3:$A$5001,N$3,BD!$B$3:$B$5001,$A$152)))</f>
        <v/>
      </c>
      <c r="O156" s="168" t="str">
        <f>IF(O$3="","",IF(COUNTIFS(BD!$A$3:$A$5001,O$3,BD!$B$3:$B$5001,$A$152,BD!$U$3:$U$5001,"&lt;&gt;")=0,"",SUMIFS(BD!$U$3:$U$5001,BD!$A$3:$A$5001,O$3,BD!$B$3:$B$5001,$A$152)))</f>
        <v/>
      </c>
      <c r="P156" s="168" t="str">
        <f>IF(P$3="","",IF(COUNTIFS(BD!$A$3:$A$5001,P$3,BD!$B$3:$B$5001,$A$152,BD!$U$3:$U$5001,"&lt;&gt;")=0,"",SUMIFS(BD!$U$3:$U$5001,BD!$A$3:$A$5001,P$3,BD!$B$3:$B$5001,$A$152)))</f>
        <v/>
      </c>
      <c r="Q156" s="168" t="str">
        <f>IF(Q$3="","",IF(COUNTIFS(BD!$A$3:$A$5001,Q$3,BD!$B$3:$B$5001,$A$152,BD!$U$3:$U$5001,"&lt;&gt;")=0,"",SUMIFS(BD!$U$3:$U$5001,BD!$A$3:$A$5001,Q$3,BD!$B$3:$B$5001,$A$152)))</f>
        <v/>
      </c>
      <c r="R156" s="168" t="str">
        <f>IF(R$3="","",IF(COUNTIFS(BD!$A$3:$A$5001,R$3,BD!$B$3:$B$5001,$A$152,BD!$U$3:$U$5001,"&lt;&gt;")=0,"",SUMIFS(BD!$U$3:$U$5001,BD!$A$3:$A$5001,R$3,BD!$B$3:$B$5001,$A$152)))</f>
        <v/>
      </c>
      <c r="S156" s="168" t="str">
        <f>IF(S$3="","",IF(COUNTIFS(BD!$A$3:$A$5001,S$3,BD!$B$3:$B$5001,$A$152,BD!$U$3:$U$5001,"&lt;&gt;")=0,"",SUMIFS(BD!$U$3:$U$5001,BD!$A$3:$A$5001,S$3,BD!$B$3:$B$5001,$A$152)))</f>
        <v/>
      </c>
      <c r="T156" s="168" t="str">
        <f>IF(T$3="","",IF(COUNTIFS(BD!$A$3:$A$5001,T$3,BD!$B$3:$B$5001,$A$152,BD!$U$3:$U$5001,"&lt;&gt;")=0,"",SUMIFS(BD!$U$3:$U$5001,BD!$A$3:$A$5001,T$3,BD!$B$3:$B$5001,$A$152)))</f>
        <v/>
      </c>
      <c r="U156" s="168" t="str">
        <f>IF(U$3="","",IF(COUNTIFS(BD!$A$3:$A$5001,U$3,BD!$B$3:$B$5001,$A$152,BD!$U$3:$U$5001,"&lt;&gt;")=0,"",SUMIFS(BD!$U$3:$U$5001,BD!$A$3:$A$5001,U$3,BD!$B$3:$B$5001,$A$152)))</f>
        <v/>
      </c>
      <c r="V156" s="168" t="str">
        <f>IF(V$3="","",IF(COUNTIFS(BD!$A$3:$A$5001,V$3,BD!$B$3:$B$5001,$A$152,BD!$U$3:$U$5001,"&lt;&gt;")=0,"",SUMIFS(BD!$U$3:$U$5001,BD!$A$3:$A$5001,V$3,BD!$B$3:$B$5001,$A$152)))</f>
        <v/>
      </c>
      <c r="W156" s="168" t="str">
        <f>IF(W$3="","",IF(COUNTIFS(BD!$A$3:$A$5001,W$3,BD!$B$3:$B$5001,$A$152,BD!$U$3:$U$5001,"&lt;&gt;")=0,"",SUMIFS(BD!$U$3:$U$5001,BD!$A$3:$A$5001,W$3,BD!$B$3:$B$5001,$A$152)))</f>
        <v/>
      </c>
      <c r="X156" s="168" t="str">
        <f>IF(X$3="","",IF(COUNTIFS(BD!$A$3:$A$5001,X$3,BD!$B$3:$B$5001,$A$152,BD!$U$3:$U$5001,"&lt;&gt;")=0,"",SUMIFS(BD!$U$3:$U$5001,BD!$A$3:$A$5001,X$3,BD!$B$3:$B$5001,$A$152)))</f>
        <v/>
      </c>
      <c r="Y156" s="168" t="str">
        <f>IF(Y$3="","",IF(COUNTIFS(BD!$A$3:$A$5001,Y$3,BD!$B$3:$B$5001,$A$152,BD!$U$3:$U$5001,"&lt;&gt;")=0,"",SUMIFS(BD!$U$3:$U$5001,BD!$A$3:$A$5001,Y$3,BD!$B$3:$B$5001,$A$152)))</f>
        <v/>
      </c>
      <c r="Z156" s="168" t="str">
        <f>IF(Z$3="","",IF(COUNTIFS(BD!$A$3:$A$5001,Z$3,BD!$B$3:$B$5001,$A$152,BD!$U$3:$U$5001,"&lt;&gt;")=0,"",SUMIFS(BD!$U$3:$U$5001,BD!$A$3:$A$5001,Z$3,BD!$B$3:$B$5001,$A$152)))</f>
        <v/>
      </c>
      <c r="AA156" s="168" t="str">
        <f>IF(AA$3="","",IF(COUNTIFS(BD!$A$3:$A$5001,AA$3,BD!$B$3:$B$5001,$A$152,BD!$U$3:$U$5001,"&lt;&gt;")=0,"",SUMIFS(BD!$U$3:$U$5001,BD!$A$3:$A$5001,AA$3,BD!$B$3:$B$5001,$A$152)))</f>
        <v/>
      </c>
      <c r="AB156" s="168" t="str">
        <f>IF(AB$3="","",IF(COUNTIFS(BD!$A$3:$A$5001,AB$3,BD!$B$3:$B$5001,$A$152,BD!$U$3:$U$5001,"&lt;&gt;")=0,"",SUMIFS(BD!$U$3:$U$5001,BD!$A$3:$A$5001,AB$3,BD!$B$3:$B$5001,$A$152)))</f>
        <v/>
      </c>
      <c r="AC156" s="168" t="str">
        <f>IF(AC$3="","",IF(COUNTIFS(BD!$A$3:$A$5001,AC$3,BD!$B$3:$B$5001,$A$152,BD!$U$3:$U$5001,"&lt;&gt;")=0,"",SUMIFS(BD!$U$3:$U$5001,BD!$A$3:$A$5001,AC$3,BD!$B$3:$B$5001,$A$152)))</f>
        <v/>
      </c>
      <c r="AD156" s="168" t="str">
        <f>IF(AD$3="","",IF(COUNTIFS(BD!$A$3:$A$5001,AD$3,BD!$B$3:$B$5001,$A$152,BD!$U$3:$U$5001,"&lt;&gt;")=0,"",SUMIFS(BD!$U$3:$U$5001,BD!$A$3:$A$5001,AD$3,BD!$B$3:$B$5001,$A$152)))</f>
        <v/>
      </c>
      <c r="AE156" s="168" t="str">
        <f>IF(AE$3="","",IF(COUNTIFS(BD!$A$3:$A$5001,AE$3,BD!$B$3:$B$5001,$A$152,BD!$U$3:$U$5001,"&lt;&gt;")=0,"",SUMIFS(BD!$U$3:$U$5001,BD!$A$3:$A$5001,AE$3,BD!$B$3:$B$5001,$A$152)))</f>
        <v/>
      </c>
      <c r="AF156" s="168" t="str">
        <f>IF(AF$3="","",IF(COUNTIFS(BD!$A$3:$A$5001,AF$3,BD!$B$3:$B$5001,$A$152,BD!$U$3:$U$5001,"&lt;&gt;")=0,"",SUMIFS(BD!$U$3:$U$5001,BD!$A$3:$A$5001,AF$3,BD!$B$3:$B$5001,$A$152)))</f>
        <v/>
      </c>
      <c r="AG156" s="168" t="str">
        <f>IF(AG$3="","",IF(COUNTIFS(BD!$A$3:$A$5001,AG$3,BD!$B$3:$B$5001,$A$152,BD!$U$3:$U$5001,"&lt;&gt;")=0,"",SUMIFS(BD!$U$3:$U$5001,BD!$A$3:$A$5001,AG$3,BD!$B$3:$B$5001,$A$152)))</f>
        <v/>
      </c>
      <c r="AH156" s="168" t="str">
        <f>IF(AH$3="","",IF(COUNTIFS(BD!$A$3:$A$5001,AH$3,BD!$B$3:$B$5001,$A$152,BD!$U$3:$U$5001,"&lt;&gt;")=0,"",SUMIFS(BD!$U$3:$U$5001,BD!$A$3:$A$5001,AH$3,BD!$B$3:$B$5001,$A$152)))</f>
        <v/>
      </c>
      <c r="AI156" s="168" t="str">
        <f>IF(AI$3="","",IF(COUNTIFS(BD!$A$3:$A$5001,AI$3,BD!$B$3:$B$5001,$A$152,BD!$U$3:$U$5001,"&lt;&gt;")=0,"",SUMIFS(BD!$U$3:$U$5001,BD!$A$3:$A$5001,AI$3,BD!$B$3:$B$5001,$A$152)))</f>
        <v/>
      </c>
      <c r="AJ156" s="169" t="str">
        <f>IF(AJ$3="","",IF(COUNTIFS(BD!$A$3:$A$5001,AJ$3,BD!$B$3:$B$5001,$A$152,BD!$U$3:$U$5001,"&lt;&gt;")=0,"",SUMIFS(BD!$U$3:$U$5001,BD!$A$3:$A$5001,AJ$3,BD!$B$3:$B$5001,$A$152)))</f>
        <v/>
      </c>
      <c r="AK156" s="170" t="str">
        <f>IF(COUNT(F156:AJ156)=0,"",SUM(F156:AJ156))</f>
        <v/>
      </c>
    </row>
    <row r="157" ht="15.75" customHeight="1">
      <c r="A157" s="227"/>
      <c r="B157" s="220"/>
      <c r="C157" s="171" t="inlineStr">
        <is>
          <t xml:space="preserve">No show</t>
        </is>
      </c>
      <c r="D157" s="172" t="str">
        <f>IFERROR(1/(1/INDEX(BD!$AK$42:$AT$42,MATCH($A$152,BD!$AK$22:$AT$22,0))),"")</f>
        <v/>
      </c>
      <c r="E157" s="173"/>
      <c r="F157" s="174" t="str">
        <f>IF(F$3="","",IF(COUNTIFS(BD!$A$3:$A$5001,F$3,BD!$B$3:$B$5001,$A$152,BD!$V$3:$V$5001,"&lt;&gt;")=0,"",SUMIFS(BD!$V$3:$V$5001,BD!$A$3:$A$5001,F$3,BD!$B$3:$B$5001,$A$152)))</f>
        <v/>
      </c>
      <c r="G157" s="175" t="str">
        <f>IF(G$3="","",IF(COUNTIFS(BD!$A$3:$A$5001,G$3,BD!$B$3:$B$5001,$A$152,BD!$V$3:$V$5001,"&lt;&gt;")=0,"",SUMIFS(BD!$V$3:$V$5001,BD!$A$3:$A$5001,G$3,BD!$B$3:$B$5001,$A$152)))</f>
        <v/>
      </c>
      <c r="H157" s="175" t="str">
        <f>IF(H$3="","",IF(COUNTIFS(BD!$A$3:$A$5001,H$3,BD!$B$3:$B$5001,$A$152,BD!$V$3:$V$5001,"&lt;&gt;")=0,"",SUMIFS(BD!$V$3:$V$5001,BD!$A$3:$A$5001,H$3,BD!$B$3:$B$5001,$A$152)))</f>
        <v/>
      </c>
      <c r="I157" s="175" t="str">
        <f>IF(I$3="","",IF(COUNTIFS(BD!$A$3:$A$5001,I$3,BD!$B$3:$B$5001,$A$152,BD!$V$3:$V$5001,"&lt;&gt;")=0,"",SUMIFS(BD!$V$3:$V$5001,BD!$A$3:$A$5001,I$3,BD!$B$3:$B$5001,$A$152)))</f>
        <v/>
      </c>
      <c r="J157" s="175" t="str">
        <f>IF(J$3="","",IF(COUNTIFS(BD!$A$3:$A$5001,J$3,BD!$B$3:$B$5001,$A$152,BD!$V$3:$V$5001,"&lt;&gt;")=0,"",SUMIFS(BD!$V$3:$V$5001,BD!$A$3:$A$5001,J$3,BD!$B$3:$B$5001,$A$152)))</f>
        <v/>
      </c>
      <c r="K157" s="175" t="str">
        <f>IF(K$3="","",IF(COUNTIFS(BD!$A$3:$A$5001,K$3,BD!$B$3:$B$5001,$A$152,BD!$V$3:$V$5001,"&lt;&gt;")=0,"",SUMIFS(BD!$V$3:$V$5001,BD!$A$3:$A$5001,K$3,BD!$B$3:$B$5001,$A$152)))</f>
        <v/>
      </c>
      <c r="L157" s="175" t="str">
        <f>IF(L$3="","",IF(COUNTIFS(BD!$A$3:$A$5001,L$3,BD!$B$3:$B$5001,$A$152,BD!$V$3:$V$5001,"&lt;&gt;")=0,"",SUMIFS(BD!$V$3:$V$5001,BD!$A$3:$A$5001,L$3,BD!$B$3:$B$5001,$A$152)))</f>
        <v/>
      </c>
      <c r="M157" s="175" t="str">
        <f>IF(M$3="","",IF(COUNTIFS(BD!$A$3:$A$5001,M$3,BD!$B$3:$B$5001,$A$152,BD!$V$3:$V$5001,"&lt;&gt;")=0,"",SUMIFS(BD!$V$3:$V$5001,BD!$A$3:$A$5001,M$3,BD!$B$3:$B$5001,$A$152)))</f>
        <v/>
      </c>
      <c r="N157" s="175" t="str">
        <f>IF(N$3="","",IF(COUNTIFS(BD!$A$3:$A$5001,N$3,BD!$B$3:$B$5001,$A$152,BD!$V$3:$V$5001,"&lt;&gt;")=0,"",SUMIFS(BD!$V$3:$V$5001,BD!$A$3:$A$5001,N$3,BD!$B$3:$B$5001,$A$152)))</f>
        <v/>
      </c>
      <c r="O157" s="175" t="str">
        <f>IF(O$3="","",IF(COUNTIFS(BD!$A$3:$A$5001,O$3,BD!$B$3:$B$5001,$A$152,BD!$V$3:$V$5001,"&lt;&gt;")=0,"",SUMIFS(BD!$V$3:$V$5001,BD!$A$3:$A$5001,O$3,BD!$B$3:$B$5001,$A$152)))</f>
        <v/>
      </c>
      <c r="P157" s="175" t="str">
        <f>IF(P$3="","",IF(COUNTIFS(BD!$A$3:$A$5001,P$3,BD!$B$3:$B$5001,$A$152,BD!$V$3:$V$5001,"&lt;&gt;")=0,"",SUMIFS(BD!$V$3:$V$5001,BD!$A$3:$A$5001,P$3,BD!$B$3:$B$5001,$A$152)))</f>
        <v/>
      </c>
      <c r="Q157" s="175" t="str">
        <f>IF(Q$3="","",IF(COUNTIFS(BD!$A$3:$A$5001,Q$3,BD!$B$3:$B$5001,$A$152,BD!$V$3:$V$5001,"&lt;&gt;")=0,"",SUMIFS(BD!$V$3:$V$5001,BD!$A$3:$A$5001,Q$3,BD!$B$3:$B$5001,$A$152)))</f>
        <v/>
      </c>
      <c r="R157" s="175" t="str">
        <f>IF(R$3="","",IF(COUNTIFS(BD!$A$3:$A$5001,R$3,BD!$B$3:$B$5001,$A$152,BD!$V$3:$V$5001,"&lt;&gt;")=0,"",SUMIFS(BD!$V$3:$V$5001,BD!$A$3:$A$5001,R$3,BD!$B$3:$B$5001,$A$152)))</f>
        <v/>
      </c>
      <c r="S157" s="175" t="str">
        <f>IF(S$3="","",IF(COUNTIFS(BD!$A$3:$A$5001,S$3,BD!$B$3:$B$5001,$A$152,BD!$V$3:$V$5001,"&lt;&gt;")=0,"",SUMIFS(BD!$V$3:$V$5001,BD!$A$3:$A$5001,S$3,BD!$B$3:$B$5001,$A$152)))</f>
        <v/>
      </c>
      <c r="T157" s="175" t="str">
        <f>IF(T$3="","",IF(COUNTIFS(BD!$A$3:$A$5001,T$3,BD!$B$3:$B$5001,$A$152,BD!$V$3:$V$5001,"&lt;&gt;")=0,"",SUMIFS(BD!$V$3:$V$5001,BD!$A$3:$A$5001,T$3,BD!$B$3:$B$5001,$A$152)))</f>
        <v/>
      </c>
      <c r="U157" s="175" t="str">
        <f>IF(U$3="","",IF(COUNTIFS(BD!$A$3:$A$5001,U$3,BD!$B$3:$B$5001,$A$152,BD!$V$3:$V$5001,"&lt;&gt;")=0,"",SUMIFS(BD!$V$3:$V$5001,BD!$A$3:$A$5001,U$3,BD!$B$3:$B$5001,$A$152)))</f>
        <v/>
      </c>
      <c r="V157" s="175" t="str">
        <f>IF(V$3="","",IF(COUNTIFS(BD!$A$3:$A$5001,V$3,BD!$B$3:$B$5001,$A$152,BD!$V$3:$V$5001,"&lt;&gt;")=0,"",SUMIFS(BD!$V$3:$V$5001,BD!$A$3:$A$5001,V$3,BD!$B$3:$B$5001,$A$152)))</f>
        <v/>
      </c>
      <c r="W157" s="175" t="str">
        <f>IF(W$3="","",IF(COUNTIFS(BD!$A$3:$A$5001,W$3,BD!$B$3:$B$5001,$A$152,BD!$V$3:$V$5001,"&lt;&gt;")=0,"",SUMIFS(BD!$V$3:$V$5001,BD!$A$3:$A$5001,W$3,BD!$B$3:$B$5001,$A$152)))</f>
        <v/>
      </c>
      <c r="X157" s="175" t="str">
        <f>IF(X$3="","",IF(COUNTIFS(BD!$A$3:$A$5001,X$3,BD!$B$3:$B$5001,$A$152,BD!$V$3:$V$5001,"&lt;&gt;")=0,"",SUMIFS(BD!$V$3:$V$5001,BD!$A$3:$A$5001,X$3,BD!$B$3:$B$5001,$A$152)))</f>
        <v/>
      </c>
      <c r="Y157" s="175" t="str">
        <f>IF(Y$3="","",IF(COUNTIFS(BD!$A$3:$A$5001,Y$3,BD!$B$3:$B$5001,$A$152,BD!$V$3:$V$5001,"&lt;&gt;")=0,"",SUMIFS(BD!$V$3:$V$5001,BD!$A$3:$A$5001,Y$3,BD!$B$3:$B$5001,$A$152)))</f>
        <v/>
      </c>
      <c r="Z157" s="175" t="str">
        <f>IF(Z$3="","",IF(COUNTIFS(BD!$A$3:$A$5001,Z$3,BD!$B$3:$B$5001,$A$152,BD!$V$3:$V$5001,"&lt;&gt;")=0,"",SUMIFS(BD!$V$3:$V$5001,BD!$A$3:$A$5001,Z$3,BD!$B$3:$B$5001,$A$152)))</f>
        <v/>
      </c>
      <c r="AA157" s="175" t="str">
        <f>IF(AA$3="","",IF(COUNTIFS(BD!$A$3:$A$5001,AA$3,BD!$B$3:$B$5001,$A$152,BD!$V$3:$V$5001,"&lt;&gt;")=0,"",SUMIFS(BD!$V$3:$V$5001,BD!$A$3:$A$5001,AA$3,BD!$B$3:$B$5001,$A$152)))</f>
        <v/>
      </c>
      <c r="AB157" s="175" t="str">
        <f>IF(AB$3="","",IF(COUNTIFS(BD!$A$3:$A$5001,AB$3,BD!$B$3:$B$5001,$A$152,BD!$V$3:$V$5001,"&lt;&gt;")=0,"",SUMIFS(BD!$V$3:$V$5001,BD!$A$3:$A$5001,AB$3,BD!$B$3:$B$5001,$A$152)))</f>
        <v/>
      </c>
      <c r="AC157" s="175" t="str">
        <f>IF(AC$3="","",IF(COUNTIFS(BD!$A$3:$A$5001,AC$3,BD!$B$3:$B$5001,$A$152,BD!$V$3:$V$5001,"&lt;&gt;")=0,"",SUMIFS(BD!$V$3:$V$5001,BD!$A$3:$A$5001,AC$3,BD!$B$3:$B$5001,$A$152)))</f>
        <v/>
      </c>
      <c r="AD157" s="175" t="str">
        <f>IF(AD$3="","",IF(COUNTIFS(BD!$A$3:$A$5001,AD$3,BD!$B$3:$B$5001,$A$152,BD!$V$3:$V$5001,"&lt;&gt;")=0,"",SUMIFS(BD!$V$3:$V$5001,BD!$A$3:$A$5001,AD$3,BD!$B$3:$B$5001,$A$152)))</f>
        <v/>
      </c>
      <c r="AE157" s="175" t="str">
        <f>IF(AE$3="","",IF(COUNTIFS(BD!$A$3:$A$5001,AE$3,BD!$B$3:$B$5001,$A$152,BD!$V$3:$V$5001,"&lt;&gt;")=0,"",SUMIFS(BD!$V$3:$V$5001,BD!$A$3:$A$5001,AE$3,BD!$B$3:$B$5001,$A$152)))</f>
        <v/>
      </c>
      <c r="AF157" s="175" t="str">
        <f>IF(AF$3="","",IF(COUNTIFS(BD!$A$3:$A$5001,AF$3,BD!$B$3:$B$5001,$A$152,BD!$V$3:$V$5001,"&lt;&gt;")=0,"",SUMIFS(BD!$V$3:$V$5001,BD!$A$3:$A$5001,AF$3,BD!$B$3:$B$5001,$A$152)))</f>
        <v/>
      </c>
      <c r="AG157" s="175" t="str">
        <f>IF(AG$3="","",IF(COUNTIFS(BD!$A$3:$A$5001,AG$3,BD!$B$3:$B$5001,$A$152,BD!$V$3:$V$5001,"&lt;&gt;")=0,"",SUMIFS(BD!$V$3:$V$5001,BD!$A$3:$A$5001,AG$3,BD!$B$3:$B$5001,$A$152)))</f>
        <v/>
      </c>
      <c r="AH157" s="175" t="str">
        <f>IF(AH$3="","",IF(COUNTIFS(BD!$A$3:$A$5001,AH$3,BD!$B$3:$B$5001,$A$152,BD!$V$3:$V$5001,"&lt;&gt;")=0,"",SUMIFS(BD!$V$3:$V$5001,BD!$A$3:$A$5001,AH$3,BD!$B$3:$B$5001,$A$152)))</f>
        <v/>
      </c>
      <c r="AI157" s="175" t="str">
        <f>IF(AI$3="","",IF(COUNTIFS(BD!$A$3:$A$5001,AI$3,BD!$B$3:$B$5001,$A$152,BD!$V$3:$V$5001,"&lt;&gt;")=0,"",SUMIFS(BD!$V$3:$V$5001,BD!$A$3:$A$5001,AI$3,BD!$B$3:$B$5001,$A$152)))</f>
        <v/>
      </c>
      <c r="AJ157" s="176" t="str">
        <f>IF(AJ$3="","",IF(COUNTIFS(BD!$A$3:$A$5001,AJ$3,BD!$B$3:$B$5001,$A$152,BD!$V$3:$V$5001,"&lt;&gt;")=0,"",SUMIFS(BD!$V$3:$V$5001,BD!$A$3:$A$5001,AJ$3,BD!$B$3:$B$5001,$A$152)))</f>
        <v/>
      </c>
      <c r="AK157" s="177" t="str">
        <f>IF(COUNT(F157:AJ157)=0,"",SUM(F157:AJ157))</f>
        <v/>
      </c>
    </row>
    <row r="158" ht="15.75" customHeight="1">
      <c r="A158" s="227"/>
      <c r="B158" s="221"/>
      <c r="C158" s="178" t="inlineStr">
        <is>
          <t xml:space="preserve">Backlog</t>
        </is>
      </c>
      <c r="D158" s="179" t="str">
        <f>IFERROR(1/(1/INDEX(BD!$AK$43:$AT$43,MATCH($A$152,BD!$AK$22:$AT$22,0))),"")</f>
        <v/>
      </c>
      <c r="E158" s="180"/>
      <c r="F158" s="181" t="str">
        <f>IF(F$3="","",IF(COUNTIFS(BD!$A$3:$A$5001,F$3,BD!$B$3:$B$5001,$A$152,BD!$W$3:$W$5001,"&lt;&gt;")=0,"",SUMIFS(BD!$W$3:$W$5001,BD!$A$3:$A$5001,F$3,BD!$B$3:$B$5001,$A$152)))</f>
        <v/>
      </c>
      <c r="G158" s="182" t="str">
        <f>IF(G$3="","",IF(COUNTIFS(BD!$A$3:$A$5001,G$3,BD!$B$3:$B$5001,$A$152,BD!$W$3:$W$5001,"&lt;&gt;")=0,"",SUMIFS(BD!$W$3:$W$5001,BD!$A$3:$A$5001,G$3,BD!$B$3:$B$5001,$A$152)))</f>
        <v/>
      </c>
      <c r="H158" s="182" t="str">
        <f>IF(H$3="","",IF(COUNTIFS(BD!$A$3:$A$5001,H$3,BD!$B$3:$B$5001,$A$152,BD!$W$3:$W$5001,"&lt;&gt;")=0,"",SUMIFS(BD!$W$3:$W$5001,BD!$A$3:$A$5001,H$3,BD!$B$3:$B$5001,$A$152)))</f>
        <v/>
      </c>
      <c r="I158" s="182" t="str">
        <f>IF(I$3="","",IF(COUNTIFS(BD!$A$3:$A$5001,I$3,BD!$B$3:$B$5001,$A$152,BD!$W$3:$W$5001,"&lt;&gt;")=0,"",SUMIFS(BD!$W$3:$W$5001,BD!$A$3:$A$5001,I$3,BD!$B$3:$B$5001,$A$152)))</f>
        <v/>
      </c>
      <c r="J158" s="182" t="str">
        <f>IF(J$3="","",IF(COUNTIFS(BD!$A$3:$A$5001,J$3,BD!$B$3:$B$5001,$A$152,BD!$W$3:$W$5001,"&lt;&gt;")=0,"",SUMIFS(BD!$W$3:$W$5001,BD!$A$3:$A$5001,J$3,BD!$B$3:$B$5001,$A$152)))</f>
        <v/>
      </c>
      <c r="K158" s="182" t="str">
        <f>IF(K$3="","",IF(COUNTIFS(BD!$A$3:$A$5001,K$3,BD!$B$3:$B$5001,$A$152,BD!$W$3:$W$5001,"&lt;&gt;")=0,"",SUMIFS(BD!$W$3:$W$5001,BD!$A$3:$A$5001,K$3,BD!$B$3:$B$5001,$A$152)))</f>
        <v/>
      </c>
      <c r="L158" s="182" t="str">
        <f>IF(L$3="","",IF(COUNTIFS(BD!$A$3:$A$5001,L$3,BD!$B$3:$B$5001,$A$152,BD!$W$3:$W$5001,"&lt;&gt;")=0,"",SUMIFS(BD!$W$3:$W$5001,BD!$A$3:$A$5001,L$3,BD!$B$3:$B$5001,$A$152)))</f>
        <v/>
      </c>
      <c r="M158" s="182" t="str">
        <f>IF(M$3="","",IF(COUNTIFS(BD!$A$3:$A$5001,M$3,BD!$B$3:$B$5001,$A$152,BD!$W$3:$W$5001,"&lt;&gt;")=0,"",SUMIFS(BD!$W$3:$W$5001,BD!$A$3:$A$5001,M$3,BD!$B$3:$B$5001,$A$152)))</f>
        <v/>
      </c>
      <c r="N158" s="182" t="str">
        <f>IF(N$3="","",IF(COUNTIFS(BD!$A$3:$A$5001,N$3,BD!$B$3:$B$5001,$A$152,BD!$W$3:$W$5001,"&lt;&gt;")=0,"",SUMIFS(BD!$W$3:$W$5001,BD!$A$3:$A$5001,N$3,BD!$B$3:$B$5001,$A$152)))</f>
        <v/>
      </c>
      <c r="O158" s="182" t="str">
        <f>IF(O$3="","",IF(COUNTIFS(BD!$A$3:$A$5001,O$3,BD!$B$3:$B$5001,$A$152,BD!$W$3:$W$5001,"&lt;&gt;")=0,"",SUMIFS(BD!$W$3:$W$5001,BD!$A$3:$A$5001,O$3,BD!$B$3:$B$5001,$A$152)))</f>
        <v/>
      </c>
      <c r="P158" s="182" t="str">
        <f>IF(P$3="","",IF(COUNTIFS(BD!$A$3:$A$5001,P$3,BD!$B$3:$B$5001,$A$152,BD!$W$3:$W$5001,"&lt;&gt;")=0,"",SUMIFS(BD!$W$3:$W$5001,BD!$A$3:$A$5001,P$3,BD!$B$3:$B$5001,$A$152)))</f>
        <v/>
      </c>
      <c r="Q158" s="182" t="str">
        <f>IF(Q$3="","",IF(COUNTIFS(BD!$A$3:$A$5001,Q$3,BD!$B$3:$B$5001,$A$152,BD!$W$3:$W$5001,"&lt;&gt;")=0,"",SUMIFS(BD!$W$3:$W$5001,BD!$A$3:$A$5001,Q$3,BD!$B$3:$B$5001,$A$152)))</f>
        <v/>
      </c>
      <c r="R158" s="182" t="str">
        <f>IF(R$3="","",IF(COUNTIFS(BD!$A$3:$A$5001,R$3,BD!$B$3:$B$5001,$A$152,BD!$W$3:$W$5001,"&lt;&gt;")=0,"",SUMIFS(BD!$W$3:$W$5001,BD!$A$3:$A$5001,R$3,BD!$B$3:$B$5001,$A$152)))</f>
        <v/>
      </c>
      <c r="S158" s="182" t="str">
        <f>IF(S$3="","",IF(COUNTIFS(BD!$A$3:$A$5001,S$3,BD!$B$3:$B$5001,$A$152,BD!$W$3:$W$5001,"&lt;&gt;")=0,"",SUMIFS(BD!$W$3:$W$5001,BD!$A$3:$A$5001,S$3,BD!$B$3:$B$5001,$A$152)))</f>
        <v/>
      </c>
      <c r="T158" s="182" t="str">
        <f>IF(T$3="","",IF(COUNTIFS(BD!$A$3:$A$5001,T$3,BD!$B$3:$B$5001,$A$152,BD!$W$3:$W$5001,"&lt;&gt;")=0,"",SUMIFS(BD!$W$3:$W$5001,BD!$A$3:$A$5001,T$3,BD!$B$3:$B$5001,$A$152)))</f>
        <v/>
      </c>
      <c r="U158" s="182" t="str">
        <f>IF(U$3="","",IF(COUNTIFS(BD!$A$3:$A$5001,U$3,BD!$B$3:$B$5001,$A$152,BD!$W$3:$W$5001,"&lt;&gt;")=0,"",SUMIFS(BD!$W$3:$W$5001,BD!$A$3:$A$5001,U$3,BD!$B$3:$B$5001,$A$152)))</f>
        <v/>
      </c>
      <c r="V158" s="182" t="str">
        <f>IF(V$3="","",IF(COUNTIFS(BD!$A$3:$A$5001,V$3,BD!$B$3:$B$5001,$A$152,BD!$W$3:$W$5001,"&lt;&gt;")=0,"",SUMIFS(BD!$W$3:$W$5001,BD!$A$3:$A$5001,V$3,BD!$B$3:$B$5001,$A$152)))</f>
        <v/>
      </c>
      <c r="W158" s="182" t="str">
        <f>IF(W$3="","",IF(COUNTIFS(BD!$A$3:$A$5001,W$3,BD!$B$3:$B$5001,$A$152,BD!$W$3:$W$5001,"&lt;&gt;")=0,"",SUMIFS(BD!$W$3:$W$5001,BD!$A$3:$A$5001,W$3,BD!$B$3:$B$5001,$A$152)))</f>
        <v/>
      </c>
      <c r="X158" s="182" t="str">
        <f>IF(X$3="","",IF(COUNTIFS(BD!$A$3:$A$5001,X$3,BD!$B$3:$B$5001,$A$152,BD!$W$3:$W$5001,"&lt;&gt;")=0,"",SUMIFS(BD!$W$3:$W$5001,BD!$A$3:$A$5001,X$3,BD!$B$3:$B$5001,$A$152)))</f>
        <v/>
      </c>
      <c r="Y158" s="182" t="str">
        <f>IF(Y$3="","",IF(COUNTIFS(BD!$A$3:$A$5001,Y$3,BD!$B$3:$B$5001,$A$152,BD!$W$3:$W$5001,"&lt;&gt;")=0,"",SUMIFS(BD!$W$3:$W$5001,BD!$A$3:$A$5001,Y$3,BD!$B$3:$B$5001,$A$152)))</f>
        <v/>
      </c>
      <c r="Z158" s="182" t="str">
        <f>IF(Z$3="","",IF(COUNTIFS(BD!$A$3:$A$5001,Z$3,BD!$B$3:$B$5001,$A$152,BD!$W$3:$W$5001,"&lt;&gt;")=0,"",SUMIFS(BD!$W$3:$W$5001,BD!$A$3:$A$5001,Z$3,BD!$B$3:$B$5001,$A$152)))</f>
        <v/>
      </c>
      <c r="AA158" s="182" t="str">
        <f>IF(AA$3="","",IF(COUNTIFS(BD!$A$3:$A$5001,AA$3,BD!$B$3:$B$5001,$A$152,BD!$W$3:$W$5001,"&lt;&gt;")=0,"",SUMIFS(BD!$W$3:$W$5001,BD!$A$3:$A$5001,AA$3,BD!$B$3:$B$5001,$A$152)))</f>
        <v/>
      </c>
      <c r="AB158" s="182" t="str">
        <f>IF(AB$3="","",IF(COUNTIFS(BD!$A$3:$A$5001,AB$3,BD!$B$3:$B$5001,$A$152,BD!$W$3:$W$5001,"&lt;&gt;")=0,"",SUMIFS(BD!$W$3:$W$5001,BD!$A$3:$A$5001,AB$3,BD!$B$3:$B$5001,$A$152)))</f>
        <v/>
      </c>
      <c r="AC158" s="182" t="str">
        <f>IF(AC$3="","",IF(COUNTIFS(BD!$A$3:$A$5001,AC$3,BD!$B$3:$B$5001,$A$152,BD!$W$3:$W$5001,"&lt;&gt;")=0,"",SUMIFS(BD!$W$3:$W$5001,BD!$A$3:$A$5001,AC$3,BD!$B$3:$B$5001,$A$152)))</f>
        <v/>
      </c>
      <c r="AD158" s="182" t="str">
        <f>IF(AD$3="","",IF(COUNTIFS(BD!$A$3:$A$5001,AD$3,BD!$B$3:$B$5001,$A$152,BD!$W$3:$W$5001,"&lt;&gt;")=0,"",SUMIFS(BD!$W$3:$W$5001,BD!$A$3:$A$5001,AD$3,BD!$B$3:$B$5001,$A$152)))</f>
        <v/>
      </c>
      <c r="AE158" s="182" t="str">
        <f>IF(AE$3="","",IF(COUNTIFS(BD!$A$3:$A$5001,AE$3,BD!$B$3:$B$5001,$A$152,BD!$W$3:$W$5001,"&lt;&gt;")=0,"",SUMIFS(BD!$W$3:$W$5001,BD!$A$3:$A$5001,AE$3,BD!$B$3:$B$5001,$A$152)))</f>
        <v/>
      </c>
      <c r="AF158" s="182" t="str">
        <f>IF(AF$3="","",IF(COUNTIFS(BD!$A$3:$A$5001,AF$3,BD!$B$3:$B$5001,$A$152,BD!$W$3:$W$5001,"&lt;&gt;")=0,"",SUMIFS(BD!$W$3:$W$5001,BD!$A$3:$A$5001,AF$3,BD!$B$3:$B$5001,$A$152)))</f>
        <v/>
      </c>
      <c r="AG158" s="182" t="str">
        <f>IF(AG$3="","",IF(COUNTIFS(BD!$A$3:$A$5001,AG$3,BD!$B$3:$B$5001,$A$152,BD!$W$3:$W$5001,"&lt;&gt;")=0,"",SUMIFS(BD!$W$3:$W$5001,BD!$A$3:$A$5001,AG$3,BD!$B$3:$B$5001,$A$152)))</f>
        <v/>
      </c>
      <c r="AH158" s="182" t="str">
        <f>IF(AH$3="","",IF(COUNTIFS(BD!$A$3:$A$5001,AH$3,BD!$B$3:$B$5001,$A$152,BD!$W$3:$W$5001,"&lt;&gt;")=0,"",SUMIFS(BD!$W$3:$W$5001,BD!$A$3:$A$5001,AH$3,BD!$B$3:$B$5001,$A$152)))</f>
        <v/>
      </c>
      <c r="AI158" s="182" t="str">
        <f>IF(AI$3="","",IF(COUNTIFS(BD!$A$3:$A$5001,AI$3,BD!$B$3:$B$5001,$A$152,BD!$W$3:$W$5001,"&lt;&gt;")=0,"",SUMIFS(BD!$W$3:$W$5001,BD!$A$3:$A$5001,AI$3,BD!$B$3:$B$5001,$A$152)))</f>
        <v/>
      </c>
      <c r="AJ158" s="183" t="str">
        <f>IF(AJ$3="","",IF(COUNTIFS(BD!$A$3:$A$5001,AJ$3,BD!$B$3:$B$5001,$A$152,BD!$W$3:$W$5001,"&lt;&gt;")=0,"",SUMIFS(BD!$W$3:$W$5001,BD!$A$3:$A$5001,AJ$3,BD!$B$3:$B$5001,$A$152)))</f>
        <v/>
      </c>
      <c r="AK158" s="179" t="str">
        <f>IFERROR(LOOKUP(9.99E+307,F158:AJ158),"")</f>
        <v/>
      </c>
    </row>
    <row r="159" ht="15.75" customHeight="1">
      <c r="A159" s="227"/>
      <c r="B159" s="215" t="inlineStr">
        <is>
          <t xml:space="preserve">OCUPAÇÃO (P.P)</t>
        </is>
      </c>
      <c r="C159" s="138" t="inlineStr">
        <is>
          <t xml:space="preserve">Posições Disponíveis</t>
        </is>
      </c>
      <c r="D159" s="139" t="str">
        <f>IFERROR(1/(1/INDEX(BD!$AK$44:$AT$44,MATCH($A$152,BD!$AK$22:$AT$22,0))),"")</f>
        <v/>
      </c>
      <c r="E159" s="140"/>
      <c r="F159" s="141" t="str">
        <f>IF(F$3="","",IF(COUNTIFS(BD!$A$3:$A$5001,F$3,BD!$B$3:$B$5001,$A$152,BD!$X$3:$X$5001,"&lt;&gt;")=0,"",SUMIFS(BD!$X$3:$X$5001,BD!$A$3:$A$5001,F$3,BD!$B$3:$B$5001,$A$152)))</f>
        <v/>
      </c>
      <c r="G159" s="142" t="str">
        <f>IF(G$3="","",IF(COUNTIFS(BD!$A$3:$A$5001,G$3,BD!$B$3:$B$5001,$A$152,BD!$X$3:$X$5001,"&lt;&gt;")=0,"",SUMIFS(BD!$X$3:$X$5001,BD!$A$3:$A$5001,G$3,BD!$B$3:$B$5001,$A$152)))</f>
        <v/>
      </c>
      <c r="H159" s="142" t="str">
        <f>IF(H$3="","",IF(COUNTIFS(BD!$A$3:$A$5001,H$3,BD!$B$3:$B$5001,$A$152,BD!$X$3:$X$5001,"&lt;&gt;")=0,"",SUMIFS(BD!$X$3:$X$5001,BD!$A$3:$A$5001,H$3,BD!$B$3:$B$5001,$A$152)))</f>
        <v/>
      </c>
      <c r="I159" s="142" t="str">
        <f>IF(I$3="","",IF(COUNTIFS(BD!$A$3:$A$5001,I$3,BD!$B$3:$B$5001,$A$152,BD!$X$3:$X$5001,"&lt;&gt;")=0,"",SUMIFS(BD!$X$3:$X$5001,BD!$A$3:$A$5001,I$3,BD!$B$3:$B$5001,$A$152)))</f>
        <v/>
      </c>
      <c r="J159" s="142" t="str">
        <f>IF(J$3="","",IF(COUNTIFS(BD!$A$3:$A$5001,J$3,BD!$B$3:$B$5001,$A$152,BD!$X$3:$X$5001,"&lt;&gt;")=0,"",SUMIFS(BD!$X$3:$X$5001,BD!$A$3:$A$5001,J$3,BD!$B$3:$B$5001,$A$152)))</f>
        <v/>
      </c>
      <c r="K159" s="142" t="str">
        <f>IF(K$3="","",IF(COUNTIFS(BD!$A$3:$A$5001,K$3,BD!$B$3:$B$5001,$A$152,BD!$X$3:$X$5001,"&lt;&gt;")=0,"",SUMIFS(BD!$X$3:$X$5001,BD!$A$3:$A$5001,K$3,BD!$B$3:$B$5001,$A$152)))</f>
        <v/>
      </c>
      <c r="L159" s="142" t="str">
        <f>IF(L$3="","",IF(COUNTIFS(BD!$A$3:$A$5001,L$3,BD!$B$3:$B$5001,$A$152,BD!$X$3:$X$5001,"&lt;&gt;")=0,"",SUMIFS(BD!$X$3:$X$5001,BD!$A$3:$A$5001,L$3,BD!$B$3:$B$5001,$A$152)))</f>
        <v/>
      </c>
      <c r="M159" s="142" t="str">
        <f>IF(M$3="","",IF(COUNTIFS(BD!$A$3:$A$5001,M$3,BD!$B$3:$B$5001,$A$152,BD!$X$3:$X$5001,"&lt;&gt;")=0,"",SUMIFS(BD!$X$3:$X$5001,BD!$A$3:$A$5001,M$3,BD!$B$3:$B$5001,$A$152)))</f>
        <v/>
      </c>
      <c r="N159" s="142" t="str">
        <f>IF(N$3="","",IF(COUNTIFS(BD!$A$3:$A$5001,N$3,BD!$B$3:$B$5001,$A$152,BD!$X$3:$X$5001,"&lt;&gt;")=0,"",SUMIFS(BD!$X$3:$X$5001,BD!$A$3:$A$5001,N$3,BD!$B$3:$B$5001,$A$152)))</f>
        <v/>
      </c>
      <c r="O159" s="142" t="str">
        <f>IF(O$3="","",IF(COUNTIFS(BD!$A$3:$A$5001,O$3,BD!$B$3:$B$5001,$A$152,BD!$X$3:$X$5001,"&lt;&gt;")=0,"",SUMIFS(BD!$X$3:$X$5001,BD!$A$3:$A$5001,O$3,BD!$B$3:$B$5001,$A$152)))</f>
        <v/>
      </c>
      <c r="P159" s="142" t="str">
        <f>IF(P$3="","",IF(COUNTIFS(BD!$A$3:$A$5001,P$3,BD!$B$3:$B$5001,$A$152,BD!$X$3:$X$5001,"&lt;&gt;")=0,"",SUMIFS(BD!$X$3:$X$5001,BD!$A$3:$A$5001,P$3,BD!$B$3:$B$5001,$A$152)))</f>
        <v/>
      </c>
      <c r="Q159" s="142" t="str">
        <f>IF(Q$3="","",IF(COUNTIFS(BD!$A$3:$A$5001,Q$3,BD!$B$3:$B$5001,$A$152,BD!$X$3:$X$5001,"&lt;&gt;")=0,"",SUMIFS(BD!$X$3:$X$5001,BD!$A$3:$A$5001,Q$3,BD!$B$3:$B$5001,$A$152)))</f>
        <v/>
      </c>
      <c r="R159" s="142" t="str">
        <f>IF(R$3="","",IF(COUNTIFS(BD!$A$3:$A$5001,R$3,BD!$B$3:$B$5001,$A$152,BD!$X$3:$X$5001,"&lt;&gt;")=0,"",SUMIFS(BD!$X$3:$X$5001,BD!$A$3:$A$5001,R$3,BD!$B$3:$B$5001,$A$152)))</f>
        <v/>
      </c>
      <c r="S159" s="142" t="str">
        <f>IF(S$3="","",IF(COUNTIFS(BD!$A$3:$A$5001,S$3,BD!$B$3:$B$5001,$A$152,BD!$X$3:$X$5001,"&lt;&gt;")=0,"",SUMIFS(BD!$X$3:$X$5001,BD!$A$3:$A$5001,S$3,BD!$B$3:$B$5001,$A$152)))</f>
        <v/>
      </c>
      <c r="T159" s="142" t="str">
        <f>IF(T$3="","",IF(COUNTIFS(BD!$A$3:$A$5001,T$3,BD!$B$3:$B$5001,$A$152,BD!$X$3:$X$5001,"&lt;&gt;")=0,"",SUMIFS(BD!$X$3:$X$5001,BD!$A$3:$A$5001,T$3,BD!$B$3:$B$5001,$A$152)))</f>
        <v/>
      </c>
      <c r="U159" s="142" t="str">
        <f>IF(U$3="","",IF(COUNTIFS(BD!$A$3:$A$5001,U$3,BD!$B$3:$B$5001,$A$152,BD!$X$3:$X$5001,"&lt;&gt;")=0,"",SUMIFS(BD!$X$3:$X$5001,BD!$A$3:$A$5001,U$3,BD!$B$3:$B$5001,$A$152)))</f>
        <v/>
      </c>
      <c r="V159" s="142" t="str">
        <f>IF(V$3="","",IF(COUNTIFS(BD!$A$3:$A$5001,V$3,BD!$B$3:$B$5001,$A$152,BD!$X$3:$X$5001,"&lt;&gt;")=0,"",SUMIFS(BD!$X$3:$X$5001,BD!$A$3:$A$5001,V$3,BD!$B$3:$B$5001,$A$152)))</f>
        <v/>
      </c>
      <c r="W159" s="142" t="str">
        <f>IF(W$3="","",IF(COUNTIFS(BD!$A$3:$A$5001,W$3,BD!$B$3:$B$5001,$A$152,BD!$X$3:$X$5001,"&lt;&gt;")=0,"",SUMIFS(BD!$X$3:$X$5001,BD!$A$3:$A$5001,W$3,BD!$B$3:$B$5001,$A$152)))</f>
        <v/>
      </c>
      <c r="X159" s="142" t="str">
        <f>IF(X$3="","",IF(COUNTIFS(BD!$A$3:$A$5001,X$3,BD!$B$3:$B$5001,$A$152,BD!$X$3:$X$5001,"&lt;&gt;")=0,"",SUMIFS(BD!$X$3:$X$5001,BD!$A$3:$A$5001,X$3,BD!$B$3:$B$5001,$A$152)))</f>
        <v/>
      </c>
      <c r="Y159" s="142" t="str">
        <f>IF(Y$3="","",IF(COUNTIFS(BD!$A$3:$A$5001,Y$3,BD!$B$3:$B$5001,$A$152,BD!$X$3:$X$5001,"&lt;&gt;")=0,"",SUMIFS(BD!$X$3:$X$5001,BD!$A$3:$A$5001,Y$3,BD!$B$3:$B$5001,$A$152)))</f>
        <v/>
      </c>
      <c r="Z159" s="142" t="str">
        <f>IF(Z$3="","",IF(COUNTIFS(BD!$A$3:$A$5001,Z$3,BD!$B$3:$B$5001,$A$152,BD!$X$3:$X$5001,"&lt;&gt;")=0,"",SUMIFS(BD!$X$3:$X$5001,BD!$A$3:$A$5001,Z$3,BD!$B$3:$B$5001,$A$152)))</f>
        <v/>
      </c>
      <c r="AA159" s="142" t="str">
        <f>IF(AA$3="","",IF(COUNTIFS(BD!$A$3:$A$5001,AA$3,BD!$B$3:$B$5001,$A$152,BD!$X$3:$X$5001,"&lt;&gt;")=0,"",SUMIFS(BD!$X$3:$X$5001,BD!$A$3:$A$5001,AA$3,BD!$B$3:$B$5001,$A$152)))</f>
        <v/>
      </c>
      <c r="AB159" s="142" t="str">
        <f>IF(AB$3="","",IF(COUNTIFS(BD!$A$3:$A$5001,AB$3,BD!$B$3:$B$5001,$A$152,BD!$X$3:$X$5001,"&lt;&gt;")=0,"",SUMIFS(BD!$X$3:$X$5001,BD!$A$3:$A$5001,AB$3,BD!$B$3:$B$5001,$A$152)))</f>
        <v/>
      </c>
      <c r="AC159" s="142" t="str">
        <f>IF(AC$3="","",IF(COUNTIFS(BD!$A$3:$A$5001,AC$3,BD!$B$3:$B$5001,$A$152,BD!$X$3:$X$5001,"&lt;&gt;")=0,"",SUMIFS(BD!$X$3:$X$5001,BD!$A$3:$A$5001,AC$3,BD!$B$3:$B$5001,$A$152)))</f>
        <v/>
      </c>
      <c r="AD159" s="142" t="str">
        <f>IF(AD$3="","",IF(COUNTIFS(BD!$A$3:$A$5001,AD$3,BD!$B$3:$B$5001,$A$152,BD!$X$3:$X$5001,"&lt;&gt;")=0,"",SUMIFS(BD!$X$3:$X$5001,BD!$A$3:$A$5001,AD$3,BD!$B$3:$B$5001,$A$152)))</f>
        <v/>
      </c>
      <c r="AE159" s="142" t="str">
        <f>IF(AE$3="","",IF(COUNTIFS(BD!$A$3:$A$5001,AE$3,BD!$B$3:$B$5001,$A$152,BD!$X$3:$X$5001,"&lt;&gt;")=0,"",SUMIFS(BD!$X$3:$X$5001,BD!$A$3:$A$5001,AE$3,BD!$B$3:$B$5001,$A$152)))</f>
        <v/>
      </c>
      <c r="AF159" s="142" t="str">
        <f>IF(AF$3="","",IF(COUNTIFS(BD!$A$3:$A$5001,AF$3,BD!$B$3:$B$5001,$A$152,BD!$X$3:$X$5001,"&lt;&gt;")=0,"",SUMIFS(BD!$X$3:$X$5001,BD!$A$3:$A$5001,AF$3,BD!$B$3:$B$5001,$A$152)))</f>
        <v/>
      </c>
      <c r="AG159" s="142" t="str">
        <f>IF(AG$3="","",IF(COUNTIFS(BD!$A$3:$A$5001,AG$3,BD!$B$3:$B$5001,$A$152,BD!$X$3:$X$5001,"&lt;&gt;")=0,"",SUMIFS(BD!$X$3:$X$5001,BD!$A$3:$A$5001,AG$3,BD!$B$3:$B$5001,$A$152)))</f>
        <v/>
      </c>
      <c r="AH159" s="142" t="str">
        <f>IF(AH$3="","",IF(COUNTIFS(BD!$A$3:$A$5001,AH$3,BD!$B$3:$B$5001,$A$152,BD!$X$3:$X$5001,"&lt;&gt;")=0,"",SUMIFS(BD!$X$3:$X$5001,BD!$A$3:$A$5001,AH$3,BD!$B$3:$B$5001,$A$152)))</f>
        <v/>
      </c>
      <c r="AI159" s="142" t="str">
        <f>IF(AI$3="","",IF(COUNTIFS(BD!$A$3:$A$5001,AI$3,BD!$B$3:$B$5001,$A$152,BD!$X$3:$X$5001,"&lt;&gt;")=0,"",SUMIFS(BD!$X$3:$X$5001,BD!$A$3:$A$5001,AI$3,BD!$B$3:$B$5001,$A$152)))</f>
        <v/>
      </c>
      <c r="AJ159" s="143" t="str">
        <f>IF(AJ$3="","",IF(COUNTIFS(BD!$A$3:$A$5001,AJ$3,BD!$B$3:$B$5001,$A$152,BD!$X$3:$X$5001,"&lt;&gt;")=0,"",SUMIFS(BD!$X$3:$X$5001,BD!$A$3:$A$5001,AJ$3,BD!$B$3:$B$5001,$A$152)))</f>
        <v/>
      </c>
      <c r="AK159" s="144" t="str">
        <f>IF(COUNT(F159:AJ159)&gt;0,LOOKUP(9.99E+307,F159:AJ159),IFERROR(IF(INDEX(BD!$AH$3:$AH$5001,MATCH($A$152,BD!$B$3:$B$5001,0))&amp;""="Contrato","",INDEX(BD!$AH$3:$AH$5001,MATCH($A$152,BD!$B$3:$B$5001,0))&amp;""),""))</f>
        <v/>
      </c>
    </row>
    <row r="160" ht="15.75" customHeight="1">
      <c r="A160" s="227"/>
      <c r="B160" s="222"/>
      <c r="C160" s="184" t="inlineStr">
        <is>
          <t xml:space="preserve">Posições Ocupadas</t>
        </is>
      </c>
      <c r="D160" s="185" t="str">
        <f>IFERROR(1/(1/INDEX(BD!$AK$45:$AT$45,MATCH($A$152,BD!$AK$22:$AT$22,0))),"")</f>
        <v/>
      </c>
      <c r="E160" s="186"/>
      <c r="F160" s="187" t="str">
        <f>IF(F$3="","",IF(COUNTIFS(BD!$A$3:$A$5001,F$3,BD!$B$3:$B$5001,$A$152,BD!$Y$3:$Y$5001,"&lt;&gt;")=0,"",SUMIFS(BD!$Y$3:$Y$5001,BD!$A$3:$A$5001,F$3,BD!$B$3:$B$5001,$A$152)))</f>
        <v/>
      </c>
      <c r="G160" s="188" t="str">
        <f>IF(G$3="","",IF(COUNTIFS(BD!$A$3:$A$5001,G$3,BD!$B$3:$B$5001,$A$152,BD!$Y$3:$Y$5001,"&lt;&gt;")=0,"",SUMIFS(BD!$Y$3:$Y$5001,BD!$A$3:$A$5001,G$3,BD!$B$3:$B$5001,$A$152)))</f>
        <v/>
      </c>
      <c r="H160" s="188" t="str">
        <f>IF(H$3="","",IF(COUNTIFS(BD!$A$3:$A$5001,H$3,BD!$B$3:$B$5001,$A$152,BD!$Y$3:$Y$5001,"&lt;&gt;")=0,"",SUMIFS(BD!$Y$3:$Y$5001,BD!$A$3:$A$5001,H$3,BD!$B$3:$B$5001,$A$152)))</f>
        <v/>
      </c>
      <c r="I160" s="188" t="str">
        <f>IF(I$3="","",IF(COUNTIFS(BD!$A$3:$A$5001,I$3,BD!$B$3:$B$5001,$A$152,BD!$Y$3:$Y$5001,"&lt;&gt;")=0,"",SUMIFS(BD!$Y$3:$Y$5001,BD!$A$3:$A$5001,I$3,BD!$B$3:$B$5001,$A$152)))</f>
        <v/>
      </c>
      <c r="J160" s="188" t="str">
        <f>IF(J$3="","",IF(COUNTIFS(BD!$A$3:$A$5001,J$3,BD!$B$3:$B$5001,$A$152,BD!$Y$3:$Y$5001,"&lt;&gt;")=0,"",SUMIFS(BD!$Y$3:$Y$5001,BD!$A$3:$A$5001,J$3,BD!$B$3:$B$5001,$A$152)))</f>
        <v/>
      </c>
      <c r="K160" s="188" t="str">
        <f>IF(K$3="","",IF(COUNTIFS(BD!$A$3:$A$5001,K$3,BD!$B$3:$B$5001,$A$152,BD!$Y$3:$Y$5001,"&lt;&gt;")=0,"",SUMIFS(BD!$Y$3:$Y$5001,BD!$A$3:$A$5001,K$3,BD!$B$3:$B$5001,$A$152)))</f>
        <v/>
      </c>
      <c r="L160" s="188" t="str">
        <f>IF(L$3="","",IF(COUNTIFS(BD!$A$3:$A$5001,L$3,BD!$B$3:$B$5001,$A$152,BD!$Y$3:$Y$5001,"&lt;&gt;")=0,"",SUMIFS(BD!$Y$3:$Y$5001,BD!$A$3:$A$5001,L$3,BD!$B$3:$B$5001,$A$152)))</f>
        <v/>
      </c>
      <c r="M160" s="188" t="str">
        <f>IF(M$3="","",IF(COUNTIFS(BD!$A$3:$A$5001,M$3,BD!$B$3:$B$5001,$A$152,BD!$Y$3:$Y$5001,"&lt;&gt;")=0,"",SUMIFS(BD!$Y$3:$Y$5001,BD!$A$3:$A$5001,M$3,BD!$B$3:$B$5001,$A$152)))</f>
        <v/>
      </c>
      <c r="N160" s="188" t="str">
        <f>IF(N$3="","",IF(COUNTIFS(BD!$A$3:$A$5001,N$3,BD!$B$3:$B$5001,$A$152,BD!$Y$3:$Y$5001,"&lt;&gt;")=0,"",SUMIFS(BD!$Y$3:$Y$5001,BD!$A$3:$A$5001,N$3,BD!$B$3:$B$5001,$A$152)))</f>
        <v/>
      </c>
      <c r="O160" s="188" t="str">
        <f>IF(O$3="","",IF(COUNTIFS(BD!$A$3:$A$5001,O$3,BD!$B$3:$B$5001,$A$152,BD!$Y$3:$Y$5001,"&lt;&gt;")=0,"",SUMIFS(BD!$Y$3:$Y$5001,BD!$A$3:$A$5001,O$3,BD!$B$3:$B$5001,$A$152)))</f>
        <v/>
      </c>
      <c r="P160" s="188" t="str">
        <f>IF(P$3="","",IF(COUNTIFS(BD!$A$3:$A$5001,P$3,BD!$B$3:$B$5001,$A$152,BD!$Y$3:$Y$5001,"&lt;&gt;")=0,"",SUMIFS(BD!$Y$3:$Y$5001,BD!$A$3:$A$5001,P$3,BD!$B$3:$B$5001,$A$152)))</f>
        <v/>
      </c>
      <c r="Q160" s="188" t="str">
        <f>IF(Q$3="","",IF(COUNTIFS(BD!$A$3:$A$5001,Q$3,BD!$B$3:$B$5001,$A$152,BD!$Y$3:$Y$5001,"&lt;&gt;")=0,"",SUMIFS(BD!$Y$3:$Y$5001,BD!$A$3:$A$5001,Q$3,BD!$B$3:$B$5001,$A$152)))</f>
        <v/>
      </c>
      <c r="R160" s="188" t="str">
        <f>IF(R$3="","",IF(COUNTIFS(BD!$A$3:$A$5001,R$3,BD!$B$3:$B$5001,$A$152,BD!$Y$3:$Y$5001,"&lt;&gt;")=0,"",SUMIFS(BD!$Y$3:$Y$5001,BD!$A$3:$A$5001,R$3,BD!$B$3:$B$5001,$A$152)))</f>
        <v/>
      </c>
      <c r="S160" s="188" t="str">
        <f>IF(S$3="","",IF(COUNTIFS(BD!$A$3:$A$5001,S$3,BD!$B$3:$B$5001,$A$152,BD!$Y$3:$Y$5001,"&lt;&gt;")=0,"",SUMIFS(BD!$Y$3:$Y$5001,BD!$A$3:$A$5001,S$3,BD!$B$3:$B$5001,$A$152)))</f>
        <v/>
      </c>
      <c r="T160" s="188" t="str">
        <f>IF(T$3="","",IF(COUNTIFS(BD!$A$3:$A$5001,T$3,BD!$B$3:$B$5001,$A$152,BD!$Y$3:$Y$5001,"&lt;&gt;")=0,"",SUMIFS(BD!$Y$3:$Y$5001,BD!$A$3:$A$5001,T$3,BD!$B$3:$B$5001,$A$152)))</f>
        <v/>
      </c>
      <c r="U160" s="188" t="str">
        <f>IF(U$3="","",IF(COUNTIFS(BD!$A$3:$A$5001,U$3,BD!$B$3:$B$5001,$A$152,BD!$Y$3:$Y$5001,"&lt;&gt;")=0,"",SUMIFS(BD!$Y$3:$Y$5001,BD!$A$3:$A$5001,U$3,BD!$B$3:$B$5001,$A$152)))</f>
        <v/>
      </c>
      <c r="V160" s="188" t="str">
        <f>IF(V$3="","",IF(COUNTIFS(BD!$A$3:$A$5001,V$3,BD!$B$3:$B$5001,$A$152,BD!$Y$3:$Y$5001,"&lt;&gt;")=0,"",SUMIFS(BD!$Y$3:$Y$5001,BD!$A$3:$A$5001,V$3,BD!$B$3:$B$5001,$A$152)))</f>
        <v/>
      </c>
      <c r="W160" s="188" t="str">
        <f>IF(W$3="","",IF(COUNTIFS(BD!$A$3:$A$5001,W$3,BD!$B$3:$B$5001,$A$152,BD!$Y$3:$Y$5001,"&lt;&gt;")=0,"",SUMIFS(BD!$Y$3:$Y$5001,BD!$A$3:$A$5001,W$3,BD!$B$3:$B$5001,$A$152)))</f>
        <v/>
      </c>
      <c r="X160" s="188" t="str">
        <f>IF(X$3="","",IF(COUNTIFS(BD!$A$3:$A$5001,X$3,BD!$B$3:$B$5001,$A$152,BD!$Y$3:$Y$5001,"&lt;&gt;")=0,"",SUMIFS(BD!$Y$3:$Y$5001,BD!$A$3:$A$5001,X$3,BD!$B$3:$B$5001,$A$152)))</f>
        <v/>
      </c>
      <c r="Y160" s="188" t="str">
        <f>IF(Y$3="","",IF(COUNTIFS(BD!$A$3:$A$5001,Y$3,BD!$B$3:$B$5001,$A$152,BD!$Y$3:$Y$5001,"&lt;&gt;")=0,"",SUMIFS(BD!$Y$3:$Y$5001,BD!$A$3:$A$5001,Y$3,BD!$B$3:$B$5001,$A$152)))</f>
        <v/>
      </c>
      <c r="Z160" s="188" t="str">
        <f>IF(Z$3="","",IF(COUNTIFS(BD!$A$3:$A$5001,Z$3,BD!$B$3:$B$5001,$A$152,BD!$Y$3:$Y$5001,"&lt;&gt;")=0,"",SUMIFS(BD!$Y$3:$Y$5001,BD!$A$3:$A$5001,Z$3,BD!$B$3:$B$5001,$A$152)))</f>
        <v/>
      </c>
      <c r="AA160" s="188" t="str">
        <f>IF(AA$3="","",IF(COUNTIFS(BD!$A$3:$A$5001,AA$3,BD!$B$3:$B$5001,$A$152,BD!$Y$3:$Y$5001,"&lt;&gt;")=0,"",SUMIFS(BD!$Y$3:$Y$5001,BD!$A$3:$A$5001,AA$3,BD!$B$3:$B$5001,$A$152)))</f>
        <v/>
      </c>
      <c r="AB160" s="188" t="str">
        <f>IF(AB$3="","",IF(COUNTIFS(BD!$A$3:$A$5001,AB$3,BD!$B$3:$B$5001,$A$152,BD!$Y$3:$Y$5001,"&lt;&gt;")=0,"",SUMIFS(BD!$Y$3:$Y$5001,BD!$A$3:$A$5001,AB$3,BD!$B$3:$B$5001,$A$152)))</f>
        <v/>
      </c>
      <c r="AC160" s="188" t="str">
        <f>IF(AC$3="","",IF(COUNTIFS(BD!$A$3:$A$5001,AC$3,BD!$B$3:$B$5001,$A$152,BD!$Y$3:$Y$5001,"&lt;&gt;")=0,"",SUMIFS(BD!$Y$3:$Y$5001,BD!$A$3:$A$5001,AC$3,BD!$B$3:$B$5001,$A$152)))</f>
        <v/>
      </c>
      <c r="AD160" s="188" t="str">
        <f>IF(AD$3="","",IF(COUNTIFS(BD!$A$3:$A$5001,AD$3,BD!$B$3:$B$5001,$A$152,BD!$Y$3:$Y$5001,"&lt;&gt;")=0,"",SUMIFS(BD!$Y$3:$Y$5001,BD!$A$3:$A$5001,AD$3,BD!$B$3:$B$5001,$A$152)))</f>
        <v/>
      </c>
      <c r="AE160" s="188" t="str">
        <f>IF(AE$3="","",IF(COUNTIFS(BD!$A$3:$A$5001,AE$3,BD!$B$3:$B$5001,$A$152,BD!$Y$3:$Y$5001,"&lt;&gt;")=0,"",SUMIFS(BD!$Y$3:$Y$5001,BD!$A$3:$A$5001,AE$3,BD!$B$3:$B$5001,$A$152)))</f>
        <v/>
      </c>
      <c r="AF160" s="188" t="str">
        <f>IF(AF$3="","",IF(COUNTIFS(BD!$A$3:$A$5001,AF$3,BD!$B$3:$B$5001,$A$152,BD!$Y$3:$Y$5001,"&lt;&gt;")=0,"",SUMIFS(BD!$Y$3:$Y$5001,BD!$A$3:$A$5001,AF$3,BD!$B$3:$B$5001,$A$152)))</f>
        <v/>
      </c>
      <c r="AG160" s="188" t="str">
        <f>IF(AG$3="","",IF(COUNTIFS(BD!$A$3:$A$5001,AG$3,BD!$B$3:$B$5001,$A$152,BD!$Y$3:$Y$5001,"&lt;&gt;")=0,"",SUMIFS(BD!$Y$3:$Y$5001,BD!$A$3:$A$5001,AG$3,BD!$B$3:$B$5001,$A$152)))</f>
        <v/>
      </c>
      <c r="AH160" s="188" t="str">
        <f>IF(AH$3="","",IF(COUNTIFS(BD!$A$3:$A$5001,AH$3,BD!$B$3:$B$5001,$A$152,BD!$Y$3:$Y$5001,"&lt;&gt;")=0,"",SUMIFS(BD!$Y$3:$Y$5001,BD!$A$3:$A$5001,AH$3,BD!$B$3:$B$5001,$A$152)))</f>
        <v/>
      </c>
      <c r="AI160" s="188" t="str">
        <f>IF(AI$3="","",IF(COUNTIFS(BD!$A$3:$A$5001,AI$3,BD!$B$3:$B$5001,$A$152,BD!$Y$3:$Y$5001,"&lt;&gt;")=0,"",SUMIFS(BD!$Y$3:$Y$5001,BD!$A$3:$A$5001,AI$3,BD!$B$3:$B$5001,$A$152)))</f>
        <v/>
      </c>
      <c r="AJ160" s="189" t="str">
        <f>IF(AJ$3="","",IF(COUNTIFS(BD!$A$3:$A$5001,AJ$3,BD!$B$3:$B$5001,$A$152,BD!$Y$3:$Y$5001,"&lt;&gt;")=0,"",SUMIFS(BD!$Y$3:$Y$5001,BD!$A$3:$A$5001,AJ$3,BD!$B$3:$B$5001,$A$152)))</f>
        <v/>
      </c>
      <c r="AK160" s="190" t="str">
        <f>IFERROR(LOOKUP(9.99E+307,F160:AJ160),"")</f>
        <v/>
      </c>
    </row>
    <row r="161" ht="15.75" customHeight="1">
      <c r="A161" s="227"/>
      <c r="B161" s="216"/>
      <c r="C161" s="145" t="inlineStr">
        <is>
          <t xml:space="preserve">Taxa de Ocupação</t>
        </is>
      </c>
      <c r="D161" s="191" t="str">
        <f>IFERROR(1/(1/INDEX(BD!$AK$46:$AT$46,MATCH($A$152,BD!$AK$22:$AT$22,0))),"")</f>
        <v/>
      </c>
      <c r="E161" s="147"/>
      <c r="F161" s="192" t="str">
        <f>IF(AND(ISNUMBER(F159),ISNUMBER(F160)),IF(F159&gt;0,F160/F159,""),"")</f>
        <v/>
      </c>
      <c r="G161" s="193" t="str">
        <f>IF(AND(ISNUMBER(G159),ISNUMBER(G160)),IF(G159&gt;0,G160/G159,""),"")</f>
        <v/>
      </c>
      <c r="H161" s="193" t="str">
        <f>IF(AND(ISNUMBER(H159),ISNUMBER(H160)),IF(H159&gt;0,H160/H159,""),"")</f>
        <v/>
      </c>
      <c r="I161" s="193" t="str">
        <f>IF(AND(ISNUMBER(I159),ISNUMBER(I160)),IF(I159&gt;0,I160/I159,""),"")</f>
        <v/>
      </c>
      <c r="J161" s="193" t="str">
        <f>IF(AND(ISNUMBER(J159),ISNUMBER(J160)),IF(J159&gt;0,J160/J159,""),"")</f>
        <v/>
      </c>
      <c r="K161" s="193" t="str">
        <f>IF(AND(ISNUMBER(K159),ISNUMBER(K160)),IF(K159&gt;0,K160/K159,""),"")</f>
        <v/>
      </c>
      <c r="L161" s="193" t="str">
        <f>IF(AND(ISNUMBER(L159),ISNUMBER(L160)),IF(L159&gt;0,L160/L159,""),"")</f>
        <v/>
      </c>
      <c r="M161" s="193" t="str">
        <f>IF(AND(ISNUMBER(M159),ISNUMBER(M160)),IF(M159&gt;0,M160/M159,""),"")</f>
        <v/>
      </c>
      <c r="N161" s="193" t="str">
        <f>IF(AND(ISNUMBER(N159),ISNUMBER(N160)),IF(N159&gt;0,N160/N159,""),"")</f>
        <v/>
      </c>
      <c r="O161" s="193" t="str">
        <f>IF(AND(ISNUMBER(O159),ISNUMBER(O160)),IF(O159&gt;0,O160/O159,""),"")</f>
        <v/>
      </c>
      <c r="P161" s="193" t="str">
        <f>IF(AND(ISNUMBER(P159),ISNUMBER(P160)),IF(P159&gt;0,P160/P159,""),"")</f>
        <v/>
      </c>
      <c r="Q161" s="193" t="str">
        <f>IF(AND(ISNUMBER(Q159),ISNUMBER(Q160)),IF(Q159&gt;0,Q160/Q159,""),"")</f>
        <v/>
      </c>
      <c r="R161" s="193" t="str">
        <f>IF(AND(ISNUMBER(R159),ISNUMBER(R160)),IF(R159&gt;0,R160/R159,""),"")</f>
        <v/>
      </c>
      <c r="S161" s="193" t="str">
        <f>IF(AND(ISNUMBER(S159),ISNUMBER(S160)),IF(S159&gt;0,S160/S159,""),"")</f>
        <v/>
      </c>
      <c r="T161" s="193" t="str">
        <f>IF(AND(ISNUMBER(T159),ISNUMBER(T160)),IF(T159&gt;0,T160/T159,""),"")</f>
        <v/>
      </c>
      <c r="U161" s="193" t="str">
        <f>IF(AND(ISNUMBER(U159),ISNUMBER(U160)),IF(U159&gt;0,U160/U159,""),"")</f>
        <v/>
      </c>
      <c r="V161" s="193" t="str">
        <f>IF(AND(ISNUMBER(V159),ISNUMBER(V160)),IF(V159&gt;0,V160/V159,""),"")</f>
        <v/>
      </c>
      <c r="W161" s="193" t="str">
        <f>IF(AND(ISNUMBER(W159),ISNUMBER(W160)),IF(W159&gt;0,W160/W159,""),"")</f>
        <v/>
      </c>
      <c r="X161" s="193" t="str">
        <f>IF(AND(ISNUMBER(X159),ISNUMBER(X160)),IF(X159&gt;0,X160/X159,""),"")</f>
        <v/>
      </c>
      <c r="Y161" s="193" t="str">
        <f>IF(AND(ISNUMBER(Y159),ISNUMBER(Y160)),IF(Y159&gt;0,Y160/Y159,""),"")</f>
        <v/>
      </c>
      <c r="Z161" s="193" t="str">
        <f>IF(AND(ISNUMBER(Z159),ISNUMBER(Z160)),IF(Z159&gt;0,Z160/Z159,""),"")</f>
        <v/>
      </c>
      <c r="AA161" s="193" t="str">
        <f>IF(AND(ISNUMBER(AA159),ISNUMBER(AA160)),IF(AA159&gt;0,AA160/AA159,""),"")</f>
        <v/>
      </c>
      <c r="AB161" s="193" t="str">
        <f>IF(AND(ISNUMBER(AB159),ISNUMBER(AB160)),IF(AB159&gt;0,AB160/AB159,""),"")</f>
        <v/>
      </c>
      <c r="AC161" s="193" t="str">
        <f>IF(AND(ISNUMBER(AC159),ISNUMBER(AC160)),IF(AC159&gt;0,AC160/AC159,""),"")</f>
        <v/>
      </c>
      <c r="AD161" s="193" t="str">
        <f>IF(AND(ISNUMBER(AD159),ISNUMBER(AD160)),IF(AD159&gt;0,AD160/AD159,""),"")</f>
        <v/>
      </c>
      <c r="AE161" s="193" t="str">
        <f>IF(AND(ISNUMBER(AE159),ISNUMBER(AE160)),IF(AE159&gt;0,AE160/AE159,""),"")</f>
        <v/>
      </c>
      <c r="AF161" s="193" t="str">
        <f>IF(AND(ISNUMBER(AF159),ISNUMBER(AF160)),IF(AF159&gt;0,AF160/AF159,""),"")</f>
        <v/>
      </c>
      <c r="AG161" s="193" t="str">
        <f>IF(AND(ISNUMBER(AG159),ISNUMBER(AG160)),IF(AG159&gt;0,AG160/AG159,""),"")</f>
        <v/>
      </c>
      <c r="AH161" s="193" t="str">
        <f>IF(AND(ISNUMBER(AH159),ISNUMBER(AH160)),IF(AH159&gt;0,AH160/AH159,""),"")</f>
        <v/>
      </c>
      <c r="AI161" s="193" t="str">
        <f>IF(AND(ISNUMBER(AI159),ISNUMBER(AI160)),IF(AI159&gt;0,AI160/AI159,""),"")</f>
        <v/>
      </c>
      <c r="AJ161" s="194" t="str">
        <f>IF(AND(ISNUMBER(AJ159),ISNUMBER(AJ160)),IF(AJ159&gt;0,AJ160/AJ159,""),"")</f>
        <v/>
      </c>
      <c r="AK161" s="191" t="str">
        <f>IF(AND(ISNUMBER(AK159),ISNUMBER(AK160)),IF(AK159&gt;0,AK160/AK159,""),"")</f>
        <v/>
      </c>
    </row>
    <row r="162" ht="15.75" customHeight="1">
      <c r="A162" s="227"/>
      <c r="B162" s="223" t="inlineStr">
        <is>
          <t xml:space="preserve">GENTE</t>
        </is>
      </c>
      <c r="C162" s="195" t="inlineStr">
        <is>
          <t xml:space="preserve">Efetivo Op.</t>
        </is>
      </c>
      <c r="D162" s="196" t="str">
        <f>IFERROR(1/(1/INDEX(BD!$AK$47:$AT$47,MATCH($A$152,BD!$AK$22:$AT$22,0))),"")</f>
        <v/>
      </c>
      <c r="E162" s="197"/>
      <c r="F162" s="198" t="str">
        <f>IF(F$3="","",IF(COUNTIFS(BD!$A$3:$A$5001,F$3,BD!$B$3:$B$5001,$A$152,BD!$Z$3:$Z$5001,"&lt;&gt;")=0,"",SUMIFS(BD!$Z$3:$Z$5001,BD!$A$3:$A$5001,F$3,BD!$B$3:$B$5001,$A$152)))</f>
        <v/>
      </c>
      <c r="G162" s="199" t="str">
        <f>IF(G$3="","",IF(COUNTIFS(BD!$A$3:$A$5001,G$3,BD!$B$3:$B$5001,$A$152,BD!$Z$3:$Z$5001,"&lt;&gt;")=0,"",SUMIFS(BD!$Z$3:$Z$5001,BD!$A$3:$A$5001,G$3,BD!$B$3:$B$5001,$A$152)))</f>
        <v/>
      </c>
      <c r="H162" s="199" t="str">
        <f>IF(H$3="","",IF(COUNTIFS(BD!$A$3:$A$5001,H$3,BD!$B$3:$B$5001,$A$152,BD!$Z$3:$Z$5001,"&lt;&gt;")=0,"",SUMIFS(BD!$Z$3:$Z$5001,BD!$A$3:$A$5001,H$3,BD!$B$3:$B$5001,$A$152)))</f>
        <v/>
      </c>
      <c r="I162" s="199" t="str">
        <f>IF(I$3="","",IF(COUNTIFS(BD!$A$3:$A$5001,I$3,BD!$B$3:$B$5001,$A$152,BD!$Z$3:$Z$5001,"&lt;&gt;")=0,"",SUMIFS(BD!$Z$3:$Z$5001,BD!$A$3:$A$5001,I$3,BD!$B$3:$B$5001,$A$152)))</f>
        <v/>
      </c>
      <c r="J162" s="199" t="str">
        <f>IF(J$3="","",IF(COUNTIFS(BD!$A$3:$A$5001,J$3,BD!$B$3:$B$5001,$A$152,BD!$Z$3:$Z$5001,"&lt;&gt;")=0,"",SUMIFS(BD!$Z$3:$Z$5001,BD!$A$3:$A$5001,J$3,BD!$B$3:$B$5001,$A$152)))</f>
        <v/>
      </c>
      <c r="K162" s="199" t="str">
        <f>IF(K$3="","",IF(COUNTIFS(BD!$A$3:$A$5001,K$3,BD!$B$3:$B$5001,$A$152,BD!$Z$3:$Z$5001,"&lt;&gt;")=0,"",SUMIFS(BD!$Z$3:$Z$5001,BD!$A$3:$A$5001,K$3,BD!$B$3:$B$5001,$A$152)))</f>
        <v/>
      </c>
      <c r="L162" s="199" t="str">
        <f>IF(L$3="","",IF(COUNTIFS(BD!$A$3:$A$5001,L$3,BD!$B$3:$B$5001,$A$152,BD!$Z$3:$Z$5001,"&lt;&gt;")=0,"",SUMIFS(BD!$Z$3:$Z$5001,BD!$A$3:$A$5001,L$3,BD!$B$3:$B$5001,$A$152)))</f>
        <v/>
      </c>
      <c r="M162" s="199" t="str">
        <f>IF(M$3="","",IF(COUNTIFS(BD!$A$3:$A$5001,M$3,BD!$B$3:$B$5001,$A$152,BD!$Z$3:$Z$5001,"&lt;&gt;")=0,"",SUMIFS(BD!$Z$3:$Z$5001,BD!$A$3:$A$5001,M$3,BD!$B$3:$B$5001,$A$152)))</f>
        <v/>
      </c>
      <c r="N162" s="199" t="str">
        <f>IF(N$3="","",IF(COUNTIFS(BD!$A$3:$A$5001,N$3,BD!$B$3:$B$5001,$A$152,BD!$Z$3:$Z$5001,"&lt;&gt;")=0,"",SUMIFS(BD!$Z$3:$Z$5001,BD!$A$3:$A$5001,N$3,BD!$B$3:$B$5001,$A$152)))</f>
        <v/>
      </c>
      <c r="O162" s="199" t="str">
        <f>IF(O$3="","",IF(COUNTIFS(BD!$A$3:$A$5001,O$3,BD!$B$3:$B$5001,$A$152,BD!$Z$3:$Z$5001,"&lt;&gt;")=0,"",SUMIFS(BD!$Z$3:$Z$5001,BD!$A$3:$A$5001,O$3,BD!$B$3:$B$5001,$A$152)))</f>
        <v/>
      </c>
      <c r="P162" s="199" t="str">
        <f>IF(P$3="","",IF(COUNTIFS(BD!$A$3:$A$5001,P$3,BD!$B$3:$B$5001,$A$152,BD!$Z$3:$Z$5001,"&lt;&gt;")=0,"",SUMIFS(BD!$Z$3:$Z$5001,BD!$A$3:$A$5001,P$3,BD!$B$3:$B$5001,$A$152)))</f>
        <v/>
      </c>
      <c r="Q162" s="199" t="str">
        <f>IF(Q$3="","",IF(COUNTIFS(BD!$A$3:$A$5001,Q$3,BD!$B$3:$B$5001,$A$152,BD!$Z$3:$Z$5001,"&lt;&gt;")=0,"",SUMIFS(BD!$Z$3:$Z$5001,BD!$A$3:$A$5001,Q$3,BD!$B$3:$B$5001,$A$152)))</f>
        <v/>
      </c>
      <c r="R162" s="199" t="str">
        <f>IF(R$3="","",IF(COUNTIFS(BD!$A$3:$A$5001,R$3,BD!$B$3:$B$5001,$A$152,BD!$Z$3:$Z$5001,"&lt;&gt;")=0,"",SUMIFS(BD!$Z$3:$Z$5001,BD!$A$3:$A$5001,R$3,BD!$B$3:$B$5001,$A$152)))</f>
        <v/>
      </c>
      <c r="S162" s="199" t="str">
        <f>IF(S$3="","",IF(COUNTIFS(BD!$A$3:$A$5001,S$3,BD!$B$3:$B$5001,$A$152,BD!$Z$3:$Z$5001,"&lt;&gt;")=0,"",SUMIFS(BD!$Z$3:$Z$5001,BD!$A$3:$A$5001,S$3,BD!$B$3:$B$5001,$A$152)))</f>
        <v/>
      </c>
      <c r="T162" s="199" t="str">
        <f>IF(T$3="","",IF(COUNTIFS(BD!$A$3:$A$5001,T$3,BD!$B$3:$B$5001,$A$152,BD!$Z$3:$Z$5001,"&lt;&gt;")=0,"",SUMIFS(BD!$Z$3:$Z$5001,BD!$A$3:$A$5001,T$3,BD!$B$3:$B$5001,$A$152)))</f>
        <v/>
      </c>
      <c r="U162" s="199" t="str">
        <f>IF(U$3="","",IF(COUNTIFS(BD!$A$3:$A$5001,U$3,BD!$B$3:$B$5001,$A$152,BD!$Z$3:$Z$5001,"&lt;&gt;")=0,"",SUMIFS(BD!$Z$3:$Z$5001,BD!$A$3:$A$5001,U$3,BD!$B$3:$B$5001,$A$152)))</f>
        <v/>
      </c>
      <c r="V162" s="199" t="str">
        <f>IF(V$3="","",IF(COUNTIFS(BD!$A$3:$A$5001,V$3,BD!$B$3:$B$5001,$A$152,BD!$Z$3:$Z$5001,"&lt;&gt;")=0,"",SUMIFS(BD!$Z$3:$Z$5001,BD!$A$3:$A$5001,V$3,BD!$B$3:$B$5001,$A$152)))</f>
        <v/>
      </c>
      <c r="W162" s="199" t="str">
        <f>IF(W$3="","",IF(COUNTIFS(BD!$A$3:$A$5001,W$3,BD!$B$3:$B$5001,$A$152,BD!$Z$3:$Z$5001,"&lt;&gt;")=0,"",SUMIFS(BD!$Z$3:$Z$5001,BD!$A$3:$A$5001,W$3,BD!$B$3:$B$5001,$A$152)))</f>
        <v/>
      </c>
      <c r="X162" s="199" t="str">
        <f>IF(X$3="","",IF(COUNTIFS(BD!$A$3:$A$5001,X$3,BD!$B$3:$B$5001,$A$152,BD!$Z$3:$Z$5001,"&lt;&gt;")=0,"",SUMIFS(BD!$Z$3:$Z$5001,BD!$A$3:$A$5001,X$3,BD!$B$3:$B$5001,$A$152)))</f>
        <v/>
      </c>
      <c r="Y162" s="199" t="str">
        <f>IF(Y$3="","",IF(COUNTIFS(BD!$A$3:$A$5001,Y$3,BD!$B$3:$B$5001,$A$152,BD!$Z$3:$Z$5001,"&lt;&gt;")=0,"",SUMIFS(BD!$Z$3:$Z$5001,BD!$A$3:$A$5001,Y$3,BD!$B$3:$B$5001,$A$152)))</f>
        <v/>
      </c>
      <c r="Z162" s="199" t="str">
        <f>IF(Z$3="","",IF(COUNTIFS(BD!$A$3:$A$5001,Z$3,BD!$B$3:$B$5001,$A$152,BD!$Z$3:$Z$5001,"&lt;&gt;")=0,"",SUMIFS(BD!$Z$3:$Z$5001,BD!$A$3:$A$5001,Z$3,BD!$B$3:$B$5001,$A$152)))</f>
        <v/>
      </c>
      <c r="AA162" s="199" t="str">
        <f>IF(AA$3="","",IF(COUNTIFS(BD!$A$3:$A$5001,AA$3,BD!$B$3:$B$5001,$A$152,BD!$Z$3:$Z$5001,"&lt;&gt;")=0,"",SUMIFS(BD!$Z$3:$Z$5001,BD!$A$3:$A$5001,AA$3,BD!$B$3:$B$5001,$A$152)))</f>
        <v/>
      </c>
      <c r="AB162" s="199" t="str">
        <f>IF(AB$3="","",IF(COUNTIFS(BD!$A$3:$A$5001,AB$3,BD!$B$3:$B$5001,$A$152,BD!$Z$3:$Z$5001,"&lt;&gt;")=0,"",SUMIFS(BD!$Z$3:$Z$5001,BD!$A$3:$A$5001,AB$3,BD!$B$3:$B$5001,$A$152)))</f>
        <v/>
      </c>
      <c r="AC162" s="199" t="str">
        <f>IF(AC$3="","",IF(COUNTIFS(BD!$A$3:$A$5001,AC$3,BD!$B$3:$B$5001,$A$152,BD!$Z$3:$Z$5001,"&lt;&gt;")=0,"",SUMIFS(BD!$Z$3:$Z$5001,BD!$A$3:$A$5001,AC$3,BD!$B$3:$B$5001,$A$152)))</f>
        <v/>
      </c>
      <c r="AD162" s="199" t="str">
        <f>IF(AD$3="","",IF(COUNTIFS(BD!$A$3:$A$5001,AD$3,BD!$B$3:$B$5001,$A$152,BD!$Z$3:$Z$5001,"&lt;&gt;")=0,"",SUMIFS(BD!$Z$3:$Z$5001,BD!$A$3:$A$5001,AD$3,BD!$B$3:$B$5001,$A$152)))</f>
        <v/>
      </c>
      <c r="AE162" s="199" t="str">
        <f>IF(AE$3="","",IF(COUNTIFS(BD!$A$3:$A$5001,AE$3,BD!$B$3:$B$5001,$A$152,BD!$Z$3:$Z$5001,"&lt;&gt;")=0,"",SUMIFS(BD!$Z$3:$Z$5001,BD!$A$3:$A$5001,AE$3,BD!$B$3:$B$5001,$A$152)))</f>
        <v/>
      </c>
      <c r="AF162" s="199" t="str">
        <f>IF(AF$3="","",IF(COUNTIFS(BD!$A$3:$A$5001,AF$3,BD!$B$3:$B$5001,$A$152,BD!$Z$3:$Z$5001,"&lt;&gt;")=0,"",SUMIFS(BD!$Z$3:$Z$5001,BD!$A$3:$A$5001,AF$3,BD!$B$3:$B$5001,$A$152)))</f>
        <v/>
      </c>
      <c r="AG162" s="199" t="str">
        <f>IF(AG$3="","",IF(COUNTIFS(BD!$A$3:$A$5001,AG$3,BD!$B$3:$B$5001,$A$152,BD!$Z$3:$Z$5001,"&lt;&gt;")=0,"",SUMIFS(BD!$Z$3:$Z$5001,BD!$A$3:$A$5001,AG$3,BD!$B$3:$B$5001,$A$152)))</f>
        <v/>
      </c>
      <c r="AH162" s="199" t="str">
        <f>IF(AH$3="","",IF(COUNTIFS(BD!$A$3:$A$5001,AH$3,BD!$B$3:$B$5001,$A$152,BD!$Z$3:$Z$5001,"&lt;&gt;")=0,"",SUMIFS(BD!$Z$3:$Z$5001,BD!$A$3:$A$5001,AH$3,BD!$B$3:$B$5001,$A$152)))</f>
        <v/>
      </c>
      <c r="AI162" s="199" t="str">
        <f>IF(AI$3="","",IF(COUNTIFS(BD!$A$3:$A$5001,AI$3,BD!$B$3:$B$5001,$A$152,BD!$Z$3:$Z$5001,"&lt;&gt;")=0,"",SUMIFS(BD!$Z$3:$Z$5001,BD!$A$3:$A$5001,AI$3,BD!$B$3:$B$5001,$A$152)))</f>
        <v/>
      </c>
      <c r="AJ162" s="200" t="str">
        <f>IF(AJ$3="","",IF(COUNTIFS(BD!$A$3:$A$5001,AJ$3,BD!$B$3:$B$5001,$A$152,BD!$Z$3:$Z$5001,"&lt;&gt;")=0,"",SUMIFS(BD!$Z$3:$Z$5001,BD!$A$3:$A$5001,AJ$3,BD!$B$3:$B$5001,$A$152)))</f>
        <v/>
      </c>
      <c r="AK162" s="201" t="str">
        <f>IFERROR(LOOKUP(9.99E+307,F162:AJ162),"")</f>
        <v/>
      </c>
    </row>
    <row r="163" ht="15.75" customHeight="1">
      <c r="A163" s="227"/>
      <c r="B163" s="224"/>
      <c r="C163" s="202" t="inlineStr">
        <is>
          <t xml:space="preserve">Falta</t>
        </is>
      </c>
      <c r="D163" s="203" t="str">
        <f>IFERROR(1/(1/INDEX(BD!$AK$48:$AT$48,MATCH($A$152,BD!$AK$22:$AT$22,0))),"")</f>
        <v/>
      </c>
      <c r="E163" s="204"/>
      <c r="F163" s="205" t="str">
        <f>IF(F$3="","",IF(COUNTIFS(BD!$A$3:$A$5001,F$3,BD!$B$3:$B$5001,$A$152,BD!$AA$3:$AA$5001,"&lt;&gt;")=0,"",SUMIFS(BD!$AA$3:$AA$5001,BD!$A$3:$A$5001,F$3,BD!$B$3:$B$5001,$A$152)))</f>
        <v/>
      </c>
      <c r="G163" s="206" t="str">
        <f>IF(G$3="","",IF(COUNTIFS(BD!$A$3:$A$5001,G$3,BD!$B$3:$B$5001,$A$152,BD!$AA$3:$AA$5001,"&lt;&gt;")=0,"",SUMIFS(BD!$AA$3:$AA$5001,BD!$A$3:$A$5001,G$3,BD!$B$3:$B$5001,$A$152)))</f>
        <v/>
      </c>
      <c r="H163" s="206" t="str">
        <f>IF(H$3="","",IF(COUNTIFS(BD!$A$3:$A$5001,H$3,BD!$B$3:$B$5001,$A$152,BD!$AA$3:$AA$5001,"&lt;&gt;")=0,"",SUMIFS(BD!$AA$3:$AA$5001,BD!$A$3:$A$5001,H$3,BD!$B$3:$B$5001,$A$152)))</f>
        <v/>
      </c>
      <c r="I163" s="206" t="str">
        <f>IF(I$3="","",IF(COUNTIFS(BD!$A$3:$A$5001,I$3,BD!$B$3:$B$5001,$A$152,BD!$AA$3:$AA$5001,"&lt;&gt;")=0,"",SUMIFS(BD!$AA$3:$AA$5001,BD!$A$3:$A$5001,I$3,BD!$B$3:$B$5001,$A$152)))</f>
        <v/>
      </c>
      <c r="J163" s="206" t="str">
        <f>IF(J$3="","",IF(COUNTIFS(BD!$A$3:$A$5001,J$3,BD!$B$3:$B$5001,$A$152,BD!$AA$3:$AA$5001,"&lt;&gt;")=0,"",SUMIFS(BD!$AA$3:$AA$5001,BD!$A$3:$A$5001,J$3,BD!$B$3:$B$5001,$A$152)))</f>
        <v/>
      </c>
      <c r="K163" s="206" t="str">
        <f>IF(K$3="","",IF(COUNTIFS(BD!$A$3:$A$5001,K$3,BD!$B$3:$B$5001,$A$152,BD!$AA$3:$AA$5001,"&lt;&gt;")=0,"",SUMIFS(BD!$AA$3:$AA$5001,BD!$A$3:$A$5001,K$3,BD!$B$3:$B$5001,$A$152)))</f>
        <v/>
      </c>
      <c r="L163" s="206" t="str">
        <f>IF(L$3="","",IF(COUNTIFS(BD!$A$3:$A$5001,L$3,BD!$B$3:$B$5001,$A$152,BD!$AA$3:$AA$5001,"&lt;&gt;")=0,"",SUMIFS(BD!$AA$3:$AA$5001,BD!$A$3:$A$5001,L$3,BD!$B$3:$B$5001,$A$152)))</f>
        <v/>
      </c>
      <c r="M163" s="206" t="str">
        <f>IF(M$3="","",IF(COUNTIFS(BD!$A$3:$A$5001,M$3,BD!$B$3:$B$5001,$A$152,BD!$AA$3:$AA$5001,"&lt;&gt;")=0,"",SUMIFS(BD!$AA$3:$AA$5001,BD!$A$3:$A$5001,M$3,BD!$B$3:$B$5001,$A$152)))</f>
        <v/>
      </c>
      <c r="N163" s="206" t="str">
        <f>IF(N$3="","",IF(COUNTIFS(BD!$A$3:$A$5001,N$3,BD!$B$3:$B$5001,$A$152,BD!$AA$3:$AA$5001,"&lt;&gt;")=0,"",SUMIFS(BD!$AA$3:$AA$5001,BD!$A$3:$A$5001,N$3,BD!$B$3:$B$5001,$A$152)))</f>
        <v/>
      </c>
      <c r="O163" s="206" t="str">
        <f>IF(O$3="","",IF(COUNTIFS(BD!$A$3:$A$5001,O$3,BD!$B$3:$B$5001,$A$152,BD!$AA$3:$AA$5001,"&lt;&gt;")=0,"",SUMIFS(BD!$AA$3:$AA$5001,BD!$A$3:$A$5001,O$3,BD!$B$3:$B$5001,$A$152)))</f>
        <v/>
      </c>
      <c r="P163" s="206" t="str">
        <f>IF(P$3="","",IF(COUNTIFS(BD!$A$3:$A$5001,P$3,BD!$B$3:$B$5001,$A$152,BD!$AA$3:$AA$5001,"&lt;&gt;")=0,"",SUMIFS(BD!$AA$3:$AA$5001,BD!$A$3:$A$5001,P$3,BD!$B$3:$B$5001,$A$152)))</f>
        <v/>
      </c>
      <c r="Q163" s="206" t="str">
        <f>IF(Q$3="","",IF(COUNTIFS(BD!$A$3:$A$5001,Q$3,BD!$B$3:$B$5001,$A$152,BD!$AA$3:$AA$5001,"&lt;&gt;")=0,"",SUMIFS(BD!$AA$3:$AA$5001,BD!$A$3:$A$5001,Q$3,BD!$B$3:$B$5001,$A$152)))</f>
        <v/>
      </c>
      <c r="R163" s="206" t="str">
        <f>IF(R$3="","",IF(COUNTIFS(BD!$A$3:$A$5001,R$3,BD!$B$3:$B$5001,$A$152,BD!$AA$3:$AA$5001,"&lt;&gt;")=0,"",SUMIFS(BD!$AA$3:$AA$5001,BD!$A$3:$A$5001,R$3,BD!$B$3:$B$5001,$A$152)))</f>
        <v/>
      </c>
      <c r="S163" s="206" t="str">
        <f>IF(S$3="","",IF(COUNTIFS(BD!$A$3:$A$5001,S$3,BD!$B$3:$B$5001,$A$152,BD!$AA$3:$AA$5001,"&lt;&gt;")=0,"",SUMIFS(BD!$AA$3:$AA$5001,BD!$A$3:$A$5001,S$3,BD!$B$3:$B$5001,$A$152)))</f>
        <v/>
      </c>
      <c r="T163" s="206" t="str">
        <f>IF(T$3="","",IF(COUNTIFS(BD!$A$3:$A$5001,T$3,BD!$B$3:$B$5001,$A$152,BD!$AA$3:$AA$5001,"&lt;&gt;")=0,"",SUMIFS(BD!$AA$3:$AA$5001,BD!$A$3:$A$5001,T$3,BD!$B$3:$B$5001,$A$152)))</f>
        <v/>
      </c>
      <c r="U163" s="206" t="str">
        <f>IF(U$3="","",IF(COUNTIFS(BD!$A$3:$A$5001,U$3,BD!$B$3:$B$5001,$A$152,BD!$AA$3:$AA$5001,"&lt;&gt;")=0,"",SUMIFS(BD!$AA$3:$AA$5001,BD!$A$3:$A$5001,U$3,BD!$B$3:$B$5001,$A$152)))</f>
        <v/>
      </c>
      <c r="V163" s="206" t="str">
        <f>IF(V$3="","",IF(COUNTIFS(BD!$A$3:$A$5001,V$3,BD!$B$3:$B$5001,$A$152,BD!$AA$3:$AA$5001,"&lt;&gt;")=0,"",SUMIFS(BD!$AA$3:$AA$5001,BD!$A$3:$A$5001,V$3,BD!$B$3:$B$5001,$A$152)))</f>
        <v/>
      </c>
      <c r="W163" s="206" t="str">
        <f>IF(W$3="","",IF(COUNTIFS(BD!$A$3:$A$5001,W$3,BD!$B$3:$B$5001,$A$152,BD!$AA$3:$AA$5001,"&lt;&gt;")=0,"",SUMIFS(BD!$AA$3:$AA$5001,BD!$A$3:$A$5001,W$3,BD!$B$3:$B$5001,$A$152)))</f>
        <v/>
      </c>
      <c r="X163" s="206" t="str">
        <f>IF(X$3="","",IF(COUNTIFS(BD!$A$3:$A$5001,X$3,BD!$B$3:$B$5001,$A$152,BD!$AA$3:$AA$5001,"&lt;&gt;")=0,"",SUMIFS(BD!$AA$3:$AA$5001,BD!$A$3:$A$5001,X$3,BD!$B$3:$B$5001,$A$152)))</f>
        <v/>
      </c>
      <c r="Y163" s="206" t="str">
        <f>IF(Y$3="","",IF(COUNTIFS(BD!$A$3:$A$5001,Y$3,BD!$B$3:$B$5001,$A$152,BD!$AA$3:$AA$5001,"&lt;&gt;")=0,"",SUMIFS(BD!$AA$3:$AA$5001,BD!$A$3:$A$5001,Y$3,BD!$B$3:$B$5001,$A$152)))</f>
        <v/>
      </c>
      <c r="Z163" s="206" t="str">
        <f>IF(Z$3="","",IF(COUNTIFS(BD!$A$3:$A$5001,Z$3,BD!$B$3:$B$5001,$A$152,BD!$AA$3:$AA$5001,"&lt;&gt;")=0,"",SUMIFS(BD!$AA$3:$AA$5001,BD!$A$3:$A$5001,Z$3,BD!$B$3:$B$5001,$A$152)))</f>
        <v/>
      </c>
      <c r="AA163" s="206" t="str">
        <f>IF(AA$3="","",IF(COUNTIFS(BD!$A$3:$A$5001,AA$3,BD!$B$3:$B$5001,$A$152,BD!$AA$3:$AA$5001,"&lt;&gt;")=0,"",SUMIFS(BD!$AA$3:$AA$5001,BD!$A$3:$A$5001,AA$3,BD!$B$3:$B$5001,$A$152)))</f>
        <v/>
      </c>
      <c r="AB163" s="206" t="str">
        <f>IF(AB$3="","",IF(COUNTIFS(BD!$A$3:$A$5001,AB$3,BD!$B$3:$B$5001,$A$152,BD!$AA$3:$AA$5001,"&lt;&gt;")=0,"",SUMIFS(BD!$AA$3:$AA$5001,BD!$A$3:$A$5001,AB$3,BD!$B$3:$B$5001,$A$152)))</f>
        <v/>
      </c>
      <c r="AC163" s="206" t="str">
        <f>IF(AC$3="","",IF(COUNTIFS(BD!$A$3:$A$5001,AC$3,BD!$B$3:$B$5001,$A$152,BD!$AA$3:$AA$5001,"&lt;&gt;")=0,"",SUMIFS(BD!$AA$3:$AA$5001,BD!$A$3:$A$5001,AC$3,BD!$B$3:$B$5001,$A$152)))</f>
        <v/>
      </c>
      <c r="AD163" s="206" t="str">
        <f>IF(AD$3="","",IF(COUNTIFS(BD!$A$3:$A$5001,AD$3,BD!$B$3:$B$5001,$A$152,BD!$AA$3:$AA$5001,"&lt;&gt;")=0,"",SUMIFS(BD!$AA$3:$AA$5001,BD!$A$3:$A$5001,AD$3,BD!$B$3:$B$5001,$A$152)))</f>
        <v/>
      </c>
      <c r="AE163" s="206" t="str">
        <f>IF(AE$3="","",IF(COUNTIFS(BD!$A$3:$A$5001,AE$3,BD!$B$3:$B$5001,$A$152,BD!$AA$3:$AA$5001,"&lt;&gt;")=0,"",SUMIFS(BD!$AA$3:$AA$5001,BD!$A$3:$A$5001,AE$3,BD!$B$3:$B$5001,$A$152)))</f>
        <v/>
      </c>
      <c r="AF163" s="206" t="str">
        <f>IF(AF$3="","",IF(COUNTIFS(BD!$A$3:$A$5001,AF$3,BD!$B$3:$B$5001,$A$152,BD!$AA$3:$AA$5001,"&lt;&gt;")=0,"",SUMIFS(BD!$AA$3:$AA$5001,BD!$A$3:$A$5001,AF$3,BD!$B$3:$B$5001,$A$152)))</f>
        <v/>
      </c>
      <c r="AG163" s="206" t="str">
        <f>IF(AG$3="","",IF(COUNTIFS(BD!$A$3:$A$5001,AG$3,BD!$B$3:$B$5001,$A$152,BD!$AA$3:$AA$5001,"&lt;&gt;")=0,"",SUMIFS(BD!$AA$3:$AA$5001,BD!$A$3:$A$5001,AG$3,BD!$B$3:$B$5001,$A$152)))</f>
        <v/>
      </c>
      <c r="AH163" s="206" t="str">
        <f>IF(AH$3="","",IF(COUNTIFS(BD!$A$3:$A$5001,AH$3,BD!$B$3:$B$5001,$A$152,BD!$AA$3:$AA$5001,"&lt;&gt;")=0,"",SUMIFS(BD!$AA$3:$AA$5001,BD!$A$3:$A$5001,AH$3,BD!$B$3:$B$5001,$A$152)))</f>
        <v/>
      </c>
      <c r="AI163" s="206" t="str">
        <f>IF(AI$3="","",IF(COUNTIFS(BD!$A$3:$A$5001,AI$3,BD!$B$3:$B$5001,$A$152,BD!$AA$3:$AA$5001,"&lt;&gt;")=0,"",SUMIFS(BD!$AA$3:$AA$5001,BD!$A$3:$A$5001,AI$3,BD!$B$3:$B$5001,$A$152)))</f>
        <v/>
      </c>
      <c r="AJ163" s="207" t="str">
        <f>IF(AJ$3="","",IF(COUNTIFS(BD!$A$3:$A$5001,AJ$3,BD!$B$3:$B$5001,$A$152,BD!$AA$3:$AA$5001,"&lt;&gt;")=0,"",SUMIFS(BD!$AA$3:$AA$5001,BD!$A$3:$A$5001,AJ$3,BD!$B$3:$B$5001,$A$152)))</f>
        <v/>
      </c>
      <c r="AK163" s="208" t="str">
        <f>IF(COUNT(F163:AJ163)=0,"",SUM(F163:AJ163))</f>
        <v/>
      </c>
    </row>
    <row r="164" ht="15.75" customHeight="1">
      <c r="A164" s="227"/>
      <c r="B164" s="224"/>
      <c r="C164" s="202" t="inlineStr">
        <is>
          <t xml:space="preserve">Folga</t>
        </is>
      </c>
      <c r="D164" s="203" t="str">
        <f>IFERROR(1/(1/INDEX(BD!$AK$49:$AT$49,MATCH($A$152,BD!$AK$22:$AT$22,0))),"")</f>
        <v/>
      </c>
      <c r="E164" s="204"/>
      <c r="F164" s="205" t="str">
        <f>IF(F$3="","",IF(COUNTIFS(BD!$A$3:$A$5001,F$3,BD!$B$3:$B$5001,$A$152,BD!$AB$3:$AB$5001,"&lt;&gt;")=0,"",SUMIFS(BD!$AB$3:$AB$5001,BD!$A$3:$A$5001,F$3,BD!$B$3:$B$5001,$A$152)))</f>
        <v/>
      </c>
      <c r="G164" s="206" t="str">
        <f>IF(G$3="","",IF(COUNTIFS(BD!$A$3:$A$5001,G$3,BD!$B$3:$B$5001,$A$152,BD!$AB$3:$AB$5001,"&lt;&gt;")=0,"",SUMIFS(BD!$AB$3:$AB$5001,BD!$A$3:$A$5001,G$3,BD!$B$3:$B$5001,$A$152)))</f>
        <v/>
      </c>
      <c r="H164" s="206" t="str">
        <f>IF(H$3="","",IF(COUNTIFS(BD!$A$3:$A$5001,H$3,BD!$B$3:$B$5001,$A$152,BD!$AB$3:$AB$5001,"&lt;&gt;")=0,"",SUMIFS(BD!$AB$3:$AB$5001,BD!$A$3:$A$5001,H$3,BD!$B$3:$B$5001,$A$152)))</f>
        <v/>
      </c>
      <c r="I164" s="206" t="str">
        <f>IF(I$3="","",IF(COUNTIFS(BD!$A$3:$A$5001,I$3,BD!$B$3:$B$5001,$A$152,BD!$AB$3:$AB$5001,"&lt;&gt;")=0,"",SUMIFS(BD!$AB$3:$AB$5001,BD!$A$3:$A$5001,I$3,BD!$B$3:$B$5001,$A$152)))</f>
        <v/>
      </c>
      <c r="J164" s="206" t="str">
        <f>IF(J$3="","",IF(COUNTIFS(BD!$A$3:$A$5001,J$3,BD!$B$3:$B$5001,$A$152,BD!$AB$3:$AB$5001,"&lt;&gt;")=0,"",SUMIFS(BD!$AB$3:$AB$5001,BD!$A$3:$A$5001,J$3,BD!$B$3:$B$5001,$A$152)))</f>
        <v/>
      </c>
      <c r="K164" s="206" t="str">
        <f>IF(K$3="","",IF(COUNTIFS(BD!$A$3:$A$5001,K$3,BD!$B$3:$B$5001,$A$152,BD!$AB$3:$AB$5001,"&lt;&gt;")=0,"",SUMIFS(BD!$AB$3:$AB$5001,BD!$A$3:$A$5001,K$3,BD!$B$3:$B$5001,$A$152)))</f>
        <v/>
      </c>
      <c r="L164" s="206" t="str">
        <f>IF(L$3="","",IF(COUNTIFS(BD!$A$3:$A$5001,L$3,BD!$B$3:$B$5001,$A$152,BD!$AB$3:$AB$5001,"&lt;&gt;")=0,"",SUMIFS(BD!$AB$3:$AB$5001,BD!$A$3:$A$5001,L$3,BD!$B$3:$B$5001,$A$152)))</f>
        <v/>
      </c>
      <c r="M164" s="206" t="str">
        <f>IF(M$3="","",IF(COUNTIFS(BD!$A$3:$A$5001,M$3,BD!$B$3:$B$5001,$A$152,BD!$AB$3:$AB$5001,"&lt;&gt;")=0,"",SUMIFS(BD!$AB$3:$AB$5001,BD!$A$3:$A$5001,M$3,BD!$B$3:$B$5001,$A$152)))</f>
        <v/>
      </c>
      <c r="N164" s="206" t="str">
        <f>IF(N$3="","",IF(COUNTIFS(BD!$A$3:$A$5001,N$3,BD!$B$3:$B$5001,$A$152,BD!$AB$3:$AB$5001,"&lt;&gt;")=0,"",SUMIFS(BD!$AB$3:$AB$5001,BD!$A$3:$A$5001,N$3,BD!$B$3:$B$5001,$A$152)))</f>
        <v/>
      </c>
      <c r="O164" s="206" t="str">
        <f>IF(O$3="","",IF(COUNTIFS(BD!$A$3:$A$5001,O$3,BD!$B$3:$B$5001,$A$152,BD!$AB$3:$AB$5001,"&lt;&gt;")=0,"",SUMIFS(BD!$AB$3:$AB$5001,BD!$A$3:$A$5001,O$3,BD!$B$3:$B$5001,$A$152)))</f>
        <v/>
      </c>
      <c r="P164" s="206" t="str">
        <f>IF(P$3="","",IF(COUNTIFS(BD!$A$3:$A$5001,P$3,BD!$B$3:$B$5001,$A$152,BD!$AB$3:$AB$5001,"&lt;&gt;")=0,"",SUMIFS(BD!$AB$3:$AB$5001,BD!$A$3:$A$5001,P$3,BD!$B$3:$B$5001,$A$152)))</f>
        <v/>
      </c>
      <c r="Q164" s="206" t="str">
        <f>IF(Q$3="","",IF(COUNTIFS(BD!$A$3:$A$5001,Q$3,BD!$B$3:$B$5001,$A$152,BD!$AB$3:$AB$5001,"&lt;&gt;")=0,"",SUMIFS(BD!$AB$3:$AB$5001,BD!$A$3:$A$5001,Q$3,BD!$B$3:$B$5001,$A$152)))</f>
        <v/>
      </c>
      <c r="R164" s="206" t="str">
        <f>IF(R$3="","",IF(COUNTIFS(BD!$A$3:$A$5001,R$3,BD!$B$3:$B$5001,$A$152,BD!$AB$3:$AB$5001,"&lt;&gt;")=0,"",SUMIFS(BD!$AB$3:$AB$5001,BD!$A$3:$A$5001,R$3,BD!$B$3:$B$5001,$A$152)))</f>
        <v/>
      </c>
      <c r="S164" s="206" t="str">
        <f>IF(S$3="","",IF(COUNTIFS(BD!$A$3:$A$5001,S$3,BD!$B$3:$B$5001,$A$152,BD!$AB$3:$AB$5001,"&lt;&gt;")=0,"",SUMIFS(BD!$AB$3:$AB$5001,BD!$A$3:$A$5001,S$3,BD!$B$3:$B$5001,$A$152)))</f>
        <v/>
      </c>
      <c r="T164" s="206" t="str">
        <f>IF(T$3="","",IF(COUNTIFS(BD!$A$3:$A$5001,T$3,BD!$B$3:$B$5001,$A$152,BD!$AB$3:$AB$5001,"&lt;&gt;")=0,"",SUMIFS(BD!$AB$3:$AB$5001,BD!$A$3:$A$5001,T$3,BD!$B$3:$B$5001,$A$152)))</f>
        <v/>
      </c>
      <c r="U164" s="206" t="str">
        <f>IF(U$3="","",IF(COUNTIFS(BD!$A$3:$A$5001,U$3,BD!$B$3:$B$5001,$A$152,BD!$AB$3:$AB$5001,"&lt;&gt;")=0,"",SUMIFS(BD!$AB$3:$AB$5001,BD!$A$3:$A$5001,U$3,BD!$B$3:$B$5001,$A$152)))</f>
        <v/>
      </c>
      <c r="V164" s="206" t="str">
        <f>IF(V$3="","",IF(COUNTIFS(BD!$A$3:$A$5001,V$3,BD!$B$3:$B$5001,$A$152,BD!$AB$3:$AB$5001,"&lt;&gt;")=0,"",SUMIFS(BD!$AB$3:$AB$5001,BD!$A$3:$A$5001,V$3,BD!$B$3:$B$5001,$A$152)))</f>
        <v/>
      </c>
      <c r="W164" s="206" t="str">
        <f>IF(W$3="","",IF(COUNTIFS(BD!$A$3:$A$5001,W$3,BD!$B$3:$B$5001,$A$152,BD!$AB$3:$AB$5001,"&lt;&gt;")=0,"",SUMIFS(BD!$AB$3:$AB$5001,BD!$A$3:$A$5001,W$3,BD!$B$3:$B$5001,$A$152)))</f>
        <v/>
      </c>
      <c r="X164" s="206" t="str">
        <f>IF(X$3="","",IF(COUNTIFS(BD!$A$3:$A$5001,X$3,BD!$B$3:$B$5001,$A$152,BD!$AB$3:$AB$5001,"&lt;&gt;")=0,"",SUMIFS(BD!$AB$3:$AB$5001,BD!$A$3:$A$5001,X$3,BD!$B$3:$B$5001,$A$152)))</f>
        <v/>
      </c>
      <c r="Y164" s="206" t="str">
        <f>IF(Y$3="","",IF(COUNTIFS(BD!$A$3:$A$5001,Y$3,BD!$B$3:$B$5001,$A$152,BD!$AB$3:$AB$5001,"&lt;&gt;")=0,"",SUMIFS(BD!$AB$3:$AB$5001,BD!$A$3:$A$5001,Y$3,BD!$B$3:$B$5001,$A$152)))</f>
        <v/>
      </c>
      <c r="Z164" s="206" t="str">
        <f>IF(Z$3="","",IF(COUNTIFS(BD!$A$3:$A$5001,Z$3,BD!$B$3:$B$5001,$A$152,BD!$AB$3:$AB$5001,"&lt;&gt;")=0,"",SUMIFS(BD!$AB$3:$AB$5001,BD!$A$3:$A$5001,Z$3,BD!$B$3:$B$5001,$A$152)))</f>
        <v/>
      </c>
      <c r="AA164" s="206" t="str">
        <f>IF(AA$3="","",IF(COUNTIFS(BD!$A$3:$A$5001,AA$3,BD!$B$3:$B$5001,$A$152,BD!$AB$3:$AB$5001,"&lt;&gt;")=0,"",SUMIFS(BD!$AB$3:$AB$5001,BD!$A$3:$A$5001,AA$3,BD!$B$3:$B$5001,$A$152)))</f>
        <v/>
      </c>
      <c r="AB164" s="206" t="str">
        <f>IF(AB$3="","",IF(COUNTIFS(BD!$A$3:$A$5001,AB$3,BD!$B$3:$B$5001,$A$152,BD!$AB$3:$AB$5001,"&lt;&gt;")=0,"",SUMIFS(BD!$AB$3:$AB$5001,BD!$A$3:$A$5001,AB$3,BD!$B$3:$B$5001,$A$152)))</f>
        <v/>
      </c>
      <c r="AC164" s="206" t="str">
        <f>IF(AC$3="","",IF(COUNTIFS(BD!$A$3:$A$5001,AC$3,BD!$B$3:$B$5001,$A$152,BD!$AB$3:$AB$5001,"&lt;&gt;")=0,"",SUMIFS(BD!$AB$3:$AB$5001,BD!$A$3:$A$5001,AC$3,BD!$B$3:$B$5001,$A$152)))</f>
        <v/>
      </c>
      <c r="AD164" s="206" t="str">
        <f>IF(AD$3="","",IF(COUNTIFS(BD!$A$3:$A$5001,AD$3,BD!$B$3:$B$5001,$A$152,BD!$AB$3:$AB$5001,"&lt;&gt;")=0,"",SUMIFS(BD!$AB$3:$AB$5001,BD!$A$3:$A$5001,AD$3,BD!$B$3:$B$5001,$A$152)))</f>
        <v/>
      </c>
      <c r="AE164" s="206" t="str">
        <f>IF(AE$3="","",IF(COUNTIFS(BD!$A$3:$A$5001,AE$3,BD!$B$3:$B$5001,$A$152,BD!$AB$3:$AB$5001,"&lt;&gt;")=0,"",SUMIFS(BD!$AB$3:$AB$5001,BD!$A$3:$A$5001,AE$3,BD!$B$3:$B$5001,$A$152)))</f>
        <v/>
      </c>
      <c r="AF164" s="206" t="str">
        <f>IF(AF$3="","",IF(COUNTIFS(BD!$A$3:$A$5001,AF$3,BD!$B$3:$B$5001,$A$152,BD!$AB$3:$AB$5001,"&lt;&gt;")=0,"",SUMIFS(BD!$AB$3:$AB$5001,BD!$A$3:$A$5001,AF$3,BD!$B$3:$B$5001,$A$152)))</f>
        <v/>
      </c>
      <c r="AG164" s="206" t="str">
        <f>IF(AG$3="","",IF(COUNTIFS(BD!$A$3:$A$5001,AG$3,BD!$B$3:$B$5001,$A$152,BD!$AB$3:$AB$5001,"&lt;&gt;")=0,"",SUMIFS(BD!$AB$3:$AB$5001,BD!$A$3:$A$5001,AG$3,BD!$B$3:$B$5001,$A$152)))</f>
        <v/>
      </c>
      <c r="AH164" s="206" t="str">
        <f>IF(AH$3="","",IF(COUNTIFS(BD!$A$3:$A$5001,AH$3,BD!$B$3:$B$5001,$A$152,BD!$AB$3:$AB$5001,"&lt;&gt;")=0,"",SUMIFS(BD!$AB$3:$AB$5001,BD!$A$3:$A$5001,AH$3,BD!$B$3:$B$5001,$A$152)))</f>
        <v/>
      </c>
      <c r="AI164" s="206" t="str">
        <f>IF(AI$3="","",IF(COUNTIFS(BD!$A$3:$A$5001,AI$3,BD!$B$3:$B$5001,$A$152,BD!$AB$3:$AB$5001,"&lt;&gt;")=0,"",SUMIFS(BD!$AB$3:$AB$5001,BD!$A$3:$A$5001,AI$3,BD!$B$3:$B$5001,$A$152)))</f>
        <v/>
      </c>
      <c r="AJ164" s="207" t="str">
        <f>IF(AJ$3="","",IF(COUNTIFS(BD!$A$3:$A$5001,AJ$3,BD!$B$3:$B$5001,$A$152,BD!$AB$3:$AB$5001,"&lt;&gt;")=0,"",SUMIFS(BD!$AB$3:$AB$5001,BD!$A$3:$A$5001,AJ$3,BD!$B$3:$B$5001,$A$152)))</f>
        <v/>
      </c>
      <c r="AK164" s="208" t="str">
        <f>IF(COUNT(F164:AJ164)=0,"",SUM(F164:AJ164))</f>
        <v/>
      </c>
    </row>
    <row r="165" ht="15.75" customHeight="1">
      <c r="A165" s="227"/>
      <c r="B165" s="224"/>
      <c r="C165" s="202" t="inlineStr">
        <is>
          <t xml:space="preserve">Férias</t>
        </is>
      </c>
      <c r="D165" s="203" t="str">
        <f>IFERROR(1/(1/INDEX(BD!$AK$50:$AT$50,MATCH($A$152,BD!$AK$22:$AT$22,0))),"")</f>
        <v/>
      </c>
      <c r="E165" s="204"/>
      <c r="F165" s="205" t="str">
        <f>IF(F$3="","",IF(COUNTIFS(BD!$A$3:$A$5001,F$3,BD!$B$3:$B$5001,$A$152,BD!$AC$3:$AC$5001,"&lt;&gt;")=0,"",SUMIFS(BD!$AC$3:$AC$5001,BD!$A$3:$A$5001,F$3,BD!$B$3:$B$5001,$A$152)))</f>
        <v/>
      </c>
      <c r="G165" s="206" t="str">
        <f>IF(G$3="","",IF(COUNTIFS(BD!$A$3:$A$5001,G$3,BD!$B$3:$B$5001,$A$152,BD!$AC$3:$AC$5001,"&lt;&gt;")=0,"",SUMIFS(BD!$AC$3:$AC$5001,BD!$A$3:$A$5001,G$3,BD!$B$3:$B$5001,$A$152)))</f>
        <v/>
      </c>
      <c r="H165" s="206" t="str">
        <f>IF(H$3="","",IF(COUNTIFS(BD!$A$3:$A$5001,H$3,BD!$B$3:$B$5001,$A$152,BD!$AC$3:$AC$5001,"&lt;&gt;")=0,"",SUMIFS(BD!$AC$3:$AC$5001,BD!$A$3:$A$5001,H$3,BD!$B$3:$B$5001,$A$152)))</f>
        <v/>
      </c>
      <c r="I165" s="206" t="str">
        <f>IF(I$3="","",IF(COUNTIFS(BD!$A$3:$A$5001,I$3,BD!$B$3:$B$5001,$A$152,BD!$AC$3:$AC$5001,"&lt;&gt;")=0,"",SUMIFS(BD!$AC$3:$AC$5001,BD!$A$3:$A$5001,I$3,BD!$B$3:$B$5001,$A$152)))</f>
        <v/>
      </c>
      <c r="J165" s="206" t="str">
        <f>IF(J$3="","",IF(COUNTIFS(BD!$A$3:$A$5001,J$3,BD!$B$3:$B$5001,$A$152,BD!$AC$3:$AC$5001,"&lt;&gt;")=0,"",SUMIFS(BD!$AC$3:$AC$5001,BD!$A$3:$A$5001,J$3,BD!$B$3:$B$5001,$A$152)))</f>
        <v/>
      </c>
      <c r="K165" s="206" t="str">
        <f>IF(K$3="","",IF(COUNTIFS(BD!$A$3:$A$5001,K$3,BD!$B$3:$B$5001,$A$152,BD!$AC$3:$AC$5001,"&lt;&gt;")=0,"",SUMIFS(BD!$AC$3:$AC$5001,BD!$A$3:$A$5001,K$3,BD!$B$3:$B$5001,$A$152)))</f>
        <v/>
      </c>
      <c r="L165" s="206" t="str">
        <f>IF(L$3="","",IF(COUNTIFS(BD!$A$3:$A$5001,L$3,BD!$B$3:$B$5001,$A$152,BD!$AC$3:$AC$5001,"&lt;&gt;")=0,"",SUMIFS(BD!$AC$3:$AC$5001,BD!$A$3:$A$5001,L$3,BD!$B$3:$B$5001,$A$152)))</f>
        <v/>
      </c>
      <c r="M165" s="206" t="str">
        <f>IF(M$3="","",IF(COUNTIFS(BD!$A$3:$A$5001,M$3,BD!$B$3:$B$5001,$A$152,BD!$AC$3:$AC$5001,"&lt;&gt;")=0,"",SUMIFS(BD!$AC$3:$AC$5001,BD!$A$3:$A$5001,M$3,BD!$B$3:$B$5001,$A$152)))</f>
        <v/>
      </c>
      <c r="N165" s="206" t="str">
        <f>IF(N$3="","",IF(COUNTIFS(BD!$A$3:$A$5001,N$3,BD!$B$3:$B$5001,$A$152,BD!$AC$3:$AC$5001,"&lt;&gt;")=0,"",SUMIFS(BD!$AC$3:$AC$5001,BD!$A$3:$A$5001,N$3,BD!$B$3:$B$5001,$A$152)))</f>
        <v/>
      </c>
      <c r="O165" s="206" t="str">
        <f>IF(O$3="","",IF(COUNTIFS(BD!$A$3:$A$5001,O$3,BD!$B$3:$B$5001,$A$152,BD!$AC$3:$AC$5001,"&lt;&gt;")=0,"",SUMIFS(BD!$AC$3:$AC$5001,BD!$A$3:$A$5001,O$3,BD!$B$3:$B$5001,$A$152)))</f>
        <v/>
      </c>
      <c r="P165" s="206" t="str">
        <f>IF(P$3="","",IF(COUNTIFS(BD!$A$3:$A$5001,P$3,BD!$B$3:$B$5001,$A$152,BD!$AC$3:$AC$5001,"&lt;&gt;")=0,"",SUMIFS(BD!$AC$3:$AC$5001,BD!$A$3:$A$5001,P$3,BD!$B$3:$B$5001,$A$152)))</f>
        <v/>
      </c>
      <c r="Q165" s="206" t="str">
        <f>IF(Q$3="","",IF(COUNTIFS(BD!$A$3:$A$5001,Q$3,BD!$B$3:$B$5001,$A$152,BD!$AC$3:$AC$5001,"&lt;&gt;")=0,"",SUMIFS(BD!$AC$3:$AC$5001,BD!$A$3:$A$5001,Q$3,BD!$B$3:$B$5001,$A$152)))</f>
        <v/>
      </c>
      <c r="R165" s="206" t="str">
        <f>IF(R$3="","",IF(COUNTIFS(BD!$A$3:$A$5001,R$3,BD!$B$3:$B$5001,$A$152,BD!$AC$3:$AC$5001,"&lt;&gt;")=0,"",SUMIFS(BD!$AC$3:$AC$5001,BD!$A$3:$A$5001,R$3,BD!$B$3:$B$5001,$A$152)))</f>
        <v/>
      </c>
      <c r="S165" s="206" t="str">
        <f>IF(S$3="","",IF(COUNTIFS(BD!$A$3:$A$5001,S$3,BD!$B$3:$B$5001,$A$152,BD!$AC$3:$AC$5001,"&lt;&gt;")=0,"",SUMIFS(BD!$AC$3:$AC$5001,BD!$A$3:$A$5001,S$3,BD!$B$3:$B$5001,$A$152)))</f>
        <v/>
      </c>
      <c r="T165" s="206" t="str">
        <f>IF(T$3="","",IF(COUNTIFS(BD!$A$3:$A$5001,T$3,BD!$B$3:$B$5001,$A$152,BD!$AC$3:$AC$5001,"&lt;&gt;")=0,"",SUMIFS(BD!$AC$3:$AC$5001,BD!$A$3:$A$5001,T$3,BD!$B$3:$B$5001,$A$152)))</f>
        <v/>
      </c>
      <c r="U165" s="206" t="str">
        <f>IF(U$3="","",IF(COUNTIFS(BD!$A$3:$A$5001,U$3,BD!$B$3:$B$5001,$A$152,BD!$AC$3:$AC$5001,"&lt;&gt;")=0,"",SUMIFS(BD!$AC$3:$AC$5001,BD!$A$3:$A$5001,U$3,BD!$B$3:$B$5001,$A$152)))</f>
        <v/>
      </c>
      <c r="V165" s="206" t="str">
        <f>IF(V$3="","",IF(COUNTIFS(BD!$A$3:$A$5001,V$3,BD!$B$3:$B$5001,$A$152,BD!$AC$3:$AC$5001,"&lt;&gt;")=0,"",SUMIFS(BD!$AC$3:$AC$5001,BD!$A$3:$A$5001,V$3,BD!$B$3:$B$5001,$A$152)))</f>
        <v/>
      </c>
      <c r="W165" s="206" t="str">
        <f>IF(W$3="","",IF(COUNTIFS(BD!$A$3:$A$5001,W$3,BD!$B$3:$B$5001,$A$152,BD!$AC$3:$AC$5001,"&lt;&gt;")=0,"",SUMIFS(BD!$AC$3:$AC$5001,BD!$A$3:$A$5001,W$3,BD!$B$3:$B$5001,$A$152)))</f>
        <v/>
      </c>
      <c r="X165" s="206" t="str">
        <f>IF(X$3="","",IF(COUNTIFS(BD!$A$3:$A$5001,X$3,BD!$B$3:$B$5001,$A$152,BD!$AC$3:$AC$5001,"&lt;&gt;")=0,"",SUMIFS(BD!$AC$3:$AC$5001,BD!$A$3:$A$5001,X$3,BD!$B$3:$B$5001,$A$152)))</f>
        <v/>
      </c>
      <c r="Y165" s="206" t="str">
        <f>IF(Y$3="","",IF(COUNTIFS(BD!$A$3:$A$5001,Y$3,BD!$B$3:$B$5001,$A$152,BD!$AC$3:$AC$5001,"&lt;&gt;")=0,"",SUMIFS(BD!$AC$3:$AC$5001,BD!$A$3:$A$5001,Y$3,BD!$B$3:$B$5001,$A$152)))</f>
        <v/>
      </c>
      <c r="Z165" s="206" t="str">
        <f>IF(Z$3="","",IF(COUNTIFS(BD!$A$3:$A$5001,Z$3,BD!$B$3:$B$5001,$A$152,BD!$AC$3:$AC$5001,"&lt;&gt;")=0,"",SUMIFS(BD!$AC$3:$AC$5001,BD!$A$3:$A$5001,Z$3,BD!$B$3:$B$5001,$A$152)))</f>
        <v/>
      </c>
      <c r="AA165" s="206" t="str">
        <f>IF(AA$3="","",IF(COUNTIFS(BD!$A$3:$A$5001,AA$3,BD!$B$3:$B$5001,$A$152,BD!$AC$3:$AC$5001,"&lt;&gt;")=0,"",SUMIFS(BD!$AC$3:$AC$5001,BD!$A$3:$A$5001,AA$3,BD!$B$3:$B$5001,$A$152)))</f>
        <v/>
      </c>
      <c r="AB165" s="206" t="str">
        <f>IF(AB$3="","",IF(COUNTIFS(BD!$A$3:$A$5001,AB$3,BD!$B$3:$B$5001,$A$152,BD!$AC$3:$AC$5001,"&lt;&gt;")=0,"",SUMIFS(BD!$AC$3:$AC$5001,BD!$A$3:$A$5001,AB$3,BD!$B$3:$B$5001,$A$152)))</f>
        <v/>
      </c>
      <c r="AC165" s="206" t="str">
        <f>IF(AC$3="","",IF(COUNTIFS(BD!$A$3:$A$5001,AC$3,BD!$B$3:$B$5001,$A$152,BD!$AC$3:$AC$5001,"&lt;&gt;")=0,"",SUMIFS(BD!$AC$3:$AC$5001,BD!$A$3:$A$5001,AC$3,BD!$B$3:$B$5001,$A$152)))</f>
        <v/>
      </c>
      <c r="AD165" s="206" t="str">
        <f>IF(AD$3="","",IF(COUNTIFS(BD!$A$3:$A$5001,AD$3,BD!$B$3:$B$5001,$A$152,BD!$AC$3:$AC$5001,"&lt;&gt;")=0,"",SUMIFS(BD!$AC$3:$AC$5001,BD!$A$3:$A$5001,AD$3,BD!$B$3:$B$5001,$A$152)))</f>
        <v/>
      </c>
      <c r="AE165" s="206" t="str">
        <f>IF(AE$3="","",IF(COUNTIFS(BD!$A$3:$A$5001,AE$3,BD!$B$3:$B$5001,$A$152,BD!$AC$3:$AC$5001,"&lt;&gt;")=0,"",SUMIFS(BD!$AC$3:$AC$5001,BD!$A$3:$A$5001,AE$3,BD!$B$3:$B$5001,$A$152)))</f>
        <v/>
      </c>
      <c r="AF165" s="206" t="str">
        <f>IF(AF$3="","",IF(COUNTIFS(BD!$A$3:$A$5001,AF$3,BD!$B$3:$B$5001,$A$152,BD!$AC$3:$AC$5001,"&lt;&gt;")=0,"",SUMIFS(BD!$AC$3:$AC$5001,BD!$A$3:$A$5001,AF$3,BD!$B$3:$B$5001,$A$152)))</f>
        <v/>
      </c>
      <c r="AG165" s="206" t="str">
        <f>IF(AG$3="","",IF(COUNTIFS(BD!$A$3:$A$5001,AG$3,BD!$B$3:$B$5001,$A$152,BD!$AC$3:$AC$5001,"&lt;&gt;")=0,"",SUMIFS(BD!$AC$3:$AC$5001,BD!$A$3:$A$5001,AG$3,BD!$B$3:$B$5001,$A$152)))</f>
        <v/>
      </c>
      <c r="AH165" s="206" t="str">
        <f>IF(AH$3="","",IF(COUNTIFS(BD!$A$3:$A$5001,AH$3,BD!$B$3:$B$5001,$A$152,BD!$AC$3:$AC$5001,"&lt;&gt;")=0,"",SUMIFS(BD!$AC$3:$AC$5001,BD!$A$3:$A$5001,AH$3,BD!$B$3:$B$5001,$A$152)))</f>
        <v/>
      </c>
      <c r="AI165" s="206" t="str">
        <f>IF(AI$3="","",IF(COUNTIFS(BD!$A$3:$A$5001,AI$3,BD!$B$3:$B$5001,$A$152,BD!$AC$3:$AC$5001,"&lt;&gt;")=0,"",SUMIFS(BD!$AC$3:$AC$5001,BD!$A$3:$A$5001,AI$3,BD!$B$3:$B$5001,$A$152)))</f>
        <v/>
      </c>
      <c r="AJ165" s="207" t="str">
        <f>IF(AJ$3="","",IF(COUNTIFS(BD!$A$3:$A$5001,AJ$3,BD!$B$3:$B$5001,$A$152,BD!$AC$3:$AC$5001,"&lt;&gt;")=0,"",SUMIFS(BD!$AC$3:$AC$5001,BD!$A$3:$A$5001,AJ$3,BD!$B$3:$B$5001,$A$152)))</f>
        <v/>
      </c>
      <c r="AK165" s="208" t="str">
        <f>IF(COUNT(F165:AJ165)=0,"",SUM(F165:AJ165))</f>
        <v/>
      </c>
    </row>
    <row r="166" ht="15.75" customHeight="1">
      <c r="A166" s="227"/>
      <c r="B166" s="224"/>
      <c r="C166" s="202" t="inlineStr">
        <is>
          <t xml:space="preserve">Desligamento</t>
        </is>
      </c>
      <c r="D166" s="203" t="str">
        <f>IFERROR(1/(1/INDEX(BD!$AK$51:$AT$51,MATCH($A$152,BD!$AK$22:$AT$22,0))),"")</f>
        <v/>
      </c>
      <c r="E166" s="204"/>
      <c r="F166" s="205" t="str">
        <f>IF(F$3="","",IF(COUNTIFS(BD!$A$3:$A$5001,F$3,BD!$B$3:$B$5001,$A$152,BD!$AD$3:$AD$5001,"&lt;&gt;")=0,"",SUMIFS(BD!$AD$3:$AD$5001,BD!$A$3:$A$5001,F$3,BD!$B$3:$B$5001,$A$152)))</f>
        <v/>
      </c>
      <c r="G166" s="206" t="str">
        <f>IF(G$3="","",IF(COUNTIFS(BD!$A$3:$A$5001,G$3,BD!$B$3:$B$5001,$A$152,BD!$AD$3:$AD$5001,"&lt;&gt;")=0,"",SUMIFS(BD!$AD$3:$AD$5001,BD!$A$3:$A$5001,G$3,BD!$B$3:$B$5001,$A$152)))</f>
        <v/>
      </c>
      <c r="H166" s="206" t="str">
        <f>IF(H$3="","",IF(COUNTIFS(BD!$A$3:$A$5001,H$3,BD!$B$3:$B$5001,$A$152,BD!$AD$3:$AD$5001,"&lt;&gt;")=0,"",SUMIFS(BD!$AD$3:$AD$5001,BD!$A$3:$A$5001,H$3,BD!$B$3:$B$5001,$A$152)))</f>
        <v/>
      </c>
      <c r="I166" s="206" t="str">
        <f>IF(I$3="","",IF(COUNTIFS(BD!$A$3:$A$5001,I$3,BD!$B$3:$B$5001,$A$152,BD!$AD$3:$AD$5001,"&lt;&gt;")=0,"",SUMIFS(BD!$AD$3:$AD$5001,BD!$A$3:$A$5001,I$3,BD!$B$3:$B$5001,$A$152)))</f>
        <v/>
      </c>
      <c r="J166" s="206" t="str">
        <f>IF(J$3="","",IF(COUNTIFS(BD!$A$3:$A$5001,J$3,BD!$B$3:$B$5001,$A$152,BD!$AD$3:$AD$5001,"&lt;&gt;")=0,"",SUMIFS(BD!$AD$3:$AD$5001,BD!$A$3:$A$5001,J$3,BD!$B$3:$B$5001,$A$152)))</f>
        <v/>
      </c>
      <c r="K166" s="206" t="str">
        <f>IF(K$3="","",IF(COUNTIFS(BD!$A$3:$A$5001,K$3,BD!$B$3:$B$5001,$A$152,BD!$AD$3:$AD$5001,"&lt;&gt;")=0,"",SUMIFS(BD!$AD$3:$AD$5001,BD!$A$3:$A$5001,K$3,BD!$B$3:$B$5001,$A$152)))</f>
        <v/>
      </c>
      <c r="L166" s="206" t="str">
        <f>IF(L$3="","",IF(COUNTIFS(BD!$A$3:$A$5001,L$3,BD!$B$3:$B$5001,$A$152,BD!$AD$3:$AD$5001,"&lt;&gt;")=0,"",SUMIFS(BD!$AD$3:$AD$5001,BD!$A$3:$A$5001,L$3,BD!$B$3:$B$5001,$A$152)))</f>
        <v/>
      </c>
      <c r="M166" s="206" t="str">
        <f>IF(M$3="","",IF(COUNTIFS(BD!$A$3:$A$5001,M$3,BD!$B$3:$B$5001,$A$152,BD!$AD$3:$AD$5001,"&lt;&gt;")=0,"",SUMIFS(BD!$AD$3:$AD$5001,BD!$A$3:$A$5001,M$3,BD!$B$3:$B$5001,$A$152)))</f>
        <v/>
      </c>
      <c r="N166" s="206" t="str">
        <f>IF(N$3="","",IF(COUNTIFS(BD!$A$3:$A$5001,N$3,BD!$B$3:$B$5001,$A$152,BD!$AD$3:$AD$5001,"&lt;&gt;")=0,"",SUMIFS(BD!$AD$3:$AD$5001,BD!$A$3:$A$5001,N$3,BD!$B$3:$B$5001,$A$152)))</f>
        <v/>
      </c>
      <c r="O166" s="206" t="str">
        <f>IF(O$3="","",IF(COUNTIFS(BD!$A$3:$A$5001,O$3,BD!$B$3:$B$5001,$A$152,BD!$AD$3:$AD$5001,"&lt;&gt;")=0,"",SUMIFS(BD!$AD$3:$AD$5001,BD!$A$3:$A$5001,O$3,BD!$B$3:$B$5001,$A$152)))</f>
        <v/>
      </c>
      <c r="P166" s="206" t="str">
        <f>IF(P$3="","",IF(COUNTIFS(BD!$A$3:$A$5001,P$3,BD!$B$3:$B$5001,$A$152,BD!$AD$3:$AD$5001,"&lt;&gt;")=0,"",SUMIFS(BD!$AD$3:$AD$5001,BD!$A$3:$A$5001,P$3,BD!$B$3:$B$5001,$A$152)))</f>
        <v/>
      </c>
      <c r="Q166" s="206" t="str">
        <f>IF(Q$3="","",IF(COUNTIFS(BD!$A$3:$A$5001,Q$3,BD!$B$3:$B$5001,$A$152,BD!$AD$3:$AD$5001,"&lt;&gt;")=0,"",SUMIFS(BD!$AD$3:$AD$5001,BD!$A$3:$A$5001,Q$3,BD!$B$3:$B$5001,$A$152)))</f>
        <v/>
      </c>
      <c r="R166" s="206" t="str">
        <f>IF(R$3="","",IF(COUNTIFS(BD!$A$3:$A$5001,R$3,BD!$B$3:$B$5001,$A$152,BD!$AD$3:$AD$5001,"&lt;&gt;")=0,"",SUMIFS(BD!$AD$3:$AD$5001,BD!$A$3:$A$5001,R$3,BD!$B$3:$B$5001,$A$152)))</f>
        <v/>
      </c>
      <c r="S166" s="206" t="str">
        <f>IF(S$3="","",IF(COUNTIFS(BD!$A$3:$A$5001,S$3,BD!$B$3:$B$5001,$A$152,BD!$AD$3:$AD$5001,"&lt;&gt;")=0,"",SUMIFS(BD!$AD$3:$AD$5001,BD!$A$3:$A$5001,S$3,BD!$B$3:$B$5001,$A$152)))</f>
        <v/>
      </c>
      <c r="T166" s="206" t="str">
        <f>IF(T$3="","",IF(COUNTIFS(BD!$A$3:$A$5001,T$3,BD!$B$3:$B$5001,$A$152,BD!$AD$3:$AD$5001,"&lt;&gt;")=0,"",SUMIFS(BD!$AD$3:$AD$5001,BD!$A$3:$A$5001,T$3,BD!$B$3:$B$5001,$A$152)))</f>
        <v/>
      </c>
      <c r="U166" s="206" t="str">
        <f>IF(U$3="","",IF(COUNTIFS(BD!$A$3:$A$5001,U$3,BD!$B$3:$B$5001,$A$152,BD!$AD$3:$AD$5001,"&lt;&gt;")=0,"",SUMIFS(BD!$AD$3:$AD$5001,BD!$A$3:$A$5001,U$3,BD!$B$3:$B$5001,$A$152)))</f>
        <v/>
      </c>
      <c r="V166" s="206" t="str">
        <f>IF(V$3="","",IF(COUNTIFS(BD!$A$3:$A$5001,V$3,BD!$B$3:$B$5001,$A$152,BD!$AD$3:$AD$5001,"&lt;&gt;")=0,"",SUMIFS(BD!$AD$3:$AD$5001,BD!$A$3:$A$5001,V$3,BD!$B$3:$B$5001,$A$152)))</f>
        <v/>
      </c>
      <c r="W166" s="206" t="str">
        <f>IF(W$3="","",IF(COUNTIFS(BD!$A$3:$A$5001,W$3,BD!$B$3:$B$5001,$A$152,BD!$AD$3:$AD$5001,"&lt;&gt;")=0,"",SUMIFS(BD!$AD$3:$AD$5001,BD!$A$3:$A$5001,W$3,BD!$B$3:$B$5001,$A$152)))</f>
        <v/>
      </c>
      <c r="X166" s="206" t="str">
        <f>IF(X$3="","",IF(COUNTIFS(BD!$A$3:$A$5001,X$3,BD!$B$3:$B$5001,$A$152,BD!$AD$3:$AD$5001,"&lt;&gt;")=0,"",SUMIFS(BD!$AD$3:$AD$5001,BD!$A$3:$A$5001,X$3,BD!$B$3:$B$5001,$A$152)))</f>
        <v/>
      </c>
      <c r="Y166" s="206" t="str">
        <f>IF(Y$3="","",IF(COUNTIFS(BD!$A$3:$A$5001,Y$3,BD!$B$3:$B$5001,$A$152,BD!$AD$3:$AD$5001,"&lt;&gt;")=0,"",SUMIFS(BD!$AD$3:$AD$5001,BD!$A$3:$A$5001,Y$3,BD!$B$3:$B$5001,$A$152)))</f>
        <v/>
      </c>
      <c r="Z166" s="206" t="str">
        <f>IF(Z$3="","",IF(COUNTIFS(BD!$A$3:$A$5001,Z$3,BD!$B$3:$B$5001,$A$152,BD!$AD$3:$AD$5001,"&lt;&gt;")=0,"",SUMIFS(BD!$AD$3:$AD$5001,BD!$A$3:$A$5001,Z$3,BD!$B$3:$B$5001,$A$152)))</f>
        <v/>
      </c>
      <c r="AA166" s="206" t="str">
        <f>IF(AA$3="","",IF(COUNTIFS(BD!$A$3:$A$5001,AA$3,BD!$B$3:$B$5001,$A$152,BD!$AD$3:$AD$5001,"&lt;&gt;")=0,"",SUMIFS(BD!$AD$3:$AD$5001,BD!$A$3:$A$5001,AA$3,BD!$B$3:$B$5001,$A$152)))</f>
        <v/>
      </c>
      <c r="AB166" s="206" t="str">
        <f>IF(AB$3="","",IF(COUNTIFS(BD!$A$3:$A$5001,AB$3,BD!$B$3:$B$5001,$A$152,BD!$AD$3:$AD$5001,"&lt;&gt;")=0,"",SUMIFS(BD!$AD$3:$AD$5001,BD!$A$3:$A$5001,AB$3,BD!$B$3:$B$5001,$A$152)))</f>
        <v/>
      </c>
      <c r="AC166" s="206" t="str">
        <f>IF(AC$3="","",IF(COUNTIFS(BD!$A$3:$A$5001,AC$3,BD!$B$3:$B$5001,$A$152,BD!$AD$3:$AD$5001,"&lt;&gt;")=0,"",SUMIFS(BD!$AD$3:$AD$5001,BD!$A$3:$A$5001,AC$3,BD!$B$3:$B$5001,$A$152)))</f>
        <v/>
      </c>
      <c r="AD166" s="206" t="str">
        <f>IF(AD$3="","",IF(COUNTIFS(BD!$A$3:$A$5001,AD$3,BD!$B$3:$B$5001,$A$152,BD!$AD$3:$AD$5001,"&lt;&gt;")=0,"",SUMIFS(BD!$AD$3:$AD$5001,BD!$A$3:$A$5001,AD$3,BD!$B$3:$B$5001,$A$152)))</f>
        <v/>
      </c>
      <c r="AE166" s="206" t="str">
        <f>IF(AE$3="","",IF(COUNTIFS(BD!$A$3:$A$5001,AE$3,BD!$B$3:$B$5001,$A$152,BD!$AD$3:$AD$5001,"&lt;&gt;")=0,"",SUMIFS(BD!$AD$3:$AD$5001,BD!$A$3:$A$5001,AE$3,BD!$B$3:$B$5001,$A$152)))</f>
        <v/>
      </c>
      <c r="AF166" s="206" t="str">
        <f>IF(AF$3="","",IF(COUNTIFS(BD!$A$3:$A$5001,AF$3,BD!$B$3:$B$5001,$A$152,BD!$AD$3:$AD$5001,"&lt;&gt;")=0,"",SUMIFS(BD!$AD$3:$AD$5001,BD!$A$3:$A$5001,AF$3,BD!$B$3:$B$5001,$A$152)))</f>
        <v/>
      </c>
      <c r="AG166" s="206" t="str">
        <f>IF(AG$3="","",IF(COUNTIFS(BD!$A$3:$A$5001,AG$3,BD!$B$3:$B$5001,$A$152,BD!$AD$3:$AD$5001,"&lt;&gt;")=0,"",SUMIFS(BD!$AD$3:$AD$5001,BD!$A$3:$A$5001,AG$3,BD!$B$3:$B$5001,$A$152)))</f>
        <v/>
      </c>
      <c r="AH166" s="206" t="str">
        <f>IF(AH$3="","",IF(COUNTIFS(BD!$A$3:$A$5001,AH$3,BD!$B$3:$B$5001,$A$152,BD!$AD$3:$AD$5001,"&lt;&gt;")=0,"",SUMIFS(BD!$AD$3:$AD$5001,BD!$A$3:$A$5001,AH$3,BD!$B$3:$B$5001,$A$152)))</f>
        <v/>
      </c>
      <c r="AI166" s="206" t="str">
        <f>IF(AI$3="","",IF(COUNTIFS(BD!$A$3:$A$5001,AI$3,BD!$B$3:$B$5001,$A$152,BD!$AD$3:$AD$5001,"&lt;&gt;")=0,"",SUMIFS(BD!$AD$3:$AD$5001,BD!$A$3:$A$5001,AI$3,BD!$B$3:$B$5001,$A$152)))</f>
        <v/>
      </c>
      <c r="AJ166" s="207" t="str">
        <f>IF(AJ$3="","",IF(COUNTIFS(BD!$A$3:$A$5001,AJ$3,BD!$B$3:$B$5001,$A$152,BD!$AD$3:$AD$5001,"&lt;&gt;")=0,"",SUMIFS(BD!$AD$3:$AD$5001,BD!$A$3:$A$5001,AJ$3,BD!$B$3:$B$5001,$A$152)))</f>
        <v/>
      </c>
      <c r="AK166" s="208" t="str">
        <f>IF(COUNT(F166:AJ166)=0,"",SUM(F166:AJ166))</f>
        <v/>
      </c>
    </row>
    <row r="167" ht="15.75" customHeight="1">
      <c r="A167" s="227"/>
      <c r="B167" s="224"/>
      <c r="C167" s="202" t="inlineStr">
        <is>
          <t xml:space="preserve">Desvios Comportamentais</t>
        </is>
      </c>
      <c r="D167" s="203" t="str">
        <f>IFERROR(1/(1/INDEX(BD!$AK$52:$AT$52,MATCH($A$152,BD!$AK$22:$AT$22,0))),"")</f>
        <v/>
      </c>
      <c r="E167" s="204"/>
      <c r="F167" s="205" t="str">
        <f>IF(F$3="","",IF(COUNTIFS(BD!$A$3:$A$5001,F$3,BD!$B$3:$B$5001,$A$152,BD!$AE$3:$AE$5001,"&lt;&gt;")=0,"",SUMIFS(BD!$AE$3:$AE$5001,BD!$A$3:$A$5001,F$3,BD!$B$3:$B$5001,$A$152)))</f>
        <v/>
      </c>
      <c r="G167" s="206" t="str">
        <f>IF(G$3="","",IF(COUNTIFS(BD!$A$3:$A$5001,G$3,BD!$B$3:$B$5001,$A$152,BD!$AE$3:$AE$5001,"&lt;&gt;")=0,"",SUMIFS(BD!$AE$3:$AE$5001,BD!$A$3:$A$5001,G$3,BD!$B$3:$B$5001,$A$152)))</f>
        <v/>
      </c>
      <c r="H167" s="206" t="str">
        <f>IF(H$3="","",IF(COUNTIFS(BD!$A$3:$A$5001,H$3,BD!$B$3:$B$5001,$A$152,BD!$AE$3:$AE$5001,"&lt;&gt;")=0,"",SUMIFS(BD!$AE$3:$AE$5001,BD!$A$3:$A$5001,H$3,BD!$B$3:$B$5001,$A$152)))</f>
        <v/>
      </c>
      <c r="I167" s="206" t="str">
        <f>IF(I$3="","",IF(COUNTIFS(BD!$A$3:$A$5001,I$3,BD!$B$3:$B$5001,$A$152,BD!$AE$3:$AE$5001,"&lt;&gt;")=0,"",SUMIFS(BD!$AE$3:$AE$5001,BD!$A$3:$A$5001,I$3,BD!$B$3:$B$5001,$A$152)))</f>
        <v/>
      </c>
      <c r="J167" s="206" t="str">
        <f>IF(J$3="","",IF(COUNTIFS(BD!$A$3:$A$5001,J$3,BD!$B$3:$B$5001,$A$152,BD!$AE$3:$AE$5001,"&lt;&gt;")=0,"",SUMIFS(BD!$AE$3:$AE$5001,BD!$A$3:$A$5001,J$3,BD!$B$3:$B$5001,$A$152)))</f>
        <v/>
      </c>
      <c r="K167" s="206" t="str">
        <f>IF(K$3="","",IF(COUNTIFS(BD!$A$3:$A$5001,K$3,BD!$B$3:$B$5001,$A$152,BD!$AE$3:$AE$5001,"&lt;&gt;")=0,"",SUMIFS(BD!$AE$3:$AE$5001,BD!$A$3:$A$5001,K$3,BD!$B$3:$B$5001,$A$152)))</f>
        <v/>
      </c>
      <c r="L167" s="206" t="str">
        <f>IF(L$3="","",IF(COUNTIFS(BD!$A$3:$A$5001,L$3,BD!$B$3:$B$5001,$A$152,BD!$AE$3:$AE$5001,"&lt;&gt;")=0,"",SUMIFS(BD!$AE$3:$AE$5001,BD!$A$3:$A$5001,L$3,BD!$B$3:$B$5001,$A$152)))</f>
        <v/>
      </c>
      <c r="M167" s="206" t="str">
        <f>IF(M$3="","",IF(COUNTIFS(BD!$A$3:$A$5001,M$3,BD!$B$3:$B$5001,$A$152,BD!$AE$3:$AE$5001,"&lt;&gt;")=0,"",SUMIFS(BD!$AE$3:$AE$5001,BD!$A$3:$A$5001,M$3,BD!$B$3:$B$5001,$A$152)))</f>
        <v/>
      </c>
      <c r="N167" s="206" t="str">
        <f>IF(N$3="","",IF(COUNTIFS(BD!$A$3:$A$5001,N$3,BD!$B$3:$B$5001,$A$152,BD!$AE$3:$AE$5001,"&lt;&gt;")=0,"",SUMIFS(BD!$AE$3:$AE$5001,BD!$A$3:$A$5001,N$3,BD!$B$3:$B$5001,$A$152)))</f>
        <v/>
      </c>
      <c r="O167" s="206" t="str">
        <f>IF(O$3="","",IF(COUNTIFS(BD!$A$3:$A$5001,O$3,BD!$B$3:$B$5001,$A$152,BD!$AE$3:$AE$5001,"&lt;&gt;")=0,"",SUMIFS(BD!$AE$3:$AE$5001,BD!$A$3:$A$5001,O$3,BD!$B$3:$B$5001,$A$152)))</f>
        <v/>
      </c>
      <c r="P167" s="206" t="str">
        <f>IF(P$3="","",IF(COUNTIFS(BD!$A$3:$A$5001,P$3,BD!$B$3:$B$5001,$A$152,BD!$AE$3:$AE$5001,"&lt;&gt;")=0,"",SUMIFS(BD!$AE$3:$AE$5001,BD!$A$3:$A$5001,P$3,BD!$B$3:$B$5001,$A$152)))</f>
        <v/>
      </c>
      <c r="Q167" s="206" t="str">
        <f>IF(Q$3="","",IF(COUNTIFS(BD!$A$3:$A$5001,Q$3,BD!$B$3:$B$5001,$A$152,BD!$AE$3:$AE$5001,"&lt;&gt;")=0,"",SUMIFS(BD!$AE$3:$AE$5001,BD!$A$3:$A$5001,Q$3,BD!$B$3:$B$5001,$A$152)))</f>
        <v/>
      </c>
      <c r="R167" s="206" t="str">
        <f>IF(R$3="","",IF(COUNTIFS(BD!$A$3:$A$5001,R$3,BD!$B$3:$B$5001,$A$152,BD!$AE$3:$AE$5001,"&lt;&gt;")=0,"",SUMIFS(BD!$AE$3:$AE$5001,BD!$A$3:$A$5001,R$3,BD!$B$3:$B$5001,$A$152)))</f>
        <v/>
      </c>
      <c r="S167" s="206" t="str">
        <f>IF(S$3="","",IF(COUNTIFS(BD!$A$3:$A$5001,S$3,BD!$B$3:$B$5001,$A$152,BD!$AE$3:$AE$5001,"&lt;&gt;")=0,"",SUMIFS(BD!$AE$3:$AE$5001,BD!$A$3:$A$5001,S$3,BD!$B$3:$B$5001,$A$152)))</f>
        <v/>
      </c>
      <c r="T167" s="206" t="str">
        <f>IF(T$3="","",IF(COUNTIFS(BD!$A$3:$A$5001,T$3,BD!$B$3:$B$5001,$A$152,BD!$AE$3:$AE$5001,"&lt;&gt;")=0,"",SUMIFS(BD!$AE$3:$AE$5001,BD!$A$3:$A$5001,T$3,BD!$B$3:$B$5001,$A$152)))</f>
        <v/>
      </c>
      <c r="U167" s="206" t="str">
        <f>IF(U$3="","",IF(COUNTIFS(BD!$A$3:$A$5001,U$3,BD!$B$3:$B$5001,$A$152,BD!$AE$3:$AE$5001,"&lt;&gt;")=0,"",SUMIFS(BD!$AE$3:$AE$5001,BD!$A$3:$A$5001,U$3,BD!$B$3:$B$5001,$A$152)))</f>
        <v/>
      </c>
      <c r="V167" s="206" t="str">
        <f>IF(V$3="","",IF(COUNTIFS(BD!$A$3:$A$5001,V$3,BD!$B$3:$B$5001,$A$152,BD!$AE$3:$AE$5001,"&lt;&gt;")=0,"",SUMIFS(BD!$AE$3:$AE$5001,BD!$A$3:$A$5001,V$3,BD!$B$3:$B$5001,$A$152)))</f>
        <v/>
      </c>
      <c r="W167" s="206" t="str">
        <f>IF(W$3="","",IF(COUNTIFS(BD!$A$3:$A$5001,W$3,BD!$B$3:$B$5001,$A$152,BD!$AE$3:$AE$5001,"&lt;&gt;")=0,"",SUMIFS(BD!$AE$3:$AE$5001,BD!$A$3:$A$5001,W$3,BD!$B$3:$B$5001,$A$152)))</f>
        <v/>
      </c>
      <c r="X167" s="206" t="str">
        <f>IF(X$3="","",IF(COUNTIFS(BD!$A$3:$A$5001,X$3,BD!$B$3:$B$5001,$A$152,BD!$AE$3:$AE$5001,"&lt;&gt;")=0,"",SUMIFS(BD!$AE$3:$AE$5001,BD!$A$3:$A$5001,X$3,BD!$B$3:$B$5001,$A$152)))</f>
        <v/>
      </c>
      <c r="Y167" s="206" t="str">
        <f>IF(Y$3="","",IF(COUNTIFS(BD!$A$3:$A$5001,Y$3,BD!$B$3:$B$5001,$A$152,BD!$AE$3:$AE$5001,"&lt;&gt;")=0,"",SUMIFS(BD!$AE$3:$AE$5001,BD!$A$3:$A$5001,Y$3,BD!$B$3:$B$5001,$A$152)))</f>
        <v/>
      </c>
      <c r="Z167" s="206" t="str">
        <f>IF(Z$3="","",IF(COUNTIFS(BD!$A$3:$A$5001,Z$3,BD!$B$3:$B$5001,$A$152,BD!$AE$3:$AE$5001,"&lt;&gt;")=0,"",SUMIFS(BD!$AE$3:$AE$5001,BD!$A$3:$A$5001,Z$3,BD!$B$3:$B$5001,$A$152)))</f>
        <v/>
      </c>
      <c r="AA167" s="206" t="str">
        <f>IF(AA$3="","",IF(COUNTIFS(BD!$A$3:$A$5001,AA$3,BD!$B$3:$B$5001,$A$152,BD!$AE$3:$AE$5001,"&lt;&gt;")=0,"",SUMIFS(BD!$AE$3:$AE$5001,BD!$A$3:$A$5001,AA$3,BD!$B$3:$B$5001,$A$152)))</f>
        <v/>
      </c>
      <c r="AB167" s="206" t="str">
        <f>IF(AB$3="","",IF(COUNTIFS(BD!$A$3:$A$5001,AB$3,BD!$B$3:$B$5001,$A$152,BD!$AE$3:$AE$5001,"&lt;&gt;")=0,"",SUMIFS(BD!$AE$3:$AE$5001,BD!$A$3:$A$5001,AB$3,BD!$B$3:$B$5001,$A$152)))</f>
        <v/>
      </c>
      <c r="AC167" s="206" t="str">
        <f>IF(AC$3="","",IF(COUNTIFS(BD!$A$3:$A$5001,AC$3,BD!$B$3:$B$5001,$A$152,BD!$AE$3:$AE$5001,"&lt;&gt;")=0,"",SUMIFS(BD!$AE$3:$AE$5001,BD!$A$3:$A$5001,AC$3,BD!$B$3:$B$5001,$A$152)))</f>
        <v/>
      </c>
      <c r="AD167" s="206" t="str">
        <f>IF(AD$3="","",IF(COUNTIFS(BD!$A$3:$A$5001,AD$3,BD!$B$3:$B$5001,$A$152,BD!$AE$3:$AE$5001,"&lt;&gt;")=0,"",SUMIFS(BD!$AE$3:$AE$5001,BD!$A$3:$A$5001,AD$3,BD!$B$3:$B$5001,$A$152)))</f>
        <v/>
      </c>
      <c r="AE167" s="206" t="str">
        <f>IF(AE$3="","",IF(COUNTIFS(BD!$A$3:$A$5001,AE$3,BD!$B$3:$B$5001,$A$152,BD!$AE$3:$AE$5001,"&lt;&gt;")=0,"",SUMIFS(BD!$AE$3:$AE$5001,BD!$A$3:$A$5001,AE$3,BD!$B$3:$B$5001,$A$152)))</f>
        <v/>
      </c>
      <c r="AF167" s="206" t="str">
        <f>IF(AF$3="","",IF(COUNTIFS(BD!$A$3:$A$5001,AF$3,BD!$B$3:$B$5001,$A$152,BD!$AE$3:$AE$5001,"&lt;&gt;")=0,"",SUMIFS(BD!$AE$3:$AE$5001,BD!$A$3:$A$5001,AF$3,BD!$B$3:$B$5001,$A$152)))</f>
        <v/>
      </c>
      <c r="AG167" s="206" t="str">
        <f>IF(AG$3="","",IF(COUNTIFS(BD!$A$3:$A$5001,AG$3,BD!$B$3:$B$5001,$A$152,BD!$AE$3:$AE$5001,"&lt;&gt;")=0,"",SUMIFS(BD!$AE$3:$AE$5001,BD!$A$3:$A$5001,AG$3,BD!$B$3:$B$5001,$A$152)))</f>
        <v/>
      </c>
      <c r="AH167" s="206" t="str">
        <f>IF(AH$3="","",IF(COUNTIFS(BD!$A$3:$A$5001,AH$3,BD!$B$3:$B$5001,$A$152,BD!$AE$3:$AE$5001,"&lt;&gt;")=0,"",SUMIFS(BD!$AE$3:$AE$5001,BD!$A$3:$A$5001,AH$3,BD!$B$3:$B$5001,$A$152)))</f>
        <v/>
      </c>
      <c r="AI167" s="206" t="str">
        <f>IF(AI$3="","",IF(COUNTIFS(BD!$A$3:$A$5001,AI$3,BD!$B$3:$B$5001,$A$152,BD!$AE$3:$AE$5001,"&lt;&gt;")=0,"",SUMIFS(BD!$AE$3:$AE$5001,BD!$A$3:$A$5001,AI$3,BD!$B$3:$B$5001,$A$152)))</f>
        <v/>
      </c>
      <c r="AJ167" s="207" t="str">
        <f>IF(AJ$3="","",IF(COUNTIFS(BD!$A$3:$A$5001,AJ$3,BD!$B$3:$B$5001,$A$152,BD!$AE$3:$AE$5001,"&lt;&gt;")=0,"",SUMIFS(BD!$AE$3:$AE$5001,BD!$A$3:$A$5001,AJ$3,BD!$B$3:$B$5001,$A$152)))</f>
        <v/>
      </c>
      <c r="AK167" s="208" t="str">
        <f>IF(COUNT(F167:AJ167)=0,"",SUM(F167:AJ167))</f>
        <v/>
      </c>
    </row>
    <row r="168" ht="15.75" customHeight="1">
      <c r="A168" s="227"/>
      <c r="B168" s="224"/>
      <c r="C168" s="202" t="inlineStr">
        <is>
          <t xml:space="preserve">Acidentes CAF</t>
        </is>
      </c>
      <c r="D168" s="203" t="str">
        <f>IFERROR(1/(1/INDEX(BD!$AK$53:$AT$53,MATCH($A$152,BD!$AK$22:$AT$22,0))),"")</f>
        <v/>
      </c>
      <c r="E168" s="204"/>
      <c r="F168" s="205" t="str">
        <f>IF(F$3="","",IF(COUNTIFS(BD!$A$3:$A$5001,F$3,BD!$B$3:$B$5001,$A$152,BD!$AF$3:$AF$5001,"&lt;&gt;")=0,"",SUMIFS(BD!$AF$3:$AF$5001,BD!$A$3:$A$5001,F$3,BD!$B$3:$B$5001,$A$152)))</f>
        <v/>
      </c>
      <c r="G168" s="206" t="str">
        <f>IF(G$3="","",IF(COUNTIFS(BD!$A$3:$A$5001,G$3,BD!$B$3:$B$5001,$A$152,BD!$AF$3:$AF$5001,"&lt;&gt;")=0,"",SUMIFS(BD!$AF$3:$AF$5001,BD!$A$3:$A$5001,G$3,BD!$B$3:$B$5001,$A$152)))</f>
        <v/>
      </c>
      <c r="H168" s="206" t="str">
        <f>IF(H$3="","",IF(COUNTIFS(BD!$A$3:$A$5001,H$3,BD!$B$3:$B$5001,$A$152,BD!$AF$3:$AF$5001,"&lt;&gt;")=0,"",SUMIFS(BD!$AF$3:$AF$5001,BD!$A$3:$A$5001,H$3,BD!$B$3:$B$5001,$A$152)))</f>
        <v/>
      </c>
      <c r="I168" s="206" t="str">
        <f>IF(I$3="","",IF(COUNTIFS(BD!$A$3:$A$5001,I$3,BD!$B$3:$B$5001,$A$152,BD!$AF$3:$AF$5001,"&lt;&gt;")=0,"",SUMIFS(BD!$AF$3:$AF$5001,BD!$A$3:$A$5001,I$3,BD!$B$3:$B$5001,$A$152)))</f>
        <v/>
      </c>
      <c r="J168" s="206" t="str">
        <f>IF(J$3="","",IF(COUNTIFS(BD!$A$3:$A$5001,J$3,BD!$B$3:$B$5001,$A$152,BD!$AF$3:$AF$5001,"&lt;&gt;")=0,"",SUMIFS(BD!$AF$3:$AF$5001,BD!$A$3:$A$5001,J$3,BD!$B$3:$B$5001,$A$152)))</f>
        <v/>
      </c>
      <c r="K168" s="206" t="str">
        <f>IF(K$3="","",IF(COUNTIFS(BD!$A$3:$A$5001,K$3,BD!$B$3:$B$5001,$A$152,BD!$AF$3:$AF$5001,"&lt;&gt;")=0,"",SUMIFS(BD!$AF$3:$AF$5001,BD!$A$3:$A$5001,K$3,BD!$B$3:$B$5001,$A$152)))</f>
        <v/>
      </c>
      <c r="L168" s="206" t="str">
        <f>IF(L$3="","",IF(COUNTIFS(BD!$A$3:$A$5001,L$3,BD!$B$3:$B$5001,$A$152,BD!$AF$3:$AF$5001,"&lt;&gt;")=0,"",SUMIFS(BD!$AF$3:$AF$5001,BD!$A$3:$A$5001,L$3,BD!$B$3:$B$5001,$A$152)))</f>
        <v/>
      </c>
      <c r="M168" s="206" t="str">
        <f>IF(M$3="","",IF(COUNTIFS(BD!$A$3:$A$5001,M$3,BD!$B$3:$B$5001,$A$152,BD!$AF$3:$AF$5001,"&lt;&gt;")=0,"",SUMIFS(BD!$AF$3:$AF$5001,BD!$A$3:$A$5001,M$3,BD!$B$3:$B$5001,$A$152)))</f>
        <v/>
      </c>
      <c r="N168" s="206" t="str">
        <f>IF(N$3="","",IF(COUNTIFS(BD!$A$3:$A$5001,N$3,BD!$B$3:$B$5001,$A$152,BD!$AF$3:$AF$5001,"&lt;&gt;")=0,"",SUMIFS(BD!$AF$3:$AF$5001,BD!$A$3:$A$5001,N$3,BD!$B$3:$B$5001,$A$152)))</f>
        <v/>
      </c>
      <c r="O168" s="206" t="str">
        <f>IF(O$3="","",IF(COUNTIFS(BD!$A$3:$A$5001,O$3,BD!$B$3:$B$5001,$A$152,BD!$AF$3:$AF$5001,"&lt;&gt;")=0,"",SUMIFS(BD!$AF$3:$AF$5001,BD!$A$3:$A$5001,O$3,BD!$B$3:$B$5001,$A$152)))</f>
        <v/>
      </c>
      <c r="P168" s="206" t="str">
        <f>IF(P$3="","",IF(COUNTIFS(BD!$A$3:$A$5001,P$3,BD!$B$3:$B$5001,$A$152,BD!$AF$3:$AF$5001,"&lt;&gt;")=0,"",SUMIFS(BD!$AF$3:$AF$5001,BD!$A$3:$A$5001,P$3,BD!$B$3:$B$5001,$A$152)))</f>
        <v/>
      </c>
      <c r="Q168" s="206" t="str">
        <f>IF(Q$3="","",IF(COUNTIFS(BD!$A$3:$A$5001,Q$3,BD!$B$3:$B$5001,$A$152,BD!$AF$3:$AF$5001,"&lt;&gt;")=0,"",SUMIFS(BD!$AF$3:$AF$5001,BD!$A$3:$A$5001,Q$3,BD!$B$3:$B$5001,$A$152)))</f>
        <v/>
      </c>
      <c r="R168" s="206" t="str">
        <f>IF(R$3="","",IF(COUNTIFS(BD!$A$3:$A$5001,R$3,BD!$B$3:$B$5001,$A$152,BD!$AF$3:$AF$5001,"&lt;&gt;")=0,"",SUMIFS(BD!$AF$3:$AF$5001,BD!$A$3:$A$5001,R$3,BD!$B$3:$B$5001,$A$152)))</f>
        <v/>
      </c>
      <c r="S168" s="206" t="str">
        <f>IF(S$3="","",IF(COUNTIFS(BD!$A$3:$A$5001,S$3,BD!$B$3:$B$5001,$A$152,BD!$AF$3:$AF$5001,"&lt;&gt;")=0,"",SUMIFS(BD!$AF$3:$AF$5001,BD!$A$3:$A$5001,S$3,BD!$B$3:$B$5001,$A$152)))</f>
        <v/>
      </c>
      <c r="T168" s="206" t="str">
        <f>IF(T$3="","",IF(COUNTIFS(BD!$A$3:$A$5001,T$3,BD!$B$3:$B$5001,$A$152,BD!$AF$3:$AF$5001,"&lt;&gt;")=0,"",SUMIFS(BD!$AF$3:$AF$5001,BD!$A$3:$A$5001,T$3,BD!$B$3:$B$5001,$A$152)))</f>
        <v/>
      </c>
      <c r="U168" s="206" t="str">
        <f>IF(U$3="","",IF(COUNTIFS(BD!$A$3:$A$5001,U$3,BD!$B$3:$B$5001,$A$152,BD!$AF$3:$AF$5001,"&lt;&gt;")=0,"",SUMIFS(BD!$AF$3:$AF$5001,BD!$A$3:$A$5001,U$3,BD!$B$3:$B$5001,$A$152)))</f>
        <v/>
      </c>
      <c r="V168" s="206" t="str">
        <f>IF(V$3="","",IF(COUNTIFS(BD!$A$3:$A$5001,V$3,BD!$B$3:$B$5001,$A$152,BD!$AF$3:$AF$5001,"&lt;&gt;")=0,"",SUMIFS(BD!$AF$3:$AF$5001,BD!$A$3:$A$5001,V$3,BD!$B$3:$B$5001,$A$152)))</f>
        <v/>
      </c>
      <c r="W168" s="206" t="str">
        <f>IF(W$3="","",IF(COUNTIFS(BD!$A$3:$A$5001,W$3,BD!$B$3:$B$5001,$A$152,BD!$AF$3:$AF$5001,"&lt;&gt;")=0,"",SUMIFS(BD!$AF$3:$AF$5001,BD!$A$3:$A$5001,W$3,BD!$B$3:$B$5001,$A$152)))</f>
        <v/>
      </c>
      <c r="X168" s="206" t="str">
        <f>IF(X$3="","",IF(COUNTIFS(BD!$A$3:$A$5001,X$3,BD!$B$3:$B$5001,$A$152,BD!$AF$3:$AF$5001,"&lt;&gt;")=0,"",SUMIFS(BD!$AF$3:$AF$5001,BD!$A$3:$A$5001,X$3,BD!$B$3:$B$5001,$A$152)))</f>
        <v/>
      </c>
      <c r="Y168" s="206" t="str">
        <f>IF(Y$3="","",IF(COUNTIFS(BD!$A$3:$A$5001,Y$3,BD!$B$3:$B$5001,$A$152,BD!$AF$3:$AF$5001,"&lt;&gt;")=0,"",SUMIFS(BD!$AF$3:$AF$5001,BD!$A$3:$A$5001,Y$3,BD!$B$3:$B$5001,$A$152)))</f>
        <v/>
      </c>
      <c r="Z168" s="206" t="str">
        <f>IF(Z$3="","",IF(COUNTIFS(BD!$A$3:$A$5001,Z$3,BD!$B$3:$B$5001,$A$152,BD!$AF$3:$AF$5001,"&lt;&gt;")=0,"",SUMIFS(BD!$AF$3:$AF$5001,BD!$A$3:$A$5001,Z$3,BD!$B$3:$B$5001,$A$152)))</f>
        <v/>
      </c>
      <c r="AA168" s="206" t="str">
        <f>IF(AA$3="","",IF(COUNTIFS(BD!$A$3:$A$5001,AA$3,BD!$B$3:$B$5001,$A$152,BD!$AF$3:$AF$5001,"&lt;&gt;")=0,"",SUMIFS(BD!$AF$3:$AF$5001,BD!$A$3:$A$5001,AA$3,BD!$B$3:$B$5001,$A$152)))</f>
        <v/>
      </c>
      <c r="AB168" s="206" t="str">
        <f>IF(AB$3="","",IF(COUNTIFS(BD!$A$3:$A$5001,AB$3,BD!$B$3:$B$5001,$A$152,BD!$AF$3:$AF$5001,"&lt;&gt;")=0,"",SUMIFS(BD!$AF$3:$AF$5001,BD!$A$3:$A$5001,AB$3,BD!$B$3:$B$5001,$A$152)))</f>
        <v/>
      </c>
      <c r="AC168" s="206" t="str">
        <f>IF(AC$3="","",IF(COUNTIFS(BD!$A$3:$A$5001,AC$3,BD!$B$3:$B$5001,$A$152,BD!$AF$3:$AF$5001,"&lt;&gt;")=0,"",SUMIFS(BD!$AF$3:$AF$5001,BD!$A$3:$A$5001,AC$3,BD!$B$3:$B$5001,$A$152)))</f>
        <v/>
      </c>
      <c r="AD168" s="206" t="str">
        <f>IF(AD$3="","",IF(COUNTIFS(BD!$A$3:$A$5001,AD$3,BD!$B$3:$B$5001,$A$152,BD!$AF$3:$AF$5001,"&lt;&gt;")=0,"",SUMIFS(BD!$AF$3:$AF$5001,BD!$A$3:$A$5001,AD$3,BD!$B$3:$B$5001,$A$152)))</f>
        <v/>
      </c>
      <c r="AE168" s="206" t="str">
        <f>IF(AE$3="","",IF(COUNTIFS(BD!$A$3:$A$5001,AE$3,BD!$B$3:$B$5001,$A$152,BD!$AF$3:$AF$5001,"&lt;&gt;")=0,"",SUMIFS(BD!$AF$3:$AF$5001,BD!$A$3:$A$5001,AE$3,BD!$B$3:$B$5001,$A$152)))</f>
        <v/>
      </c>
      <c r="AF168" s="206" t="str">
        <f>IF(AF$3="","",IF(COUNTIFS(BD!$A$3:$A$5001,AF$3,BD!$B$3:$B$5001,$A$152,BD!$AF$3:$AF$5001,"&lt;&gt;")=0,"",SUMIFS(BD!$AF$3:$AF$5001,BD!$A$3:$A$5001,AF$3,BD!$B$3:$B$5001,$A$152)))</f>
        <v/>
      </c>
      <c r="AG168" s="206" t="str">
        <f>IF(AG$3="","",IF(COUNTIFS(BD!$A$3:$A$5001,AG$3,BD!$B$3:$B$5001,$A$152,BD!$AF$3:$AF$5001,"&lt;&gt;")=0,"",SUMIFS(BD!$AF$3:$AF$5001,BD!$A$3:$A$5001,AG$3,BD!$B$3:$B$5001,$A$152)))</f>
        <v/>
      </c>
      <c r="AH168" s="206" t="str">
        <f>IF(AH$3="","",IF(COUNTIFS(BD!$A$3:$A$5001,AH$3,BD!$B$3:$B$5001,$A$152,BD!$AF$3:$AF$5001,"&lt;&gt;")=0,"",SUMIFS(BD!$AF$3:$AF$5001,BD!$A$3:$A$5001,AH$3,BD!$B$3:$B$5001,$A$152)))</f>
        <v/>
      </c>
      <c r="AI168" s="206" t="str">
        <f>IF(AI$3="","",IF(COUNTIFS(BD!$A$3:$A$5001,AI$3,BD!$B$3:$B$5001,$A$152,BD!$AF$3:$AF$5001,"&lt;&gt;")=0,"",SUMIFS(BD!$AF$3:$AF$5001,BD!$A$3:$A$5001,AI$3,BD!$B$3:$B$5001,$A$152)))</f>
        <v/>
      </c>
      <c r="AJ168" s="207" t="str">
        <f>IF(AJ$3="","",IF(COUNTIFS(BD!$A$3:$A$5001,AJ$3,BD!$B$3:$B$5001,$A$152,BD!$AF$3:$AF$5001,"&lt;&gt;")=0,"",SUMIFS(BD!$AF$3:$AF$5001,BD!$A$3:$A$5001,AJ$3,BD!$B$3:$B$5001,$A$152)))</f>
        <v/>
      </c>
      <c r="AK168" s="208" t="str">
        <f>IF(COUNT(F168:AJ168)=0,"",SUM(F168:AJ168))</f>
        <v/>
      </c>
    </row>
    <row r="169" ht="15.75" customHeight="1">
      <c r="A169" s="228"/>
      <c r="B169" s="225"/>
      <c r="C169" s="209" t="inlineStr">
        <is>
          <t xml:space="preserve">Acidentes SAF</t>
        </is>
      </c>
      <c r="D169" s="210" t="str">
        <f>IFERROR(1/(1/INDEX(BD!$AK$54:$AT$54,MATCH($A$152,BD!$AK$22:$AT$22,0))),"")</f>
        <v/>
      </c>
      <c r="E169" s="211"/>
      <c r="F169" s="212" t="str">
        <f>IF(F$3="","",IF(COUNTIFS(BD!$A$3:$A$5001,F$3,BD!$B$3:$B$5001,$A$152,BD!$AG$3:$AG$5001,"&lt;&gt;")=0,"",SUMIFS(BD!$AG$3:$AG$5001,BD!$A$3:$A$5001,F$3,BD!$B$3:$B$5001,$A$152)))</f>
        <v/>
      </c>
      <c r="G169" s="213" t="str">
        <f>IF(G$3="","",IF(COUNTIFS(BD!$A$3:$A$5001,G$3,BD!$B$3:$B$5001,$A$152,BD!$AG$3:$AG$5001,"&lt;&gt;")=0,"",SUMIFS(BD!$AG$3:$AG$5001,BD!$A$3:$A$5001,G$3,BD!$B$3:$B$5001,$A$152)))</f>
        <v/>
      </c>
      <c r="H169" s="213" t="str">
        <f>IF(H$3="","",IF(COUNTIFS(BD!$A$3:$A$5001,H$3,BD!$B$3:$B$5001,$A$152,BD!$AG$3:$AG$5001,"&lt;&gt;")=0,"",SUMIFS(BD!$AG$3:$AG$5001,BD!$A$3:$A$5001,H$3,BD!$B$3:$B$5001,$A$152)))</f>
        <v/>
      </c>
      <c r="I169" s="213" t="str">
        <f>IF(I$3="","",IF(COUNTIFS(BD!$A$3:$A$5001,I$3,BD!$B$3:$B$5001,$A$152,BD!$AG$3:$AG$5001,"&lt;&gt;")=0,"",SUMIFS(BD!$AG$3:$AG$5001,BD!$A$3:$A$5001,I$3,BD!$B$3:$B$5001,$A$152)))</f>
        <v/>
      </c>
      <c r="J169" s="213" t="str">
        <f>IF(J$3="","",IF(COUNTIFS(BD!$A$3:$A$5001,J$3,BD!$B$3:$B$5001,$A$152,BD!$AG$3:$AG$5001,"&lt;&gt;")=0,"",SUMIFS(BD!$AG$3:$AG$5001,BD!$A$3:$A$5001,J$3,BD!$B$3:$B$5001,$A$152)))</f>
        <v/>
      </c>
      <c r="K169" s="213" t="str">
        <f>IF(K$3="","",IF(COUNTIFS(BD!$A$3:$A$5001,K$3,BD!$B$3:$B$5001,$A$152,BD!$AG$3:$AG$5001,"&lt;&gt;")=0,"",SUMIFS(BD!$AG$3:$AG$5001,BD!$A$3:$A$5001,K$3,BD!$B$3:$B$5001,$A$152)))</f>
        <v/>
      </c>
      <c r="L169" s="213" t="str">
        <f>IF(L$3="","",IF(COUNTIFS(BD!$A$3:$A$5001,L$3,BD!$B$3:$B$5001,$A$152,BD!$AG$3:$AG$5001,"&lt;&gt;")=0,"",SUMIFS(BD!$AG$3:$AG$5001,BD!$A$3:$A$5001,L$3,BD!$B$3:$B$5001,$A$152)))</f>
        <v/>
      </c>
      <c r="M169" s="213" t="str">
        <f>IF(M$3="","",IF(COUNTIFS(BD!$A$3:$A$5001,M$3,BD!$B$3:$B$5001,$A$152,BD!$AG$3:$AG$5001,"&lt;&gt;")=0,"",SUMIFS(BD!$AG$3:$AG$5001,BD!$A$3:$A$5001,M$3,BD!$B$3:$B$5001,$A$152)))</f>
        <v/>
      </c>
      <c r="N169" s="213" t="str">
        <f>IF(N$3="","",IF(COUNTIFS(BD!$A$3:$A$5001,N$3,BD!$B$3:$B$5001,$A$152,BD!$AG$3:$AG$5001,"&lt;&gt;")=0,"",SUMIFS(BD!$AG$3:$AG$5001,BD!$A$3:$A$5001,N$3,BD!$B$3:$B$5001,$A$152)))</f>
        <v/>
      </c>
      <c r="O169" s="213" t="str">
        <f>IF(O$3="","",IF(COUNTIFS(BD!$A$3:$A$5001,O$3,BD!$B$3:$B$5001,$A$152,BD!$AG$3:$AG$5001,"&lt;&gt;")=0,"",SUMIFS(BD!$AG$3:$AG$5001,BD!$A$3:$A$5001,O$3,BD!$B$3:$B$5001,$A$152)))</f>
        <v/>
      </c>
      <c r="P169" s="213" t="str">
        <f>IF(P$3="","",IF(COUNTIFS(BD!$A$3:$A$5001,P$3,BD!$B$3:$B$5001,$A$152,BD!$AG$3:$AG$5001,"&lt;&gt;")=0,"",SUMIFS(BD!$AG$3:$AG$5001,BD!$A$3:$A$5001,P$3,BD!$B$3:$B$5001,$A$152)))</f>
        <v/>
      </c>
      <c r="Q169" s="213" t="str">
        <f>IF(Q$3="","",IF(COUNTIFS(BD!$A$3:$A$5001,Q$3,BD!$B$3:$B$5001,$A$152,BD!$AG$3:$AG$5001,"&lt;&gt;")=0,"",SUMIFS(BD!$AG$3:$AG$5001,BD!$A$3:$A$5001,Q$3,BD!$B$3:$B$5001,$A$152)))</f>
        <v/>
      </c>
      <c r="R169" s="213" t="str">
        <f>IF(R$3="","",IF(COUNTIFS(BD!$A$3:$A$5001,R$3,BD!$B$3:$B$5001,$A$152,BD!$AG$3:$AG$5001,"&lt;&gt;")=0,"",SUMIFS(BD!$AG$3:$AG$5001,BD!$A$3:$A$5001,R$3,BD!$B$3:$B$5001,$A$152)))</f>
        <v/>
      </c>
      <c r="S169" s="213" t="str">
        <f>IF(S$3="","",IF(COUNTIFS(BD!$A$3:$A$5001,S$3,BD!$B$3:$B$5001,$A$152,BD!$AG$3:$AG$5001,"&lt;&gt;")=0,"",SUMIFS(BD!$AG$3:$AG$5001,BD!$A$3:$A$5001,S$3,BD!$B$3:$B$5001,$A$152)))</f>
        <v/>
      </c>
      <c r="T169" s="213" t="str">
        <f>IF(T$3="","",IF(COUNTIFS(BD!$A$3:$A$5001,T$3,BD!$B$3:$B$5001,$A$152,BD!$AG$3:$AG$5001,"&lt;&gt;")=0,"",SUMIFS(BD!$AG$3:$AG$5001,BD!$A$3:$A$5001,T$3,BD!$B$3:$B$5001,$A$152)))</f>
        <v/>
      </c>
      <c r="U169" s="213" t="str">
        <f>IF(U$3="","",IF(COUNTIFS(BD!$A$3:$A$5001,U$3,BD!$B$3:$B$5001,$A$152,BD!$AG$3:$AG$5001,"&lt;&gt;")=0,"",SUMIFS(BD!$AG$3:$AG$5001,BD!$A$3:$A$5001,U$3,BD!$B$3:$B$5001,$A$152)))</f>
        <v/>
      </c>
      <c r="V169" s="213" t="str">
        <f>IF(V$3="","",IF(COUNTIFS(BD!$A$3:$A$5001,V$3,BD!$B$3:$B$5001,$A$152,BD!$AG$3:$AG$5001,"&lt;&gt;")=0,"",SUMIFS(BD!$AG$3:$AG$5001,BD!$A$3:$A$5001,V$3,BD!$B$3:$B$5001,$A$152)))</f>
        <v/>
      </c>
      <c r="W169" s="213" t="str">
        <f>IF(W$3="","",IF(COUNTIFS(BD!$A$3:$A$5001,W$3,BD!$B$3:$B$5001,$A$152,BD!$AG$3:$AG$5001,"&lt;&gt;")=0,"",SUMIFS(BD!$AG$3:$AG$5001,BD!$A$3:$A$5001,W$3,BD!$B$3:$B$5001,$A$152)))</f>
        <v/>
      </c>
      <c r="X169" s="213" t="str">
        <f>IF(X$3="","",IF(COUNTIFS(BD!$A$3:$A$5001,X$3,BD!$B$3:$B$5001,$A$152,BD!$AG$3:$AG$5001,"&lt;&gt;")=0,"",SUMIFS(BD!$AG$3:$AG$5001,BD!$A$3:$A$5001,X$3,BD!$B$3:$B$5001,$A$152)))</f>
        <v/>
      </c>
      <c r="Y169" s="213" t="str">
        <f>IF(Y$3="","",IF(COUNTIFS(BD!$A$3:$A$5001,Y$3,BD!$B$3:$B$5001,$A$152,BD!$AG$3:$AG$5001,"&lt;&gt;")=0,"",SUMIFS(BD!$AG$3:$AG$5001,BD!$A$3:$A$5001,Y$3,BD!$B$3:$B$5001,$A$152)))</f>
        <v/>
      </c>
      <c r="Z169" s="213" t="str">
        <f>IF(Z$3="","",IF(COUNTIFS(BD!$A$3:$A$5001,Z$3,BD!$B$3:$B$5001,$A$152,BD!$AG$3:$AG$5001,"&lt;&gt;")=0,"",SUMIFS(BD!$AG$3:$AG$5001,BD!$A$3:$A$5001,Z$3,BD!$B$3:$B$5001,$A$152)))</f>
        <v/>
      </c>
      <c r="AA169" s="213" t="str">
        <f>IF(AA$3="","",IF(COUNTIFS(BD!$A$3:$A$5001,AA$3,BD!$B$3:$B$5001,$A$152,BD!$AG$3:$AG$5001,"&lt;&gt;")=0,"",SUMIFS(BD!$AG$3:$AG$5001,BD!$A$3:$A$5001,AA$3,BD!$B$3:$B$5001,$A$152)))</f>
        <v/>
      </c>
      <c r="AB169" s="213" t="str">
        <f>IF(AB$3="","",IF(COUNTIFS(BD!$A$3:$A$5001,AB$3,BD!$B$3:$B$5001,$A$152,BD!$AG$3:$AG$5001,"&lt;&gt;")=0,"",SUMIFS(BD!$AG$3:$AG$5001,BD!$A$3:$A$5001,AB$3,BD!$B$3:$B$5001,$A$152)))</f>
        <v/>
      </c>
      <c r="AC169" s="213" t="str">
        <f>IF(AC$3="","",IF(COUNTIFS(BD!$A$3:$A$5001,AC$3,BD!$B$3:$B$5001,$A$152,BD!$AG$3:$AG$5001,"&lt;&gt;")=0,"",SUMIFS(BD!$AG$3:$AG$5001,BD!$A$3:$A$5001,AC$3,BD!$B$3:$B$5001,$A$152)))</f>
        <v/>
      </c>
      <c r="AD169" s="213" t="str">
        <f>IF(AD$3="","",IF(COUNTIFS(BD!$A$3:$A$5001,AD$3,BD!$B$3:$B$5001,$A$152,BD!$AG$3:$AG$5001,"&lt;&gt;")=0,"",SUMIFS(BD!$AG$3:$AG$5001,BD!$A$3:$A$5001,AD$3,BD!$B$3:$B$5001,$A$152)))</f>
        <v/>
      </c>
      <c r="AE169" s="213" t="str">
        <f>IF(AE$3="","",IF(COUNTIFS(BD!$A$3:$A$5001,AE$3,BD!$B$3:$B$5001,$A$152,BD!$AG$3:$AG$5001,"&lt;&gt;")=0,"",SUMIFS(BD!$AG$3:$AG$5001,BD!$A$3:$A$5001,AE$3,BD!$B$3:$B$5001,$A$152)))</f>
        <v/>
      </c>
      <c r="AF169" s="213" t="str">
        <f>IF(AF$3="","",IF(COUNTIFS(BD!$A$3:$A$5001,AF$3,BD!$B$3:$B$5001,$A$152,BD!$AG$3:$AG$5001,"&lt;&gt;")=0,"",SUMIFS(BD!$AG$3:$AG$5001,BD!$A$3:$A$5001,AF$3,BD!$B$3:$B$5001,$A$152)))</f>
        <v/>
      </c>
      <c r="AG169" s="213" t="str">
        <f>IF(AG$3="","",IF(COUNTIFS(BD!$A$3:$A$5001,AG$3,BD!$B$3:$B$5001,$A$152,BD!$AG$3:$AG$5001,"&lt;&gt;")=0,"",SUMIFS(BD!$AG$3:$AG$5001,BD!$A$3:$A$5001,AG$3,BD!$B$3:$B$5001,$A$152)))</f>
        <v/>
      </c>
      <c r="AH169" s="213" t="str">
        <f>IF(AH$3="","",IF(COUNTIFS(BD!$A$3:$A$5001,AH$3,BD!$B$3:$B$5001,$A$152,BD!$AG$3:$AG$5001,"&lt;&gt;")=0,"",SUMIFS(BD!$AG$3:$AG$5001,BD!$A$3:$A$5001,AH$3,BD!$B$3:$B$5001,$A$152)))</f>
        <v/>
      </c>
      <c r="AI169" s="213" t="str">
        <f>IF(AI$3="","",IF(COUNTIFS(BD!$A$3:$A$5001,AI$3,BD!$B$3:$B$5001,$A$152,BD!$AG$3:$AG$5001,"&lt;&gt;")=0,"",SUMIFS(BD!$AG$3:$AG$5001,BD!$A$3:$A$5001,AI$3,BD!$B$3:$B$5001,$A$152)))</f>
        <v/>
      </c>
      <c r="AJ169" s="214" t="str">
        <f>IF(AJ$3="","",IF(COUNTIFS(BD!$A$3:$A$5001,AJ$3,BD!$B$3:$B$5001,$A$152,BD!$AG$3:$AG$5001,"&lt;&gt;")=0,"",SUMIFS(BD!$AG$3:$AG$5001,BD!$A$3:$A$5001,AJ$3,BD!$B$3:$B$5001,$A$152)))</f>
        <v/>
      </c>
      <c r="AK169" s="210" t="str">
        <f>IF(COUNT(F169:AJ169)=0,"",SUM(F169:AJ169))</f>
        <v/>
      </c>
    </row>
    <row r="171" ht="15.75" customHeight="1">
      <c r="A171" s="226" t="inlineStr">
        <is>
          <t xml:space="preserve">Vestas</t>
        </is>
      </c>
      <c r="B171" s="215" t="inlineStr">
        <is>
          <t xml:space="preserve">IN</t>
        </is>
      </c>
      <c r="C171" s="138" t="inlineStr">
        <is>
          <t xml:space="preserve">Veículos Recebidos</t>
        </is>
      </c>
      <c r="D171" s="139" t="str">
        <f>IFERROR(1/(1/INDEX(BD!$AK$23:$AT$23,MATCH($A$171,BD!$AK$22:$AT$22,0))),"")</f>
        <v/>
      </c>
      <c r="E171" s="140"/>
      <c r="F171" s="141" t="str">
        <f>IF(F$3="","",IF(COUNTIFS(BD!$A$3:$A$5001,F$3,BD!$B$3:$B$5001,$A$171,BD!$C$3:$C$5001,"&lt;&gt;")=0,"",SUMIFS(BD!$C$3:$C$5001,BD!$A$3:$A$5001,F$3,BD!$B$3:$B$5001,$A$171)))</f>
        <v/>
      </c>
      <c r="G171" s="142" t="str">
        <f>IF(G$3="","",IF(COUNTIFS(BD!$A$3:$A$5001,G$3,BD!$B$3:$B$5001,$A$171,BD!$C$3:$C$5001,"&lt;&gt;")=0,"",SUMIFS(BD!$C$3:$C$5001,BD!$A$3:$A$5001,G$3,BD!$B$3:$B$5001,$A$171)))</f>
        <v/>
      </c>
      <c r="H171" s="142" t="str">
        <f>IF(H$3="","",IF(COUNTIFS(BD!$A$3:$A$5001,H$3,BD!$B$3:$B$5001,$A$171,BD!$C$3:$C$5001,"&lt;&gt;")=0,"",SUMIFS(BD!$C$3:$C$5001,BD!$A$3:$A$5001,H$3,BD!$B$3:$B$5001,$A$171)))</f>
        <v/>
      </c>
      <c r="I171" s="142" t="str">
        <f>IF(I$3="","",IF(COUNTIFS(BD!$A$3:$A$5001,I$3,BD!$B$3:$B$5001,$A$171,BD!$C$3:$C$5001,"&lt;&gt;")=0,"",SUMIFS(BD!$C$3:$C$5001,BD!$A$3:$A$5001,I$3,BD!$B$3:$B$5001,$A$171)))</f>
        <v/>
      </c>
      <c r="J171" s="142" t="str">
        <f>IF(J$3="","",IF(COUNTIFS(BD!$A$3:$A$5001,J$3,BD!$B$3:$B$5001,$A$171,BD!$C$3:$C$5001,"&lt;&gt;")=0,"",SUMIFS(BD!$C$3:$C$5001,BD!$A$3:$A$5001,J$3,BD!$B$3:$B$5001,$A$171)))</f>
        <v/>
      </c>
      <c r="K171" s="142" t="str">
        <f>IF(K$3="","",IF(COUNTIFS(BD!$A$3:$A$5001,K$3,BD!$B$3:$B$5001,$A$171,BD!$C$3:$C$5001,"&lt;&gt;")=0,"",SUMIFS(BD!$C$3:$C$5001,BD!$A$3:$A$5001,K$3,BD!$B$3:$B$5001,$A$171)))</f>
        <v/>
      </c>
      <c r="L171" s="142" t="str">
        <f>IF(L$3="","",IF(COUNTIFS(BD!$A$3:$A$5001,L$3,BD!$B$3:$B$5001,$A$171,BD!$C$3:$C$5001,"&lt;&gt;")=0,"",SUMIFS(BD!$C$3:$C$5001,BD!$A$3:$A$5001,L$3,BD!$B$3:$B$5001,$A$171)))</f>
        <v/>
      </c>
      <c r="M171" s="142" t="str">
        <f>IF(M$3="","",IF(COUNTIFS(BD!$A$3:$A$5001,M$3,BD!$B$3:$B$5001,$A$171,BD!$C$3:$C$5001,"&lt;&gt;")=0,"",SUMIFS(BD!$C$3:$C$5001,BD!$A$3:$A$5001,M$3,BD!$B$3:$B$5001,$A$171)))</f>
        <v/>
      </c>
      <c r="N171" s="142" t="str">
        <f>IF(N$3="","",IF(COUNTIFS(BD!$A$3:$A$5001,N$3,BD!$B$3:$B$5001,$A$171,BD!$C$3:$C$5001,"&lt;&gt;")=0,"",SUMIFS(BD!$C$3:$C$5001,BD!$A$3:$A$5001,N$3,BD!$B$3:$B$5001,$A$171)))</f>
        <v/>
      </c>
      <c r="O171" s="142" t="str">
        <f>IF(O$3="","",IF(COUNTIFS(BD!$A$3:$A$5001,O$3,BD!$B$3:$B$5001,$A$171,BD!$C$3:$C$5001,"&lt;&gt;")=0,"",SUMIFS(BD!$C$3:$C$5001,BD!$A$3:$A$5001,O$3,BD!$B$3:$B$5001,$A$171)))</f>
        <v/>
      </c>
      <c r="P171" s="142" t="str">
        <f>IF(P$3="","",IF(COUNTIFS(BD!$A$3:$A$5001,P$3,BD!$B$3:$B$5001,$A$171,BD!$C$3:$C$5001,"&lt;&gt;")=0,"",SUMIFS(BD!$C$3:$C$5001,BD!$A$3:$A$5001,P$3,BD!$B$3:$B$5001,$A$171)))</f>
        <v/>
      </c>
      <c r="Q171" s="142" t="str">
        <f>IF(Q$3="","",IF(COUNTIFS(BD!$A$3:$A$5001,Q$3,BD!$B$3:$B$5001,$A$171,BD!$C$3:$C$5001,"&lt;&gt;")=0,"",SUMIFS(BD!$C$3:$C$5001,BD!$A$3:$A$5001,Q$3,BD!$B$3:$B$5001,$A$171)))</f>
        <v/>
      </c>
      <c r="R171" s="142" t="str">
        <f>IF(R$3="","",IF(COUNTIFS(BD!$A$3:$A$5001,R$3,BD!$B$3:$B$5001,$A$171,BD!$C$3:$C$5001,"&lt;&gt;")=0,"",SUMIFS(BD!$C$3:$C$5001,BD!$A$3:$A$5001,R$3,BD!$B$3:$B$5001,$A$171)))</f>
        <v/>
      </c>
      <c r="S171" s="142" t="str">
        <f>IF(S$3="","",IF(COUNTIFS(BD!$A$3:$A$5001,S$3,BD!$B$3:$B$5001,$A$171,BD!$C$3:$C$5001,"&lt;&gt;")=0,"",SUMIFS(BD!$C$3:$C$5001,BD!$A$3:$A$5001,S$3,BD!$B$3:$B$5001,$A$171)))</f>
        <v/>
      </c>
      <c r="T171" s="142" t="str">
        <f>IF(T$3="","",IF(COUNTIFS(BD!$A$3:$A$5001,T$3,BD!$B$3:$B$5001,$A$171,BD!$C$3:$C$5001,"&lt;&gt;")=0,"",SUMIFS(BD!$C$3:$C$5001,BD!$A$3:$A$5001,T$3,BD!$B$3:$B$5001,$A$171)))</f>
        <v/>
      </c>
      <c r="U171" s="142" t="str">
        <f>IF(U$3="","",IF(COUNTIFS(BD!$A$3:$A$5001,U$3,BD!$B$3:$B$5001,$A$171,BD!$C$3:$C$5001,"&lt;&gt;")=0,"",SUMIFS(BD!$C$3:$C$5001,BD!$A$3:$A$5001,U$3,BD!$B$3:$B$5001,$A$171)))</f>
        <v/>
      </c>
      <c r="V171" s="142" t="str">
        <f>IF(V$3="","",IF(COUNTIFS(BD!$A$3:$A$5001,V$3,BD!$B$3:$B$5001,$A$171,BD!$C$3:$C$5001,"&lt;&gt;")=0,"",SUMIFS(BD!$C$3:$C$5001,BD!$A$3:$A$5001,V$3,BD!$B$3:$B$5001,$A$171)))</f>
        <v/>
      </c>
      <c r="W171" s="142" t="str">
        <f>IF(W$3="","",IF(COUNTIFS(BD!$A$3:$A$5001,W$3,BD!$B$3:$B$5001,$A$171,BD!$C$3:$C$5001,"&lt;&gt;")=0,"",SUMIFS(BD!$C$3:$C$5001,BD!$A$3:$A$5001,W$3,BD!$B$3:$B$5001,$A$171)))</f>
        <v/>
      </c>
      <c r="X171" s="142" t="str">
        <f>IF(X$3="","",IF(COUNTIFS(BD!$A$3:$A$5001,X$3,BD!$B$3:$B$5001,$A$171,BD!$C$3:$C$5001,"&lt;&gt;")=0,"",SUMIFS(BD!$C$3:$C$5001,BD!$A$3:$A$5001,X$3,BD!$B$3:$B$5001,$A$171)))</f>
        <v/>
      </c>
      <c r="Y171" s="142" t="str">
        <f>IF(Y$3="","",IF(COUNTIFS(BD!$A$3:$A$5001,Y$3,BD!$B$3:$B$5001,$A$171,BD!$C$3:$C$5001,"&lt;&gt;")=0,"",SUMIFS(BD!$C$3:$C$5001,BD!$A$3:$A$5001,Y$3,BD!$B$3:$B$5001,$A$171)))</f>
        <v/>
      </c>
      <c r="Z171" s="142" t="str">
        <f>IF(Z$3="","",IF(COUNTIFS(BD!$A$3:$A$5001,Z$3,BD!$B$3:$B$5001,$A$171,BD!$C$3:$C$5001,"&lt;&gt;")=0,"",SUMIFS(BD!$C$3:$C$5001,BD!$A$3:$A$5001,Z$3,BD!$B$3:$B$5001,$A$171)))</f>
        <v/>
      </c>
      <c r="AA171" s="142" t="str">
        <f>IF(AA$3="","",IF(COUNTIFS(BD!$A$3:$A$5001,AA$3,BD!$B$3:$B$5001,$A$171,BD!$C$3:$C$5001,"&lt;&gt;")=0,"",SUMIFS(BD!$C$3:$C$5001,BD!$A$3:$A$5001,AA$3,BD!$B$3:$B$5001,$A$171)))</f>
        <v/>
      </c>
      <c r="AB171" s="142" t="str">
        <f>IF(AB$3="","",IF(COUNTIFS(BD!$A$3:$A$5001,AB$3,BD!$B$3:$B$5001,$A$171,BD!$C$3:$C$5001,"&lt;&gt;")=0,"",SUMIFS(BD!$C$3:$C$5001,BD!$A$3:$A$5001,AB$3,BD!$B$3:$B$5001,$A$171)))</f>
        <v/>
      </c>
      <c r="AC171" s="142" t="str">
        <f>IF(AC$3="","",IF(COUNTIFS(BD!$A$3:$A$5001,AC$3,BD!$B$3:$B$5001,$A$171,BD!$C$3:$C$5001,"&lt;&gt;")=0,"",SUMIFS(BD!$C$3:$C$5001,BD!$A$3:$A$5001,AC$3,BD!$B$3:$B$5001,$A$171)))</f>
        <v/>
      </c>
      <c r="AD171" s="142" t="str">
        <f>IF(AD$3="","",IF(COUNTIFS(BD!$A$3:$A$5001,AD$3,BD!$B$3:$B$5001,$A$171,BD!$C$3:$C$5001,"&lt;&gt;")=0,"",SUMIFS(BD!$C$3:$C$5001,BD!$A$3:$A$5001,AD$3,BD!$B$3:$B$5001,$A$171)))</f>
        <v/>
      </c>
      <c r="AE171" s="142" t="str">
        <f>IF(AE$3="","",IF(COUNTIFS(BD!$A$3:$A$5001,AE$3,BD!$B$3:$B$5001,$A$171,BD!$C$3:$C$5001,"&lt;&gt;")=0,"",SUMIFS(BD!$C$3:$C$5001,BD!$A$3:$A$5001,AE$3,BD!$B$3:$B$5001,$A$171)))</f>
        <v/>
      </c>
      <c r="AF171" s="142" t="str">
        <f>IF(AF$3="","",IF(COUNTIFS(BD!$A$3:$A$5001,AF$3,BD!$B$3:$B$5001,$A$171,BD!$C$3:$C$5001,"&lt;&gt;")=0,"",SUMIFS(BD!$C$3:$C$5001,BD!$A$3:$A$5001,AF$3,BD!$B$3:$B$5001,$A$171)))</f>
        <v/>
      </c>
      <c r="AG171" s="142" t="str">
        <f>IF(AG$3="","",IF(COUNTIFS(BD!$A$3:$A$5001,AG$3,BD!$B$3:$B$5001,$A$171,BD!$C$3:$C$5001,"&lt;&gt;")=0,"",SUMIFS(BD!$C$3:$C$5001,BD!$A$3:$A$5001,AG$3,BD!$B$3:$B$5001,$A$171)))</f>
        <v/>
      </c>
      <c r="AH171" s="142" t="str">
        <f>IF(AH$3="","",IF(COUNTIFS(BD!$A$3:$A$5001,AH$3,BD!$B$3:$B$5001,$A$171,BD!$C$3:$C$5001,"&lt;&gt;")=0,"",SUMIFS(BD!$C$3:$C$5001,BD!$A$3:$A$5001,AH$3,BD!$B$3:$B$5001,$A$171)))</f>
        <v/>
      </c>
      <c r="AI171" s="142" t="str">
        <f>IF(AI$3="","",IF(COUNTIFS(BD!$A$3:$A$5001,AI$3,BD!$B$3:$B$5001,$A$171,BD!$C$3:$C$5001,"&lt;&gt;")=0,"",SUMIFS(BD!$C$3:$C$5001,BD!$A$3:$A$5001,AI$3,BD!$B$3:$B$5001,$A$171)))</f>
        <v/>
      </c>
      <c r="AJ171" s="143" t="str">
        <f>IF(AJ$3="","",IF(COUNTIFS(BD!$A$3:$A$5001,AJ$3,BD!$B$3:$B$5001,$A$171,BD!$C$3:$C$5001,"&lt;&gt;")=0,"",SUMIFS(BD!$C$3:$C$5001,BD!$A$3:$A$5001,AJ$3,BD!$B$3:$B$5001,$A$171)))</f>
        <v/>
      </c>
      <c r="AK171" s="144" t="str">
        <f>IF(COUNT(F171:AJ171)=0,"",SUM(F171:AJ171))</f>
        <v/>
      </c>
    </row>
    <row r="172" ht="15.75" customHeight="1">
      <c r="A172" s="227"/>
      <c r="B172" s="216"/>
      <c r="C172" s="145" t="inlineStr">
        <is>
          <t xml:space="preserve">Linhas NF</t>
        </is>
      </c>
      <c r="D172" s="146" t="str">
        <f>IFERROR(1/(1/INDEX(BD!$AK$26:$AT$26,MATCH($A$171,BD!$AK$22:$AT$22,0))),"")</f>
        <v/>
      </c>
      <c r="E172" s="147"/>
      <c r="F172" s="148" t="str">
        <f>IF(F$3="","",IF(COUNTIFS(BD!$A$3:$A$5001,F$3,BD!$B$3:$B$5001,$A$171,BD!$F$3:$F$5001,"&lt;&gt;")=0,"",SUMIFS(BD!$F$3:$F$5001,BD!$A$3:$A$5001,F$3,BD!$B$3:$B$5001,$A$171)))</f>
        <v/>
      </c>
      <c r="G172" s="149" t="str">
        <f>IF(G$3="","",IF(COUNTIFS(BD!$A$3:$A$5001,G$3,BD!$B$3:$B$5001,$A$171,BD!$F$3:$F$5001,"&lt;&gt;")=0,"",SUMIFS(BD!$F$3:$F$5001,BD!$A$3:$A$5001,G$3,BD!$B$3:$B$5001,$A$171)))</f>
        <v/>
      </c>
      <c r="H172" s="149" t="str">
        <f>IF(H$3="","",IF(COUNTIFS(BD!$A$3:$A$5001,H$3,BD!$B$3:$B$5001,$A$171,BD!$F$3:$F$5001,"&lt;&gt;")=0,"",SUMIFS(BD!$F$3:$F$5001,BD!$A$3:$A$5001,H$3,BD!$B$3:$B$5001,$A$171)))</f>
        <v/>
      </c>
      <c r="I172" s="149" t="str">
        <f>IF(I$3="","",IF(COUNTIFS(BD!$A$3:$A$5001,I$3,BD!$B$3:$B$5001,$A$171,BD!$F$3:$F$5001,"&lt;&gt;")=0,"",SUMIFS(BD!$F$3:$F$5001,BD!$A$3:$A$5001,I$3,BD!$B$3:$B$5001,$A$171)))</f>
        <v/>
      </c>
      <c r="J172" s="149" t="str">
        <f>IF(J$3="","",IF(COUNTIFS(BD!$A$3:$A$5001,J$3,BD!$B$3:$B$5001,$A$171,BD!$F$3:$F$5001,"&lt;&gt;")=0,"",SUMIFS(BD!$F$3:$F$5001,BD!$A$3:$A$5001,J$3,BD!$B$3:$B$5001,$A$171)))</f>
        <v/>
      </c>
      <c r="K172" s="149" t="str">
        <f>IF(K$3="","",IF(COUNTIFS(BD!$A$3:$A$5001,K$3,BD!$B$3:$B$5001,$A$171,BD!$F$3:$F$5001,"&lt;&gt;")=0,"",SUMIFS(BD!$F$3:$F$5001,BD!$A$3:$A$5001,K$3,BD!$B$3:$B$5001,$A$171)))</f>
        <v/>
      </c>
      <c r="L172" s="149" t="str">
        <f>IF(L$3="","",IF(COUNTIFS(BD!$A$3:$A$5001,L$3,BD!$B$3:$B$5001,$A$171,BD!$F$3:$F$5001,"&lt;&gt;")=0,"",SUMIFS(BD!$F$3:$F$5001,BD!$A$3:$A$5001,L$3,BD!$B$3:$B$5001,$A$171)))</f>
        <v/>
      </c>
      <c r="M172" s="149" t="str">
        <f>IF(M$3="","",IF(COUNTIFS(BD!$A$3:$A$5001,M$3,BD!$B$3:$B$5001,$A$171,BD!$F$3:$F$5001,"&lt;&gt;")=0,"",SUMIFS(BD!$F$3:$F$5001,BD!$A$3:$A$5001,M$3,BD!$B$3:$B$5001,$A$171)))</f>
        <v/>
      </c>
      <c r="N172" s="149" t="str">
        <f>IF(N$3="","",IF(COUNTIFS(BD!$A$3:$A$5001,N$3,BD!$B$3:$B$5001,$A$171,BD!$F$3:$F$5001,"&lt;&gt;")=0,"",SUMIFS(BD!$F$3:$F$5001,BD!$A$3:$A$5001,N$3,BD!$B$3:$B$5001,$A$171)))</f>
        <v/>
      </c>
      <c r="O172" s="149" t="str">
        <f>IF(O$3="","",IF(COUNTIFS(BD!$A$3:$A$5001,O$3,BD!$B$3:$B$5001,$A$171,BD!$F$3:$F$5001,"&lt;&gt;")=0,"",SUMIFS(BD!$F$3:$F$5001,BD!$A$3:$A$5001,O$3,BD!$B$3:$B$5001,$A$171)))</f>
        <v/>
      </c>
      <c r="P172" s="149" t="str">
        <f>IF(P$3="","",IF(COUNTIFS(BD!$A$3:$A$5001,P$3,BD!$B$3:$B$5001,$A$171,BD!$F$3:$F$5001,"&lt;&gt;")=0,"",SUMIFS(BD!$F$3:$F$5001,BD!$A$3:$A$5001,P$3,BD!$B$3:$B$5001,$A$171)))</f>
        <v/>
      </c>
      <c r="Q172" s="149" t="str">
        <f>IF(Q$3="","",IF(COUNTIFS(BD!$A$3:$A$5001,Q$3,BD!$B$3:$B$5001,$A$171,BD!$F$3:$F$5001,"&lt;&gt;")=0,"",SUMIFS(BD!$F$3:$F$5001,BD!$A$3:$A$5001,Q$3,BD!$B$3:$B$5001,$A$171)))</f>
        <v/>
      </c>
      <c r="R172" s="149" t="str">
        <f>IF(R$3="","",IF(COUNTIFS(BD!$A$3:$A$5001,R$3,BD!$B$3:$B$5001,$A$171,BD!$F$3:$F$5001,"&lt;&gt;")=0,"",SUMIFS(BD!$F$3:$F$5001,BD!$A$3:$A$5001,R$3,BD!$B$3:$B$5001,$A$171)))</f>
        <v/>
      </c>
      <c r="S172" s="149" t="str">
        <f>IF(S$3="","",IF(COUNTIFS(BD!$A$3:$A$5001,S$3,BD!$B$3:$B$5001,$A$171,BD!$F$3:$F$5001,"&lt;&gt;")=0,"",SUMIFS(BD!$F$3:$F$5001,BD!$A$3:$A$5001,S$3,BD!$B$3:$B$5001,$A$171)))</f>
        <v/>
      </c>
      <c r="T172" s="149" t="str">
        <f>IF(T$3="","",IF(COUNTIFS(BD!$A$3:$A$5001,T$3,BD!$B$3:$B$5001,$A$171,BD!$F$3:$F$5001,"&lt;&gt;")=0,"",SUMIFS(BD!$F$3:$F$5001,BD!$A$3:$A$5001,T$3,BD!$B$3:$B$5001,$A$171)))</f>
        <v/>
      </c>
      <c r="U172" s="149" t="str">
        <f>IF(U$3="","",IF(COUNTIFS(BD!$A$3:$A$5001,U$3,BD!$B$3:$B$5001,$A$171,BD!$F$3:$F$5001,"&lt;&gt;")=0,"",SUMIFS(BD!$F$3:$F$5001,BD!$A$3:$A$5001,U$3,BD!$B$3:$B$5001,$A$171)))</f>
        <v/>
      </c>
      <c r="V172" s="149" t="str">
        <f>IF(V$3="","",IF(COUNTIFS(BD!$A$3:$A$5001,V$3,BD!$B$3:$B$5001,$A$171,BD!$F$3:$F$5001,"&lt;&gt;")=0,"",SUMIFS(BD!$F$3:$F$5001,BD!$A$3:$A$5001,V$3,BD!$B$3:$B$5001,$A$171)))</f>
        <v/>
      </c>
      <c r="W172" s="149" t="str">
        <f>IF(W$3="","",IF(COUNTIFS(BD!$A$3:$A$5001,W$3,BD!$B$3:$B$5001,$A$171,BD!$F$3:$F$5001,"&lt;&gt;")=0,"",SUMIFS(BD!$F$3:$F$5001,BD!$A$3:$A$5001,W$3,BD!$B$3:$B$5001,$A$171)))</f>
        <v/>
      </c>
      <c r="X172" s="149" t="str">
        <f>IF(X$3="","",IF(COUNTIFS(BD!$A$3:$A$5001,X$3,BD!$B$3:$B$5001,$A$171,BD!$F$3:$F$5001,"&lt;&gt;")=0,"",SUMIFS(BD!$F$3:$F$5001,BD!$A$3:$A$5001,X$3,BD!$B$3:$B$5001,$A$171)))</f>
        <v/>
      </c>
      <c r="Y172" s="149" t="str">
        <f>IF(Y$3="","",IF(COUNTIFS(BD!$A$3:$A$5001,Y$3,BD!$B$3:$B$5001,$A$171,BD!$F$3:$F$5001,"&lt;&gt;")=0,"",SUMIFS(BD!$F$3:$F$5001,BD!$A$3:$A$5001,Y$3,BD!$B$3:$B$5001,$A$171)))</f>
        <v/>
      </c>
      <c r="Z172" s="149" t="str">
        <f>IF(Z$3="","",IF(COUNTIFS(BD!$A$3:$A$5001,Z$3,BD!$B$3:$B$5001,$A$171,BD!$F$3:$F$5001,"&lt;&gt;")=0,"",SUMIFS(BD!$F$3:$F$5001,BD!$A$3:$A$5001,Z$3,BD!$B$3:$B$5001,$A$171)))</f>
        <v/>
      </c>
      <c r="AA172" s="149" t="str">
        <f>IF(AA$3="","",IF(COUNTIFS(BD!$A$3:$A$5001,AA$3,BD!$B$3:$B$5001,$A$171,BD!$F$3:$F$5001,"&lt;&gt;")=0,"",SUMIFS(BD!$F$3:$F$5001,BD!$A$3:$A$5001,AA$3,BD!$B$3:$B$5001,$A$171)))</f>
        <v/>
      </c>
      <c r="AB172" s="149" t="str">
        <f>IF(AB$3="","",IF(COUNTIFS(BD!$A$3:$A$5001,AB$3,BD!$B$3:$B$5001,$A$171,BD!$F$3:$F$5001,"&lt;&gt;")=0,"",SUMIFS(BD!$F$3:$F$5001,BD!$A$3:$A$5001,AB$3,BD!$B$3:$B$5001,$A$171)))</f>
        <v/>
      </c>
      <c r="AC172" s="149" t="str">
        <f>IF(AC$3="","",IF(COUNTIFS(BD!$A$3:$A$5001,AC$3,BD!$B$3:$B$5001,$A$171,BD!$F$3:$F$5001,"&lt;&gt;")=0,"",SUMIFS(BD!$F$3:$F$5001,BD!$A$3:$A$5001,AC$3,BD!$B$3:$B$5001,$A$171)))</f>
        <v/>
      </c>
      <c r="AD172" s="149" t="str">
        <f>IF(AD$3="","",IF(COUNTIFS(BD!$A$3:$A$5001,AD$3,BD!$B$3:$B$5001,$A$171,BD!$F$3:$F$5001,"&lt;&gt;")=0,"",SUMIFS(BD!$F$3:$F$5001,BD!$A$3:$A$5001,AD$3,BD!$B$3:$B$5001,$A$171)))</f>
        <v/>
      </c>
      <c r="AE172" s="149" t="str">
        <f>IF(AE$3="","",IF(COUNTIFS(BD!$A$3:$A$5001,AE$3,BD!$B$3:$B$5001,$A$171,BD!$F$3:$F$5001,"&lt;&gt;")=0,"",SUMIFS(BD!$F$3:$F$5001,BD!$A$3:$A$5001,AE$3,BD!$B$3:$B$5001,$A$171)))</f>
        <v/>
      </c>
      <c r="AF172" s="149" t="str">
        <f>IF(AF$3="","",IF(COUNTIFS(BD!$A$3:$A$5001,AF$3,BD!$B$3:$B$5001,$A$171,BD!$F$3:$F$5001,"&lt;&gt;")=0,"",SUMIFS(BD!$F$3:$F$5001,BD!$A$3:$A$5001,AF$3,BD!$B$3:$B$5001,$A$171)))</f>
        <v/>
      </c>
      <c r="AG172" s="149" t="str">
        <f>IF(AG$3="","",IF(COUNTIFS(BD!$A$3:$A$5001,AG$3,BD!$B$3:$B$5001,$A$171,BD!$F$3:$F$5001,"&lt;&gt;")=0,"",SUMIFS(BD!$F$3:$F$5001,BD!$A$3:$A$5001,AG$3,BD!$B$3:$B$5001,$A$171)))</f>
        <v/>
      </c>
      <c r="AH172" s="149" t="str">
        <f>IF(AH$3="","",IF(COUNTIFS(BD!$A$3:$A$5001,AH$3,BD!$B$3:$B$5001,$A$171,BD!$F$3:$F$5001,"&lt;&gt;")=0,"",SUMIFS(BD!$F$3:$F$5001,BD!$A$3:$A$5001,AH$3,BD!$B$3:$B$5001,$A$171)))</f>
        <v/>
      </c>
      <c r="AI172" s="149" t="str">
        <f>IF(AI$3="","",IF(COUNTIFS(BD!$A$3:$A$5001,AI$3,BD!$B$3:$B$5001,$A$171,BD!$F$3:$F$5001,"&lt;&gt;")=0,"",SUMIFS(BD!$F$3:$F$5001,BD!$A$3:$A$5001,AI$3,BD!$B$3:$B$5001,$A$171)))</f>
        <v/>
      </c>
      <c r="AJ172" s="150" t="str">
        <f>IF(AJ$3="","",IF(COUNTIFS(BD!$A$3:$A$5001,AJ$3,BD!$B$3:$B$5001,$A$171,BD!$F$3:$F$5001,"&lt;&gt;")=0,"",SUMIFS(BD!$F$3:$F$5001,BD!$A$3:$A$5001,AJ$3,BD!$B$3:$B$5001,$A$171)))</f>
        <v/>
      </c>
      <c r="AK172" s="146" t="str">
        <f>IF(COUNT(F172:AJ172)=0,"",SUM(F172:AJ172))</f>
        <v/>
      </c>
    </row>
    <row r="173" ht="15.75" customHeight="1">
      <c r="A173" s="227"/>
      <c r="B173" s="217" t="inlineStr">
        <is>
          <t xml:space="preserve">OUT</t>
        </is>
      </c>
      <c r="C173" s="151" t="inlineStr">
        <is>
          <t xml:space="preserve">Veículos Expedidos</t>
        </is>
      </c>
      <c r="D173" s="152" t="str">
        <f>IFERROR(1/(1/INDEX(BD!$AK$32:$AT$32,MATCH($A$171,BD!$AK$22:$AT$22,0))),"")</f>
        <v/>
      </c>
      <c r="E173" s="153"/>
      <c r="F173" s="154" t="str">
        <f>IF(F$3="","",IF(COUNTIFS(BD!$A$3:$A$5001,F$3,BD!$B$3:$B$5001,$A$171,BD!$L$3:$L$5001,"&lt;&gt;")=0,"",SUMIFS(BD!$L$3:$L$5001,BD!$A$3:$A$5001,F$3,BD!$B$3:$B$5001,$A$171)))</f>
        <v/>
      </c>
      <c r="G173" s="155" t="str">
        <f>IF(G$3="","",IF(COUNTIFS(BD!$A$3:$A$5001,G$3,BD!$B$3:$B$5001,$A$171,BD!$L$3:$L$5001,"&lt;&gt;")=0,"",SUMIFS(BD!$L$3:$L$5001,BD!$A$3:$A$5001,G$3,BD!$B$3:$B$5001,$A$171)))</f>
        <v/>
      </c>
      <c r="H173" s="155" t="str">
        <f>IF(H$3="","",IF(COUNTIFS(BD!$A$3:$A$5001,H$3,BD!$B$3:$B$5001,$A$171,BD!$L$3:$L$5001,"&lt;&gt;")=0,"",SUMIFS(BD!$L$3:$L$5001,BD!$A$3:$A$5001,H$3,BD!$B$3:$B$5001,$A$171)))</f>
        <v/>
      </c>
      <c r="I173" s="155" t="str">
        <f>IF(I$3="","",IF(COUNTIFS(BD!$A$3:$A$5001,I$3,BD!$B$3:$B$5001,$A$171,BD!$L$3:$L$5001,"&lt;&gt;")=0,"",SUMIFS(BD!$L$3:$L$5001,BD!$A$3:$A$5001,I$3,BD!$B$3:$B$5001,$A$171)))</f>
        <v/>
      </c>
      <c r="J173" s="155" t="str">
        <f>IF(J$3="","",IF(COUNTIFS(BD!$A$3:$A$5001,J$3,BD!$B$3:$B$5001,$A$171,BD!$L$3:$L$5001,"&lt;&gt;")=0,"",SUMIFS(BD!$L$3:$L$5001,BD!$A$3:$A$5001,J$3,BD!$B$3:$B$5001,$A$171)))</f>
        <v/>
      </c>
      <c r="K173" s="155" t="str">
        <f>IF(K$3="","",IF(COUNTIFS(BD!$A$3:$A$5001,K$3,BD!$B$3:$B$5001,$A$171,BD!$L$3:$L$5001,"&lt;&gt;")=0,"",SUMIFS(BD!$L$3:$L$5001,BD!$A$3:$A$5001,K$3,BD!$B$3:$B$5001,$A$171)))</f>
        <v/>
      </c>
      <c r="L173" s="155" t="str">
        <f>IF(L$3="","",IF(COUNTIFS(BD!$A$3:$A$5001,L$3,BD!$B$3:$B$5001,$A$171,BD!$L$3:$L$5001,"&lt;&gt;")=0,"",SUMIFS(BD!$L$3:$L$5001,BD!$A$3:$A$5001,L$3,BD!$B$3:$B$5001,$A$171)))</f>
        <v/>
      </c>
      <c r="M173" s="155" t="str">
        <f>IF(M$3="","",IF(COUNTIFS(BD!$A$3:$A$5001,M$3,BD!$B$3:$B$5001,$A$171,BD!$L$3:$L$5001,"&lt;&gt;")=0,"",SUMIFS(BD!$L$3:$L$5001,BD!$A$3:$A$5001,M$3,BD!$B$3:$B$5001,$A$171)))</f>
        <v/>
      </c>
      <c r="N173" s="155" t="str">
        <f>IF(N$3="","",IF(COUNTIFS(BD!$A$3:$A$5001,N$3,BD!$B$3:$B$5001,$A$171,BD!$L$3:$L$5001,"&lt;&gt;")=0,"",SUMIFS(BD!$L$3:$L$5001,BD!$A$3:$A$5001,N$3,BD!$B$3:$B$5001,$A$171)))</f>
        <v/>
      </c>
      <c r="O173" s="155" t="str">
        <f>IF(O$3="","",IF(COUNTIFS(BD!$A$3:$A$5001,O$3,BD!$B$3:$B$5001,$A$171,BD!$L$3:$L$5001,"&lt;&gt;")=0,"",SUMIFS(BD!$L$3:$L$5001,BD!$A$3:$A$5001,O$3,BD!$B$3:$B$5001,$A$171)))</f>
        <v/>
      </c>
      <c r="P173" s="155" t="str">
        <f>IF(P$3="","",IF(COUNTIFS(BD!$A$3:$A$5001,P$3,BD!$B$3:$B$5001,$A$171,BD!$L$3:$L$5001,"&lt;&gt;")=0,"",SUMIFS(BD!$L$3:$L$5001,BD!$A$3:$A$5001,P$3,BD!$B$3:$B$5001,$A$171)))</f>
        <v/>
      </c>
      <c r="Q173" s="155" t="str">
        <f>IF(Q$3="","",IF(COUNTIFS(BD!$A$3:$A$5001,Q$3,BD!$B$3:$B$5001,$A$171,BD!$L$3:$L$5001,"&lt;&gt;")=0,"",SUMIFS(BD!$L$3:$L$5001,BD!$A$3:$A$5001,Q$3,BD!$B$3:$B$5001,$A$171)))</f>
        <v/>
      </c>
      <c r="R173" s="155" t="str">
        <f>IF(R$3="","",IF(COUNTIFS(BD!$A$3:$A$5001,R$3,BD!$B$3:$B$5001,$A$171,BD!$L$3:$L$5001,"&lt;&gt;")=0,"",SUMIFS(BD!$L$3:$L$5001,BD!$A$3:$A$5001,R$3,BD!$B$3:$B$5001,$A$171)))</f>
        <v/>
      </c>
      <c r="S173" s="155" t="str">
        <f>IF(S$3="","",IF(COUNTIFS(BD!$A$3:$A$5001,S$3,BD!$B$3:$B$5001,$A$171,BD!$L$3:$L$5001,"&lt;&gt;")=0,"",SUMIFS(BD!$L$3:$L$5001,BD!$A$3:$A$5001,S$3,BD!$B$3:$B$5001,$A$171)))</f>
        <v/>
      </c>
      <c r="T173" s="155" t="str">
        <f>IF(T$3="","",IF(COUNTIFS(BD!$A$3:$A$5001,T$3,BD!$B$3:$B$5001,$A$171,BD!$L$3:$L$5001,"&lt;&gt;")=0,"",SUMIFS(BD!$L$3:$L$5001,BD!$A$3:$A$5001,T$3,BD!$B$3:$B$5001,$A$171)))</f>
        <v/>
      </c>
      <c r="U173" s="155" t="str">
        <f>IF(U$3="","",IF(COUNTIFS(BD!$A$3:$A$5001,U$3,BD!$B$3:$B$5001,$A$171,BD!$L$3:$L$5001,"&lt;&gt;")=0,"",SUMIFS(BD!$L$3:$L$5001,BD!$A$3:$A$5001,U$3,BD!$B$3:$B$5001,$A$171)))</f>
        <v/>
      </c>
      <c r="V173" s="155" t="str">
        <f>IF(V$3="","",IF(COUNTIFS(BD!$A$3:$A$5001,V$3,BD!$B$3:$B$5001,$A$171,BD!$L$3:$L$5001,"&lt;&gt;")=0,"",SUMIFS(BD!$L$3:$L$5001,BD!$A$3:$A$5001,V$3,BD!$B$3:$B$5001,$A$171)))</f>
        <v/>
      </c>
      <c r="W173" s="155" t="str">
        <f>IF(W$3="","",IF(COUNTIFS(BD!$A$3:$A$5001,W$3,BD!$B$3:$B$5001,$A$171,BD!$L$3:$L$5001,"&lt;&gt;")=0,"",SUMIFS(BD!$L$3:$L$5001,BD!$A$3:$A$5001,W$3,BD!$B$3:$B$5001,$A$171)))</f>
        <v/>
      </c>
      <c r="X173" s="155" t="str">
        <f>IF(X$3="","",IF(COUNTIFS(BD!$A$3:$A$5001,X$3,BD!$B$3:$B$5001,$A$171,BD!$L$3:$L$5001,"&lt;&gt;")=0,"",SUMIFS(BD!$L$3:$L$5001,BD!$A$3:$A$5001,X$3,BD!$B$3:$B$5001,$A$171)))</f>
        <v/>
      </c>
      <c r="Y173" s="155" t="str">
        <f>IF(Y$3="","",IF(COUNTIFS(BD!$A$3:$A$5001,Y$3,BD!$B$3:$B$5001,$A$171,BD!$L$3:$L$5001,"&lt;&gt;")=0,"",SUMIFS(BD!$L$3:$L$5001,BD!$A$3:$A$5001,Y$3,BD!$B$3:$B$5001,$A$171)))</f>
        <v/>
      </c>
      <c r="Z173" s="155" t="str">
        <f>IF(Z$3="","",IF(COUNTIFS(BD!$A$3:$A$5001,Z$3,BD!$B$3:$B$5001,$A$171,BD!$L$3:$L$5001,"&lt;&gt;")=0,"",SUMIFS(BD!$L$3:$L$5001,BD!$A$3:$A$5001,Z$3,BD!$B$3:$B$5001,$A$171)))</f>
        <v/>
      </c>
      <c r="AA173" s="155" t="str">
        <f>IF(AA$3="","",IF(COUNTIFS(BD!$A$3:$A$5001,AA$3,BD!$B$3:$B$5001,$A$171,BD!$L$3:$L$5001,"&lt;&gt;")=0,"",SUMIFS(BD!$L$3:$L$5001,BD!$A$3:$A$5001,AA$3,BD!$B$3:$B$5001,$A$171)))</f>
        <v/>
      </c>
      <c r="AB173" s="155" t="str">
        <f>IF(AB$3="","",IF(COUNTIFS(BD!$A$3:$A$5001,AB$3,BD!$B$3:$B$5001,$A$171,BD!$L$3:$L$5001,"&lt;&gt;")=0,"",SUMIFS(BD!$L$3:$L$5001,BD!$A$3:$A$5001,AB$3,BD!$B$3:$B$5001,$A$171)))</f>
        <v/>
      </c>
      <c r="AC173" s="155" t="str">
        <f>IF(AC$3="","",IF(COUNTIFS(BD!$A$3:$A$5001,AC$3,BD!$B$3:$B$5001,$A$171,BD!$L$3:$L$5001,"&lt;&gt;")=0,"",SUMIFS(BD!$L$3:$L$5001,BD!$A$3:$A$5001,AC$3,BD!$B$3:$B$5001,$A$171)))</f>
        <v/>
      </c>
      <c r="AD173" s="155" t="str">
        <f>IF(AD$3="","",IF(COUNTIFS(BD!$A$3:$A$5001,AD$3,BD!$B$3:$B$5001,$A$171,BD!$L$3:$L$5001,"&lt;&gt;")=0,"",SUMIFS(BD!$L$3:$L$5001,BD!$A$3:$A$5001,AD$3,BD!$B$3:$B$5001,$A$171)))</f>
        <v/>
      </c>
      <c r="AE173" s="155" t="str">
        <f>IF(AE$3="","",IF(COUNTIFS(BD!$A$3:$A$5001,AE$3,BD!$B$3:$B$5001,$A$171,BD!$L$3:$L$5001,"&lt;&gt;")=0,"",SUMIFS(BD!$L$3:$L$5001,BD!$A$3:$A$5001,AE$3,BD!$B$3:$B$5001,$A$171)))</f>
        <v/>
      </c>
      <c r="AF173" s="155" t="str">
        <f>IF(AF$3="","",IF(COUNTIFS(BD!$A$3:$A$5001,AF$3,BD!$B$3:$B$5001,$A$171,BD!$L$3:$L$5001,"&lt;&gt;")=0,"",SUMIFS(BD!$L$3:$L$5001,BD!$A$3:$A$5001,AF$3,BD!$B$3:$B$5001,$A$171)))</f>
        <v/>
      </c>
      <c r="AG173" s="155" t="str">
        <f>IF(AG$3="","",IF(COUNTIFS(BD!$A$3:$A$5001,AG$3,BD!$B$3:$B$5001,$A$171,BD!$L$3:$L$5001,"&lt;&gt;")=0,"",SUMIFS(BD!$L$3:$L$5001,BD!$A$3:$A$5001,AG$3,BD!$B$3:$B$5001,$A$171)))</f>
        <v/>
      </c>
      <c r="AH173" s="155" t="str">
        <f>IF(AH$3="","",IF(COUNTIFS(BD!$A$3:$A$5001,AH$3,BD!$B$3:$B$5001,$A$171,BD!$L$3:$L$5001,"&lt;&gt;")=0,"",SUMIFS(BD!$L$3:$L$5001,BD!$A$3:$A$5001,AH$3,BD!$B$3:$B$5001,$A$171)))</f>
        <v/>
      </c>
      <c r="AI173" s="155" t="str">
        <f>IF(AI$3="","",IF(COUNTIFS(BD!$A$3:$A$5001,AI$3,BD!$B$3:$B$5001,$A$171,BD!$L$3:$L$5001,"&lt;&gt;")=0,"",SUMIFS(BD!$L$3:$L$5001,BD!$A$3:$A$5001,AI$3,BD!$B$3:$B$5001,$A$171)))</f>
        <v/>
      </c>
      <c r="AJ173" s="156" t="str">
        <f>IF(AJ$3="","",IF(COUNTIFS(BD!$A$3:$A$5001,AJ$3,BD!$B$3:$B$5001,$A$171,BD!$L$3:$L$5001,"&lt;&gt;")=0,"",SUMIFS(BD!$L$3:$L$5001,BD!$A$3:$A$5001,AJ$3,BD!$B$3:$B$5001,$A$171)))</f>
        <v/>
      </c>
      <c r="AK173" s="157" t="str">
        <f>IF(COUNT(F173:AJ173)=0,"",SUM(F173:AJ173))</f>
        <v/>
      </c>
    </row>
    <row r="174" ht="15.75" customHeight="1">
      <c r="A174" s="227"/>
      <c r="B174" s="218"/>
      <c r="C174" s="158" t="inlineStr">
        <is>
          <t xml:space="preserve">Linhas NF</t>
        </is>
      </c>
      <c r="D174" s="159" t="str">
        <f>IFERROR(1/(1/INDEX(BD!$AK$37:$AT$37,MATCH($A$171,BD!$AK$22:$AT$22,0))),"")</f>
        <v/>
      </c>
      <c r="E174" s="160"/>
      <c r="F174" s="161" t="str">
        <f>IF(F$3="","",IF(COUNTIFS(BD!$A$3:$A$5001,F$3,BD!$B$3:$B$5001,$A$171,BD!$Q$3:$Q$5001,"&lt;&gt;")=0,"",SUMIFS(BD!$Q$3:$Q$5001,BD!$A$3:$A$5001,F$3,BD!$B$3:$B$5001,$A$171)))</f>
        <v/>
      </c>
      <c r="G174" s="162" t="str">
        <f>IF(G$3="","",IF(COUNTIFS(BD!$A$3:$A$5001,G$3,BD!$B$3:$B$5001,$A$171,BD!$Q$3:$Q$5001,"&lt;&gt;")=0,"",SUMIFS(BD!$Q$3:$Q$5001,BD!$A$3:$A$5001,G$3,BD!$B$3:$B$5001,$A$171)))</f>
        <v/>
      </c>
      <c r="H174" s="162" t="str">
        <f>IF(H$3="","",IF(COUNTIFS(BD!$A$3:$A$5001,H$3,BD!$B$3:$B$5001,$A$171,BD!$Q$3:$Q$5001,"&lt;&gt;")=0,"",SUMIFS(BD!$Q$3:$Q$5001,BD!$A$3:$A$5001,H$3,BD!$B$3:$B$5001,$A$171)))</f>
        <v/>
      </c>
      <c r="I174" s="162" t="str">
        <f>IF(I$3="","",IF(COUNTIFS(BD!$A$3:$A$5001,I$3,BD!$B$3:$B$5001,$A$171,BD!$Q$3:$Q$5001,"&lt;&gt;")=0,"",SUMIFS(BD!$Q$3:$Q$5001,BD!$A$3:$A$5001,I$3,BD!$B$3:$B$5001,$A$171)))</f>
        <v/>
      </c>
      <c r="J174" s="162" t="str">
        <f>IF(J$3="","",IF(COUNTIFS(BD!$A$3:$A$5001,J$3,BD!$B$3:$B$5001,$A$171,BD!$Q$3:$Q$5001,"&lt;&gt;")=0,"",SUMIFS(BD!$Q$3:$Q$5001,BD!$A$3:$A$5001,J$3,BD!$B$3:$B$5001,$A$171)))</f>
        <v/>
      </c>
      <c r="K174" s="162" t="str">
        <f>IF(K$3="","",IF(COUNTIFS(BD!$A$3:$A$5001,K$3,BD!$B$3:$B$5001,$A$171,BD!$Q$3:$Q$5001,"&lt;&gt;")=0,"",SUMIFS(BD!$Q$3:$Q$5001,BD!$A$3:$A$5001,K$3,BD!$B$3:$B$5001,$A$171)))</f>
        <v/>
      </c>
      <c r="L174" s="162" t="str">
        <f>IF(L$3="","",IF(COUNTIFS(BD!$A$3:$A$5001,L$3,BD!$B$3:$B$5001,$A$171,BD!$Q$3:$Q$5001,"&lt;&gt;")=0,"",SUMIFS(BD!$Q$3:$Q$5001,BD!$A$3:$A$5001,L$3,BD!$B$3:$B$5001,$A$171)))</f>
        <v/>
      </c>
      <c r="M174" s="162" t="str">
        <f>IF(M$3="","",IF(COUNTIFS(BD!$A$3:$A$5001,M$3,BD!$B$3:$B$5001,$A$171,BD!$Q$3:$Q$5001,"&lt;&gt;")=0,"",SUMIFS(BD!$Q$3:$Q$5001,BD!$A$3:$A$5001,M$3,BD!$B$3:$B$5001,$A$171)))</f>
        <v/>
      </c>
      <c r="N174" s="162" t="str">
        <f>IF(N$3="","",IF(COUNTIFS(BD!$A$3:$A$5001,N$3,BD!$B$3:$B$5001,$A$171,BD!$Q$3:$Q$5001,"&lt;&gt;")=0,"",SUMIFS(BD!$Q$3:$Q$5001,BD!$A$3:$A$5001,N$3,BD!$B$3:$B$5001,$A$171)))</f>
        <v/>
      </c>
      <c r="O174" s="162" t="str">
        <f>IF(O$3="","",IF(COUNTIFS(BD!$A$3:$A$5001,O$3,BD!$B$3:$B$5001,$A$171,BD!$Q$3:$Q$5001,"&lt;&gt;")=0,"",SUMIFS(BD!$Q$3:$Q$5001,BD!$A$3:$A$5001,O$3,BD!$B$3:$B$5001,$A$171)))</f>
        <v/>
      </c>
      <c r="P174" s="162" t="str">
        <f>IF(P$3="","",IF(COUNTIFS(BD!$A$3:$A$5001,P$3,BD!$B$3:$B$5001,$A$171,BD!$Q$3:$Q$5001,"&lt;&gt;")=0,"",SUMIFS(BD!$Q$3:$Q$5001,BD!$A$3:$A$5001,P$3,BD!$B$3:$B$5001,$A$171)))</f>
        <v/>
      </c>
      <c r="Q174" s="162" t="str">
        <f>IF(Q$3="","",IF(COUNTIFS(BD!$A$3:$A$5001,Q$3,BD!$B$3:$B$5001,$A$171,BD!$Q$3:$Q$5001,"&lt;&gt;")=0,"",SUMIFS(BD!$Q$3:$Q$5001,BD!$A$3:$A$5001,Q$3,BD!$B$3:$B$5001,$A$171)))</f>
        <v/>
      </c>
      <c r="R174" s="162" t="str">
        <f>IF(R$3="","",IF(COUNTIFS(BD!$A$3:$A$5001,R$3,BD!$B$3:$B$5001,$A$171,BD!$Q$3:$Q$5001,"&lt;&gt;")=0,"",SUMIFS(BD!$Q$3:$Q$5001,BD!$A$3:$A$5001,R$3,BD!$B$3:$B$5001,$A$171)))</f>
        <v/>
      </c>
      <c r="S174" s="162" t="str">
        <f>IF(S$3="","",IF(COUNTIFS(BD!$A$3:$A$5001,S$3,BD!$B$3:$B$5001,$A$171,BD!$Q$3:$Q$5001,"&lt;&gt;")=0,"",SUMIFS(BD!$Q$3:$Q$5001,BD!$A$3:$A$5001,S$3,BD!$B$3:$B$5001,$A$171)))</f>
        <v/>
      </c>
      <c r="T174" s="162" t="str">
        <f>IF(T$3="","",IF(COUNTIFS(BD!$A$3:$A$5001,T$3,BD!$B$3:$B$5001,$A$171,BD!$Q$3:$Q$5001,"&lt;&gt;")=0,"",SUMIFS(BD!$Q$3:$Q$5001,BD!$A$3:$A$5001,T$3,BD!$B$3:$B$5001,$A$171)))</f>
        <v/>
      </c>
      <c r="U174" s="162" t="str">
        <f>IF(U$3="","",IF(COUNTIFS(BD!$A$3:$A$5001,U$3,BD!$B$3:$B$5001,$A$171,BD!$Q$3:$Q$5001,"&lt;&gt;")=0,"",SUMIFS(BD!$Q$3:$Q$5001,BD!$A$3:$A$5001,U$3,BD!$B$3:$B$5001,$A$171)))</f>
        <v/>
      </c>
      <c r="V174" s="162" t="str">
        <f>IF(V$3="","",IF(COUNTIFS(BD!$A$3:$A$5001,V$3,BD!$B$3:$B$5001,$A$171,BD!$Q$3:$Q$5001,"&lt;&gt;")=0,"",SUMIFS(BD!$Q$3:$Q$5001,BD!$A$3:$A$5001,V$3,BD!$B$3:$B$5001,$A$171)))</f>
        <v/>
      </c>
      <c r="W174" s="162" t="str">
        <f>IF(W$3="","",IF(COUNTIFS(BD!$A$3:$A$5001,W$3,BD!$B$3:$B$5001,$A$171,BD!$Q$3:$Q$5001,"&lt;&gt;")=0,"",SUMIFS(BD!$Q$3:$Q$5001,BD!$A$3:$A$5001,W$3,BD!$B$3:$B$5001,$A$171)))</f>
        <v/>
      </c>
      <c r="X174" s="162" t="str">
        <f>IF(X$3="","",IF(COUNTIFS(BD!$A$3:$A$5001,X$3,BD!$B$3:$B$5001,$A$171,BD!$Q$3:$Q$5001,"&lt;&gt;")=0,"",SUMIFS(BD!$Q$3:$Q$5001,BD!$A$3:$A$5001,X$3,BD!$B$3:$B$5001,$A$171)))</f>
        <v/>
      </c>
      <c r="Y174" s="162" t="str">
        <f>IF(Y$3="","",IF(COUNTIFS(BD!$A$3:$A$5001,Y$3,BD!$B$3:$B$5001,$A$171,BD!$Q$3:$Q$5001,"&lt;&gt;")=0,"",SUMIFS(BD!$Q$3:$Q$5001,BD!$A$3:$A$5001,Y$3,BD!$B$3:$B$5001,$A$171)))</f>
        <v/>
      </c>
      <c r="Z174" s="162" t="str">
        <f>IF(Z$3="","",IF(COUNTIFS(BD!$A$3:$A$5001,Z$3,BD!$B$3:$B$5001,$A$171,BD!$Q$3:$Q$5001,"&lt;&gt;")=0,"",SUMIFS(BD!$Q$3:$Q$5001,BD!$A$3:$A$5001,Z$3,BD!$B$3:$B$5001,$A$171)))</f>
        <v/>
      </c>
      <c r="AA174" s="162" t="str">
        <f>IF(AA$3="","",IF(COUNTIFS(BD!$A$3:$A$5001,AA$3,BD!$B$3:$B$5001,$A$171,BD!$Q$3:$Q$5001,"&lt;&gt;")=0,"",SUMIFS(BD!$Q$3:$Q$5001,BD!$A$3:$A$5001,AA$3,BD!$B$3:$B$5001,$A$171)))</f>
        <v/>
      </c>
      <c r="AB174" s="162" t="str">
        <f>IF(AB$3="","",IF(COUNTIFS(BD!$A$3:$A$5001,AB$3,BD!$B$3:$B$5001,$A$171,BD!$Q$3:$Q$5001,"&lt;&gt;")=0,"",SUMIFS(BD!$Q$3:$Q$5001,BD!$A$3:$A$5001,AB$3,BD!$B$3:$B$5001,$A$171)))</f>
        <v/>
      </c>
      <c r="AC174" s="162" t="str">
        <f>IF(AC$3="","",IF(COUNTIFS(BD!$A$3:$A$5001,AC$3,BD!$B$3:$B$5001,$A$171,BD!$Q$3:$Q$5001,"&lt;&gt;")=0,"",SUMIFS(BD!$Q$3:$Q$5001,BD!$A$3:$A$5001,AC$3,BD!$B$3:$B$5001,$A$171)))</f>
        <v/>
      </c>
      <c r="AD174" s="162" t="str">
        <f>IF(AD$3="","",IF(COUNTIFS(BD!$A$3:$A$5001,AD$3,BD!$B$3:$B$5001,$A$171,BD!$Q$3:$Q$5001,"&lt;&gt;")=0,"",SUMIFS(BD!$Q$3:$Q$5001,BD!$A$3:$A$5001,AD$3,BD!$B$3:$B$5001,$A$171)))</f>
        <v/>
      </c>
      <c r="AE174" s="162" t="str">
        <f>IF(AE$3="","",IF(COUNTIFS(BD!$A$3:$A$5001,AE$3,BD!$B$3:$B$5001,$A$171,BD!$Q$3:$Q$5001,"&lt;&gt;")=0,"",SUMIFS(BD!$Q$3:$Q$5001,BD!$A$3:$A$5001,AE$3,BD!$B$3:$B$5001,$A$171)))</f>
        <v/>
      </c>
      <c r="AF174" s="162" t="str">
        <f>IF(AF$3="","",IF(COUNTIFS(BD!$A$3:$A$5001,AF$3,BD!$B$3:$B$5001,$A$171,BD!$Q$3:$Q$5001,"&lt;&gt;")=0,"",SUMIFS(BD!$Q$3:$Q$5001,BD!$A$3:$A$5001,AF$3,BD!$B$3:$B$5001,$A$171)))</f>
        <v/>
      </c>
      <c r="AG174" s="162" t="str">
        <f>IF(AG$3="","",IF(COUNTIFS(BD!$A$3:$A$5001,AG$3,BD!$B$3:$B$5001,$A$171,BD!$Q$3:$Q$5001,"&lt;&gt;")=0,"",SUMIFS(BD!$Q$3:$Q$5001,BD!$A$3:$A$5001,AG$3,BD!$B$3:$B$5001,$A$171)))</f>
        <v/>
      </c>
      <c r="AH174" s="162" t="str">
        <f>IF(AH$3="","",IF(COUNTIFS(BD!$A$3:$A$5001,AH$3,BD!$B$3:$B$5001,$A$171,BD!$Q$3:$Q$5001,"&lt;&gt;")=0,"",SUMIFS(BD!$Q$3:$Q$5001,BD!$A$3:$A$5001,AH$3,BD!$B$3:$B$5001,$A$171)))</f>
        <v/>
      </c>
      <c r="AI174" s="162" t="str">
        <f>IF(AI$3="","",IF(COUNTIFS(BD!$A$3:$A$5001,AI$3,BD!$B$3:$B$5001,$A$171,BD!$Q$3:$Q$5001,"&lt;&gt;")=0,"",SUMIFS(BD!$Q$3:$Q$5001,BD!$A$3:$A$5001,AI$3,BD!$B$3:$B$5001,$A$171)))</f>
        <v/>
      </c>
      <c r="AJ174" s="163" t="str">
        <f>IF(AJ$3="","",IF(COUNTIFS(BD!$A$3:$A$5001,AJ$3,BD!$B$3:$B$5001,$A$171,BD!$Q$3:$Q$5001,"&lt;&gt;")=0,"",SUMIFS(BD!$Q$3:$Q$5001,BD!$A$3:$A$5001,AJ$3,BD!$B$3:$B$5001,$A$171)))</f>
        <v/>
      </c>
      <c r="AK174" s="159" t="str">
        <f>IF(COUNT(F174:AJ174)=0,"",SUM(F174:AJ174))</f>
        <v/>
      </c>
    </row>
    <row r="175" ht="15.75" customHeight="1">
      <c r="A175" s="227"/>
      <c r="B175" s="219" t="inlineStr">
        <is>
          <t xml:space="preserve">NC</t>
        </is>
      </c>
      <c r="C175" s="164" t="inlineStr">
        <is>
          <t xml:space="preserve">Incidentes</t>
        </is>
      </c>
      <c r="D175" s="165" t="str">
        <f>IFERROR(1/(1/INDEX(BD!$AK$41:$AT$41,MATCH($A$171,BD!$AK$22:$AT$22,0))),"")</f>
        <v/>
      </c>
      <c r="E175" s="166"/>
      <c r="F175" s="167" t="str">
        <f>IF(F$3="","",IF(COUNTIFS(BD!$A$3:$A$5001,F$3,BD!$B$3:$B$5001,$A$171,BD!$U$3:$U$5001,"&lt;&gt;")=0,"",SUMIFS(BD!$U$3:$U$5001,BD!$A$3:$A$5001,F$3,BD!$B$3:$B$5001,$A$171)))</f>
        <v/>
      </c>
      <c r="G175" s="168" t="str">
        <f>IF(G$3="","",IF(COUNTIFS(BD!$A$3:$A$5001,G$3,BD!$B$3:$B$5001,$A$171,BD!$U$3:$U$5001,"&lt;&gt;")=0,"",SUMIFS(BD!$U$3:$U$5001,BD!$A$3:$A$5001,G$3,BD!$B$3:$B$5001,$A$171)))</f>
        <v/>
      </c>
      <c r="H175" s="168" t="str">
        <f>IF(H$3="","",IF(COUNTIFS(BD!$A$3:$A$5001,H$3,BD!$B$3:$B$5001,$A$171,BD!$U$3:$U$5001,"&lt;&gt;")=0,"",SUMIFS(BD!$U$3:$U$5001,BD!$A$3:$A$5001,H$3,BD!$B$3:$B$5001,$A$171)))</f>
        <v/>
      </c>
      <c r="I175" s="168" t="str">
        <f>IF(I$3="","",IF(COUNTIFS(BD!$A$3:$A$5001,I$3,BD!$B$3:$B$5001,$A$171,BD!$U$3:$U$5001,"&lt;&gt;")=0,"",SUMIFS(BD!$U$3:$U$5001,BD!$A$3:$A$5001,I$3,BD!$B$3:$B$5001,$A$171)))</f>
        <v/>
      </c>
      <c r="J175" s="168" t="str">
        <f>IF(J$3="","",IF(COUNTIFS(BD!$A$3:$A$5001,J$3,BD!$B$3:$B$5001,$A$171,BD!$U$3:$U$5001,"&lt;&gt;")=0,"",SUMIFS(BD!$U$3:$U$5001,BD!$A$3:$A$5001,J$3,BD!$B$3:$B$5001,$A$171)))</f>
        <v/>
      </c>
      <c r="K175" s="168" t="str">
        <f>IF(K$3="","",IF(COUNTIFS(BD!$A$3:$A$5001,K$3,BD!$B$3:$B$5001,$A$171,BD!$U$3:$U$5001,"&lt;&gt;")=0,"",SUMIFS(BD!$U$3:$U$5001,BD!$A$3:$A$5001,K$3,BD!$B$3:$B$5001,$A$171)))</f>
        <v/>
      </c>
      <c r="L175" s="168" t="str">
        <f>IF(L$3="","",IF(COUNTIFS(BD!$A$3:$A$5001,L$3,BD!$B$3:$B$5001,$A$171,BD!$U$3:$U$5001,"&lt;&gt;")=0,"",SUMIFS(BD!$U$3:$U$5001,BD!$A$3:$A$5001,L$3,BD!$B$3:$B$5001,$A$171)))</f>
        <v/>
      </c>
      <c r="M175" s="168" t="str">
        <f>IF(M$3="","",IF(COUNTIFS(BD!$A$3:$A$5001,M$3,BD!$B$3:$B$5001,$A$171,BD!$U$3:$U$5001,"&lt;&gt;")=0,"",SUMIFS(BD!$U$3:$U$5001,BD!$A$3:$A$5001,M$3,BD!$B$3:$B$5001,$A$171)))</f>
        <v/>
      </c>
      <c r="N175" s="168" t="str">
        <f>IF(N$3="","",IF(COUNTIFS(BD!$A$3:$A$5001,N$3,BD!$B$3:$B$5001,$A$171,BD!$U$3:$U$5001,"&lt;&gt;")=0,"",SUMIFS(BD!$U$3:$U$5001,BD!$A$3:$A$5001,N$3,BD!$B$3:$B$5001,$A$171)))</f>
        <v/>
      </c>
      <c r="O175" s="168" t="str">
        <f>IF(O$3="","",IF(COUNTIFS(BD!$A$3:$A$5001,O$3,BD!$B$3:$B$5001,$A$171,BD!$U$3:$U$5001,"&lt;&gt;")=0,"",SUMIFS(BD!$U$3:$U$5001,BD!$A$3:$A$5001,O$3,BD!$B$3:$B$5001,$A$171)))</f>
        <v/>
      </c>
      <c r="P175" s="168" t="str">
        <f>IF(P$3="","",IF(COUNTIFS(BD!$A$3:$A$5001,P$3,BD!$B$3:$B$5001,$A$171,BD!$U$3:$U$5001,"&lt;&gt;")=0,"",SUMIFS(BD!$U$3:$U$5001,BD!$A$3:$A$5001,P$3,BD!$B$3:$B$5001,$A$171)))</f>
        <v/>
      </c>
      <c r="Q175" s="168" t="str">
        <f>IF(Q$3="","",IF(COUNTIFS(BD!$A$3:$A$5001,Q$3,BD!$B$3:$B$5001,$A$171,BD!$U$3:$U$5001,"&lt;&gt;")=0,"",SUMIFS(BD!$U$3:$U$5001,BD!$A$3:$A$5001,Q$3,BD!$B$3:$B$5001,$A$171)))</f>
        <v/>
      </c>
      <c r="R175" s="168" t="str">
        <f>IF(R$3="","",IF(COUNTIFS(BD!$A$3:$A$5001,R$3,BD!$B$3:$B$5001,$A$171,BD!$U$3:$U$5001,"&lt;&gt;")=0,"",SUMIFS(BD!$U$3:$U$5001,BD!$A$3:$A$5001,R$3,BD!$B$3:$B$5001,$A$171)))</f>
        <v/>
      </c>
      <c r="S175" s="168" t="str">
        <f>IF(S$3="","",IF(COUNTIFS(BD!$A$3:$A$5001,S$3,BD!$B$3:$B$5001,$A$171,BD!$U$3:$U$5001,"&lt;&gt;")=0,"",SUMIFS(BD!$U$3:$U$5001,BD!$A$3:$A$5001,S$3,BD!$B$3:$B$5001,$A$171)))</f>
        <v/>
      </c>
      <c r="T175" s="168" t="str">
        <f>IF(T$3="","",IF(COUNTIFS(BD!$A$3:$A$5001,T$3,BD!$B$3:$B$5001,$A$171,BD!$U$3:$U$5001,"&lt;&gt;")=0,"",SUMIFS(BD!$U$3:$U$5001,BD!$A$3:$A$5001,T$3,BD!$B$3:$B$5001,$A$171)))</f>
        <v/>
      </c>
      <c r="U175" s="168" t="str">
        <f>IF(U$3="","",IF(COUNTIFS(BD!$A$3:$A$5001,U$3,BD!$B$3:$B$5001,$A$171,BD!$U$3:$U$5001,"&lt;&gt;")=0,"",SUMIFS(BD!$U$3:$U$5001,BD!$A$3:$A$5001,U$3,BD!$B$3:$B$5001,$A$171)))</f>
        <v/>
      </c>
      <c r="V175" s="168" t="str">
        <f>IF(V$3="","",IF(COUNTIFS(BD!$A$3:$A$5001,V$3,BD!$B$3:$B$5001,$A$171,BD!$U$3:$U$5001,"&lt;&gt;")=0,"",SUMIFS(BD!$U$3:$U$5001,BD!$A$3:$A$5001,V$3,BD!$B$3:$B$5001,$A$171)))</f>
        <v/>
      </c>
      <c r="W175" s="168" t="str">
        <f>IF(W$3="","",IF(COUNTIFS(BD!$A$3:$A$5001,W$3,BD!$B$3:$B$5001,$A$171,BD!$U$3:$U$5001,"&lt;&gt;")=0,"",SUMIFS(BD!$U$3:$U$5001,BD!$A$3:$A$5001,W$3,BD!$B$3:$B$5001,$A$171)))</f>
        <v/>
      </c>
      <c r="X175" s="168" t="str">
        <f>IF(X$3="","",IF(COUNTIFS(BD!$A$3:$A$5001,X$3,BD!$B$3:$B$5001,$A$171,BD!$U$3:$U$5001,"&lt;&gt;")=0,"",SUMIFS(BD!$U$3:$U$5001,BD!$A$3:$A$5001,X$3,BD!$B$3:$B$5001,$A$171)))</f>
        <v/>
      </c>
      <c r="Y175" s="168" t="str">
        <f>IF(Y$3="","",IF(COUNTIFS(BD!$A$3:$A$5001,Y$3,BD!$B$3:$B$5001,$A$171,BD!$U$3:$U$5001,"&lt;&gt;")=0,"",SUMIFS(BD!$U$3:$U$5001,BD!$A$3:$A$5001,Y$3,BD!$B$3:$B$5001,$A$171)))</f>
        <v/>
      </c>
      <c r="Z175" s="168" t="str">
        <f>IF(Z$3="","",IF(COUNTIFS(BD!$A$3:$A$5001,Z$3,BD!$B$3:$B$5001,$A$171,BD!$U$3:$U$5001,"&lt;&gt;")=0,"",SUMIFS(BD!$U$3:$U$5001,BD!$A$3:$A$5001,Z$3,BD!$B$3:$B$5001,$A$171)))</f>
        <v/>
      </c>
      <c r="AA175" s="168" t="str">
        <f>IF(AA$3="","",IF(COUNTIFS(BD!$A$3:$A$5001,AA$3,BD!$B$3:$B$5001,$A$171,BD!$U$3:$U$5001,"&lt;&gt;")=0,"",SUMIFS(BD!$U$3:$U$5001,BD!$A$3:$A$5001,AA$3,BD!$B$3:$B$5001,$A$171)))</f>
        <v/>
      </c>
      <c r="AB175" s="168" t="str">
        <f>IF(AB$3="","",IF(COUNTIFS(BD!$A$3:$A$5001,AB$3,BD!$B$3:$B$5001,$A$171,BD!$U$3:$U$5001,"&lt;&gt;")=0,"",SUMIFS(BD!$U$3:$U$5001,BD!$A$3:$A$5001,AB$3,BD!$B$3:$B$5001,$A$171)))</f>
        <v/>
      </c>
      <c r="AC175" s="168" t="str">
        <f>IF(AC$3="","",IF(COUNTIFS(BD!$A$3:$A$5001,AC$3,BD!$B$3:$B$5001,$A$171,BD!$U$3:$U$5001,"&lt;&gt;")=0,"",SUMIFS(BD!$U$3:$U$5001,BD!$A$3:$A$5001,AC$3,BD!$B$3:$B$5001,$A$171)))</f>
        <v/>
      </c>
      <c r="AD175" s="168" t="str">
        <f>IF(AD$3="","",IF(COUNTIFS(BD!$A$3:$A$5001,AD$3,BD!$B$3:$B$5001,$A$171,BD!$U$3:$U$5001,"&lt;&gt;")=0,"",SUMIFS(BD!$U$3:$U$5001,BD!$A$3:$A$5001,AD$3,BD!$B$3:$B$5001,$A$171)))</f>
        <v/>
      </c>
      <c r="AE175" s="168" t="str">
        <f>IF(AE$3="","",IF(COUNTIFS(BD!$A$3:$A$5001,AE$3,BD!$B$3:$B$5001,$A$171,BD!$U$3:$U$5001,"&lt;&gt;")=0,"",SUMIFS(BD!$U$3:$U$5001,BD!$A$3:$A$5001,AE$3,BD!$B$3:$B$5001,$A$171)))</f>
        <v/>
      </c>
      <c r="AF175" s="168" t="str">
        <f>IF(AF$3="","",IF(COUNTIFS(BD!$A$3:$A$5001,AF$3,BD!$B$3:$B$5001,$A$171,BD!$U$3:$U$5001,"&lt;&gt;")=0,"",SUMIFS(BD!$U$3:$U$5001,BD!$A$3:$A$5001,AF$3,BD!$B$3:$B$5001,$A$171)))</f>
        <v/>
      </c>
      <c r="AG175" s="168" t="str">
        <f>IF(AG$3="","",IF(COUNTIFS(BD!$A$3:$A$5001,AG$3,BD!$B$3:$B$5001,$A$171,BD!$U$3:$U$5001,"&lt;&gt;")=0,"",SUMIFS(BD!$U$3:$U$5001,BD!$A$3:$A$5001,AG$3,BD!$B$3:$B$5001,$A$171)))</f>
        <v/>
      </c>
      <c r="AH175" s="168" t="str">
        <f>IF(AH$3="","",IF(COUNTIFS(BD!$A$3:$A$5001,AH$3,BD!$B$3:$B$5001,$A$171,BD!$U$3:$U$5001,"&lt;&gt;")=0,"",SUMIFS(BD!$U$3:$U$5001,BD!$A$3:$A$5001,AH$3,BD!$B$3:$B$5001,$A$171)))</f>
        <v/>
      </c>
      <c r="AI175" s="168" t="str">
        <f>IF(AI$3="","",IF(COUNTIFS(BD!$A$3:$A$5001,AI$3,BD!$B$3:$B$5001,$A$171,BD!$U$3:$U$5001,"&lt;&gt;")=0,"",SUMIFS(BD!$U$3:$U$5001,BD!$A$3:$A$5001,AI$3,BD!$B$3:$B$5001,$A$171)))</f>
        <v/>
      </c>
      <c r="AJ175" s="169" t="str">
        <f>IF(AJ$3="","",IF(COUNTIFS(BD!$A$3:$A$5001,AJ$3,BD!$B$3:$B$5001,$A$171,BD!$U$3:$U$5001,"&lt;&gt;")=0,"",SUMIFS(BD!$U$3:$U$5001,BD!$A$3:$A$5001,AJ$3,BD!$B$3:$B$5001,$A$171)))</f>
        <v/>
      </c>
      <c r="AK175" s="170" t="str">
        <f>IF(COUNT(F175:AJ175)=0,"",SUM(F175:AJ175))</f>
        <v/>
      </c>
    </row>
    <row r="176" ht="15.75" customHeight="1">
      <c r="A176" s="227"/>
      <c r="B176" s="220"/>
      <c r="C176" s="171" t="inlineStr">
        <is>
          <t xml:space="preserve">No show</t>
        </is>
      </c>
      <c r="D176" s="172" t="str">
        <f>IFERROR(1/(1/INDEX(BD!$AK$42:$AT$42,MATCH($A$171,BD!$AK$22:$AT$22,0))),"")</f>
        <v/>
      </c>
      <c r="E176" s="173"/>
      <c r="F176" s="174" t="str">
        <f>IF(F$3="","",IF(COUNTIFS(BD!$A$3:$A$5001,F$3,BD!$B$3:$B$5001,$A$171,BD!$V$3:$V$5001,"&lt;&gt;")=0,"",SUMIFS(BD!$V$3:$V$5001,BD!$A$3:$A$5001,F$3,BD!$B$3:$B$5001,$A$171)))</f>
        <v/>
      </c>
      <c r="G176" s="175" t="str">
        <f>IF(G$3="","",IF(COUNTIFS(BD!$A$3:$A$5001,G$3,BD!$B$3:$B$5001,$A$171,BD!$V$3:$V$5001,"&lt;&gt;")=0,"",SUMIFS(BD!$V$3:$V$5001,BD!$A$3:$A$5001,G$3,BD!$B$3:$B$5001,$A$171)))</f>
        <v/>
      </c>
      <c r="H176" s="175" t="str">
        <f>IF(H$3="","",IF(COUNTIFS(BD!$A$3:$A$5001,H$3,BD!$B$3:$B$5001,$A$171,BD!$V$3:$V$5001,"&lt;&gt;")=0,"",SUMIFS(BD!$V$3:$V$5001,BD!$A$3:$A$5001,H$3,BD!$B$3:$B$5001,$A$171)))</f>
        <v/>
      </c>
      <c r="I176" s="175" t="str">
        <f>IF(I$3="","",IF(COUNTIFS(BD!$A$3:$A$5001,I$3,BD!$B$3:$B$5001,$A$171,BD!$V$3:$V$5001,"&lt;&gt;")=0,"",SUMIFS(BD!$V$3:$V$5001,BD!$A$3:$A$5001,I$3,BD!$B$3:$B$5001,$A$171)))</f>
        <v/>
      </c>
      <c r="J176" s="175" t="str">
        <f>IF(J$3="","",IF(COUNTIFS(BD!$A$3:$A$5001,J$3,BD!$B$3:$B$5001,$A$171,BD!$V$3:$V$5001,"&lt;&gt;")=0,"",SUMIFS(BD!$V$3:$V$5001,BD!$A$3:$A$5001,J$3,BD!$B$3:$B$5001,$A$171)))</f>
        <v/>
      </c>
      <c r="K176" s="175" t="str">
        <f>IF(K$3="","",IF(COUNTIFS(BD!$A$3:$A$5001,K$3,BD!$B$3:$B$5001,$A$171,BD!$V$3:$V$5001,"&lt;&gt;")=0,"",SUMIFS(BD!$V$3:$V$5001,BD!$A$3:$A$5001,K$3,BD!$B$3:$B$5001,$A$171)))</f>
        <v/>
      </c>
      <c r="L176" s="175" t="str">
        <f>IF(L$3="","",IF(COUNTIFS(BD!$A$3:$A$5001,L$3,BD!$B$3:$B$5001,$A$171,BD!$V$3:$V$5001,"&lt;&gt;")=0,"",SUMIFS(BD!$V$3:$V$5001,BD!$A$3:$A$5001,L$3,BD!$B$3:$B$5001,$A$171)))</f>
        <v/>
      </c>
      <c r="M176" s="175" t="str">
        <f>IF(M$3="","",IF(COUNTIFS(BD!$A$3:$A$5001,M$3,BD!$B$3:$B$5001,$A$171,BD!$V$3:$V$5001,"&lt;&gt;")=0,"",SUMIFS(BD!$V$3:$V$5001,BD!$A$3:$A$5001,M$3,BD!$B$3:$B$5001,$A$171)))</f>
        <v/>
      </c>
      <c r="N176" s="175" t="str">
        <f>IF(N$3="","",IF(COUNTIFS(BD!$A$3:$A$5001,N$3,BD!$B$3:$B$5001,$A$171,BD!$V$3:$V$5001,"&lt;&gt;")=0,"",SUMIFS(BD!$V$3:$V$5001,BD!$A$3:$A$5001,N$3,BD!$B$3:$B$5001,$A$171)))</f>
        <v/>
      </c>
      <c r="O176" s="175" t="str">
        <f>IF(O$3="","",IF(COUNTIFS(BD!$A$3:$A$5001,O$3,BD!$B$3:$B$5001,$A$171,BD!$V$3:$V$5001,"&lt;&gt;")=0,"",SUMIFS(BD!$V$3:$V$5001,BD!$A$3:$A$5001,O$3,BD!$B$3:$B$5001,$A$171)))</f>
        <v/>
      </c>
      <c r="P176" s="175" t="str">
        <f>IF(P$3="","",IF(COUNTIFS(BD!$A$3:$A$5001,P$3,BD!$B$3:$B$5001,$A$171,BD!$V$3:$V$5001,"&lt;&gt;")=0,"",SUMIFS(BD!$V$3:$V$5001,BD!$A$3:$A$5001,P$3,BD!$B$3:$B$5001,$A$171)))</f>
        <v/>
      </c>
      <c r="Q176" s="175" t="str">
        <f>IF(Q$3="","",IF(COUNTIFS(BD!$A$3:$A$5001,Q$3,BD!$B$3:$B$5001,$A$171,BD!$V$3:$V$5001,"&lt;&gt;")=0,"",SUMIFS(BD!$V$3:$V$5001,BD!$A$3:$A$5001,Q$3,BD!$B$3:$B$5001,$A$171)))</f>
        <v/>
      </c>
      <c r="R176" s="175" t="str">
        <f>IF(R$3="","",IF(COUNTIFS(BD!$A$3:$A$5001,R$3,BD!$B$3:$B$5001,$A$171,BD!$V$3:$V$5001,"&lt;&gt;")=0,"",SUMIFS(BD!$V$3:$V$5001,BD!$A$3:$A$5001,R$3,BD!$B$3:$B$5001,$A$171)))</f>
        <v/>
      </c>
      <c r="S176" s="175" t="str">
        <f>IF(S$3="","",IF(COUNTIFS(BD!$A$3:$A$5001,S$3,BD!$B$3:$B$5001,$A$171,BD!$V$3:$V$5001,"&lt;&gt;")=0,"",SUMIFS(BD!$V$3:$V$5001,BD!$A$3:$A$5001,S$3,BD!$B$3:$B$5001,$A$171)))</f>
        <v/>
      </c>
      <c r="T176" s="175" t="str">
        <f>IF(T$3="","",IF(COUNTIFS(BD!$A$3:$A$5001,T$3,BD!$B$3:$B$5001,$A$171,BD!$V$3:$V$5001,"&lt;&gt;")=0,"",SUMIFS(BD!$V$3:$V$5001,BD!$A$3:$A$5001,T$3,BD!$B$3:$B$5001,$A$171)))</f>
        <v/>
      </c>
      <c r="U176" s="175" t="str">
        <f>IF(U$3="","",IF(COUNTIFS(BD!$A$3:$A$5001,U$3,BD!$B$3:$B$5001,$A$171,BD!$V$3:$V$5001,"&lt;&gt;")=0,"",SUMIFS(BD!$V$3:$V$5001,BD!$A$3:$A$5001,U$3,BD!$B$3:$B$5001,$A$171)))</f>
        <v/>
      </c>
      <c r="V176" s="175" t="str">
        <f>IF(V$3="","",IF(COUNTIFS(BD!$A$3:$A$5001,V$3,BD!$B$3:$B$5001,$A$171,BD!$V$3:$V$5001,"&lt;&gt;")=0,"",SUMIFS(BD!$V$3:$V$5001,BD!$A$3:$A$5001,V$3,BD!$B$3:$B$5001,$A$171)))</f>
        <v/>
      </c>
      <c r="W176" s="175" t="str">
        <f>IF(W$3="","",IF(COUNTIFS(BD!$A$3:$A$5001,W$3,BD!$B$3:$B$5001,$A$171,BD!$V$3:$V$5001,"&lt;&gt;")=0,"",SUMIFS(BD!$V$3:$V$5001,BD!$A$3:$A$5001,W$3,BD!$B$3:$B$5001,$A$171)))</f>
        <v/>
      </c>
      <c r="X176" s="175" t="str">
        <f>IF(X$3="","",IF(COUNTIFS(BD!$A$3:$A$5001,X$3,BD!$B$3:$B$5001,$A$171,BD!$V$3:$V$5001,"&lt;&gt;")=0,"",SUMIFS(BD!$V$3:$V$5001,BD!$A$3:$A$5001,X$3,BD!$B$3:$B$5001,$A$171)))</f>
        <v/>
      </c>
      <c r="Y176" s="175" t="str">
        <f>IF(Y$3="","",IF(COUNTIFS(BD!$A$3:$A$5001,Y$3,BD!$B$3:$B$5001,$A$171,BD!$V$3:$V$5001,"&lt;&gt;")=0,"",SUMIFS(BD!$V$3:$V$5001,BD!$A$3:$A$5001,Y$3,BD!$B$3:$B$5001,$A$171)))</f>
        <v/>
      </c>
      <c r="Z176" s="175" t="str">
        <f>IF(Z$3="","",IF(COUNTIFS(BD!$A$3:$A$5001,Z$3,BD!$B$3:$B$5001,$A$171,BD!$V$3:$V$5001,"&lt;&gt;")=0,"",SUMIFS(BD!$V$3:$V$5001,BD!$A$3:$A$5001,Z$3,BD!$B$3:$B$5001,$A$171)))</f>
        <v/>
      </c>
      <c r="AA176" s="175" t="str">
        <f>IF(AA$3="","",IF(COUNTIFS(BD!$A$3:$A$5001,AA$3,BD!$B$3:$B$5001,$A$171,BD!$V$3:$V$5001,"&lt;&gt;")=0,"",SUMIFS(BD!$V$3:$V$5001,BD!$A$3:$A$5001,AA$3,BD!$B$3:$B$5001,$A$171)))</f>
        <v/>
      </c>
      <c r="AB176" s="175" t="str">
        <f>IF(AB$3="","",IF(COUNTIFS(BD!$A$3:$A$5001,AB$3,BD!$B$3:$B$5001,$A$171,BD!$V$3:$V$5001,"&lt;&gt;")=0,"",SUMIFS(BD!$V$3:$V$5001,BD!$A$3:$A$5001,AB$3,BD!$B$3:$B$5001,$A$171)))</f>
        <v/>
      </c>
      <c r="AC176" s="175" t="str">
        <f>IF(AC$3="","",IF(COUNTIFS(BD!$A$3:$A$5001,AC$3,BD!$B$3:$B$5001,$A$171,BD!$V$3:$V$5001,"&lt;&gt;")=0,"",SUMIFS(BD!$V$3:$V$5001,BD!$A$3:$A$5001,AC$3,BD!$B$3:$B$5001,$A$171)))</f>
        <v/>
      </c>
      <c r="AD176" s="175" t="str">
        <f>IF(AD$3="","",IF(COUNTIFS(BD!$A$3:$A$5001,AD$3,BD!$B$3:$B$5001,$A$171,BD!$V$3:$V$5001,"&lt;&gt;")=0,"",SUMIFS(BD!$V$3:$V$5001,BD!$A$3:$A$5001,AD$3,BD!$B$3:$B$5001,$A$171)))</f>
        <v/>
      </c>
      <c r="AE176" s="175" t="str">
        <f>IF(AE$3="","",IF(COUNTIFS(BD!$A$3:$A$5001,AE$3,BD!$B$3:$B$5001,$A$171,BD!$V$3:$V$5001,"&lt;&gt;")=0,"",SUMIFS(BD!$V$3:$V$5001,BD!$A$3:$A$5001,AE$3,BD!$B$3:$B$5001,$A$171)))</f>
        <v/>
      </c>
      <c r="AF176" s="175" t="str">
        <f>IF(AF$3="","",IF(COUNTIFS(BD!$A$3:$A$5001,AF$3,BD!$B$3:$B$5001,$A$171,BD!$V$3:$V$5001,"&lt;&gt;")=0,"",SUMIFS(BD!$V$3:$V$5001,BD!$A$3:$A$5001,AF$3,BD!$B$3:$B$5001,$A$171)))</f>
        <v/>
      </c>
      <c r="AG176" s="175" t="str">
        <f>IF(AG$3="","",IF(COUNTIFS(BD!$A$3:$A$5001,AG$3,BD!$B$3:$B$5001,$A$171,BD!$V$3:$V$5001,"&lt;&gt;")=0,"",SUMIFS(BD!$V$3:$V$5001,BD!$A$3:$A$5001,AG$3,BD!$B$3:$B$5001,$A$171)))</f>
        <v/>
      </c>
      <c r="AH176" s="175" t="str">
        <f>IF(AH$3="","",IF(COUNTIFS(BD!$A$3:$A$5001,AH$3,BD!$B$3:$B$5001,$A$171,BD!$V$3:$V$5001,"&lt;&gt;")=0,"",SUMIFS(BD!$V$3:$V$5001,BD!$A$3:$A$5001,AH$3,BD!$B$3:$B$5001,$A$171)))</f>
        <v/>
      </c>
      <c r="AI176" s="175" t="str">
        <f>IF(AI$3="","",IF(COUNTIFS(BD!$A$3:$A$5001,AI$3,BD!$B$3:$B$5001,$A$171,BD!$V$3:$V$5001,"&lt;&gt;")=0,"",SUMIFS(BD!$V$3:$V$5001,BD!$A$3:$A$5001,AI$3,BD!$B$3:$B$5001,$A$171)))</f>
        <v/>
      </c>
      <c r="AJ176" s="176" t="str">
        <f>IF(AJ$3="","",IF(COUNTIFS(BD!$A$3:$A$5001,AJ$3,BD!$B$3:$B$5001,$A$171,BD!$V$3:$V$5001,"&lt;&gt;")=0,"",SUMIFS(BD!$V$3:$V$5001,BD!$A$3:$A$5001,AJ$3,BD!$B$3:$B$5001,$A$171)))</f>
        <v/>
      </c>
      <c r="AK176" s="177" t="str">
        <f>IF(COUNT(F176:AJ176)=0,"",SUM(F176:AJ176))</f>
        <v/>
      </c>
    </row>
    <row r="177" ht="15.75" customHeight="1">
      <c r="A177" s="227"/>
      <c r="B177" s="221"/>
      <c r="C177" s="178" t="inlineStr">
        <is>
          <t xml:space="preserve">Backlog</t>
        </is>
      </c>
      <c r="D177" s="179" t="str">
        <f>IFERROR(1/(1/INDEX(BD!$AK$43:$AT$43,MATCH($A$171,BD!$AK$22:$AT$22,0))),"")</f>
        <v/>
      </c>
      <c r="E177" s="180"/>
      <c r="F177" s="181" t="str">
        <f>IF(F$3="","",IF(COUNTIFS(BD!$A$3:$A$5001,F$3,BD!$B$3:$B$5001,$A$171,BD!$W$3:$W$5001,"&lt;&gt;")=0,"",SUMIFS(BD!$W$3:$W$5001,BD!$A$3:$A$5001,F$3,BD!$B$3:$B$5001,$A$171)))</f>
        <v/>
      </c>
      <c r="G177" s="182" t="str">
        <f>IF(G$3="","",IF(COUNTIFS(BD!$A$3:$A$5001,G$3,BD!$B$3:$B$5001,$A$171,BD!$W$3:$W$5001,"&lt;&gt;")=0,"",SUMIFS(BD!$W$3:$W$5001,BD!$A$3:$A$5001,G$3,BD!$B$3:$B$5001,$A$171)))</f>
        <v/>
      </c>
      <c r="H177" s="182" t="str">
        <f>IF(H$3="","",IF(COUNTIFS(BD!$A$3:$A$5001,H$3,BD!$B$3:$B$5001,$A$171,BD!$W$3:$W$5001,"&lt;&gt;")=0,"",SUMIFS(BD!$W$3:$W$5001,BD!$A$3:$A$5001,H$3,BD!$B$3:$B$5001,$A$171)))</f>
        <v/>
      </c>
      <c r="I177" s="182" t="str">
        <f>IF(I$3="","",IF(COUNTIFS(BD!$A$3:$A$5001,I$3,BD!$B$3:$B$5001,$A$171,BD!$W$3:$W$5001,"&lt;&gt;")=0,"",SUMIFS(BD!$W$3:$W$5001,BD!$A$3:$A$5001,I$3,BD!$B$3:$B$5001,$A$171)))</f>
        <v/>
      </c>
      <c r="J177" s="182" t="str">
        <f>IF(J$3="","",IF(COUNTIFS(BD!$A$3:$A$5001,J$3,BD!$B$3:$B$5001,$A$171,BD!$W$3:$W$5001,"&lt;&gt;")=0,"",SUMIFS(BD!$W$3:$W$5001,BD!$A$3:$A$5001,J$3,BD!$B$3:$B$5001,$A$171)))</f>
        <v/>
      </c>
      <c r="K177" s="182" t="str">
        <f>IF(K$3="","",IF(COUNTIFS(BD!$A$3:$A$5001,K$3,BD!$B$3:$B$5001,$A$171,BD!$W$3:$W$5001,"&lt;&gt;")=0,"",SUMIFS(BD!$W$3:$W$5001,BD!$A$3:$A$5001,K$3,BD!$B$3:$B$5001,$A$171)))</f>
        <v/>
      </c>
      <c r="L177" s="182" t="str">
        <f>IF(L$3="","",IF(COUNTIFS(BD!$A$3:$A$5001,L$3,BD!$B$3:$B$5001,$A$171,BD!$W$3:$W$5001,"&lt;&gt;")=0,"",SUMIFS(BD!$W$3:$W$5001,BD!$A$3:$A$5001,L$3,BD!$B$3:$B$5001,$A$171)))</f>
        <v/>
      </c>
      <c r="M177" s="182" t="str">
        <f>IF(M$3="","",IF(COUNTIFS(BD!$A$3:$A$5001,M$3,BD!$B$3:$B$5001,$A$171,BD!$W$3:$W$5001,"&lt;&gt;")=0,"",SUMIFS(BD!$W$3:$W$5001,BD!$A$3:$A$5001,M$3,BD!$B$3:$B$5001,$A$171)))</f>
        <v/>
      </c>
      <c r="N177" s="182" t="str">
        <f>IF(N$3="","",IF(COUNTIFS(BD!$A$3:$A$5001,N$3,BD!$B$3:$B$5001,$A$171,BD!$W$3:$W$5001,"&lt;&gt;")=0,"",SUMIFS(BD!$W$3:$W$5001,BD!$A$3:$A$5001,N$3,BD!$B$3:$B$5001,$A$171)))</f>
        <v/>
      </c>
      <c r="O177" s="182" t="str">
        <f>IF(O$3="","",IF(COUNTIFS(BD!$A$3:$A$5001,O$3,BD!$B$3:$B$5001,$A$171,BD!$W$3:$W$5001,"&lt;&gt;")=0,"",SUMIFS(BD!$W$3:$W$5001,BD!$A$3:$A$5001,O$3,BD!$B$3:$B$5001,$A$171)))</f>
        <v/>
      </c>
      <c r="P177" s="182" t="str">
        <f>IF(P$3="","",IF(COUNTIFS(BD!$A$3:$A$5001,P$3,BD!$B$3:$B$5001,$A$171,BD!$W$3:$W$5001,"&lt;&gt;")=0,"",SUMIFS(BD!$W$3:$W$5001,BD!$A$3:$A$5001,P$3,BD!$B$3:$B$5001,$A$171)))</f>
        <v/>
      </c>
      <c r="Q177" s="182" t="str">
        <f>IF(Q$3="","",IF(COUNTIFS(BD!$A$3:$A$5001,Q$3,BD!$B$3:$B$5001,$A$171,BD!$W$3:$W$5001,"&lt;&gt;")=0,"",SUMIFS(BD!$W$3:$W$5001,BD!$A$3:$A$5001,Q$3,BD!$B$3:$B$5001,$A$171)))</f>
        <v/>
      </c>
      <c r="R177" s="182" t="str">
        <f>IF(R$3="","",IF(COUNTIFS(BD!$A$3:$A$5001,R$3,BD!$B$3:$B$5001,$A$171,BD!$W$3:$W$5001,"&lt;&gt;")=0,"",SUMIFS(BD!$W$3:$W$5001,BD!$A$3:$A$5001,R$3,BD!$B$3:$B$5001,$A$171)))</f>
        <v/>
      </c>
      <c r="S177" s="182" t="str">
        <f>IF(S$3="","",IF(COUNTIFS(BD!$A$3:$A$5001,S$3,BD!$B$3:$B$5001,$A$171,BD!$W$3:$W$5001,"&lt;&gt;")=0,"",SUMIFS(BD!$W$3:$W$5001,BD!$A$3:$A$5001,S$3,BD!$B$3:$B$5001,$A$171)))</f>
        <v/>
      </c>
      <c r="T177" s="182" t="str">
        <f>IF(T$3="","",IF(COUNTIFS(BD!$A$3:$A$5001,T$3,BD!$B$3:$B$5001,$A$171,BD!$W$3:$W$5001,"&lt;&gt;")=0,"",SUMIFS(BD!$W$3:$W$5001,BD!$A$3:$A$5001,T$3,BD!$B$3:$B$5001,$A$171)))</f>
        <v/>
      </c>
      <c r="U177" s="182" t="str">
        <f>IF(U$3="","",IF(COUNTIFS(BD!$A$3:$A$5001,U$3,BD!$B$3:$B$5001,$A$171,BD!$W$3:$W$5001,"&lt;&gt;")=0,"",SUMIFS(BD!$W$3:$W$5001,BD!$A$3:$A$5001,U$3,BD!$B$3:$B$5001,$A$171)))</f>
        <v/>
      </c>
      <c r="V177" s="182" t="str">
        <f>IF(V$3="","",IF(COUNTIFS(BD!$A$3:$A$5001,V$3,BD!$B$3:$B$5001,$A$171,BD!$W$3:$W$5001,"&lt;&gt;")=0,"",SUMIFS(BD!$W$3:$W$5001,BD!$A$3:$A$5001,V$3,BD!$B$3:$B$5001,$A$171)))</f>
        <v/>
      </c>
      <c r="W177" s="182" t="str">
        <f>IF(W$3="","",IF(COUNTIFS(BD!$A$3:$A$5001,W$3,BD!$B$3:$B$5001,$A$171,BD!$W$3:$W$5001,"&lt;&gt;")=0,"",SUMIFS(BD!$W$3:$W$5001,BD!$A$3:$A$5001,W$3,BD!$B$3:$B$5001,$A$171)))</f>
        <v/>
      </c>
      <c r="X177" s="182" t="str">
        <f>IF(X$3="","",IF(COUNTIFS(BD!$A$3:$A$5001,X$3,BD!$B$3:$B$5001,$A$171,BD!$W$3:$W$5001,"&lt;&gt;")=0,"",SUMIFS(BD!$W$3:$W$5001,BD!$A$3:$A$5001,X$3,BD!$B$3:$B$5001,$A$171)))</f>
        <v/>
      </c>
      <c r="Y177" s="182" t="str">
        <f>IF(Y$3="","",IF(COUNTIFS(BD!$A$3:$A$5001,Y$3,BD!$B$3:$B$5001,$A$171,BD!$W$3:$W$5001,"&lt;&gt;")=0,"",SUMIFS(BD!$W$3:$W$5001,BD!$A$3:$A$5001,Y$3,BD!$B$3:$B$5001,$A$171)))</f>
        <v/>
      </c>
      <c r="Z177" s="182" t="str">
        <f>IF(Z$3="","",IF(COUNTIFS(BD!$A$3:$A$5001,Z$3,BD!$B$3:$B$5001,$A$171,BD!$W$3:$W$5001,"&lt;&gt;")=0,"",SUMIFS(BD!$W$3:$W$5001,BD!$A$3:$A$5001,Z$3,BD!$B$3:$B$5001,$A$171)))</f>
        <v/>
      </c>
      <c r="AA177" s="182" t="str">
        <f>IF(AA$3="","",IF(COUNTIFS(BD!$A$3:$A$5001,AA$3,BD!$B$3:$B$5001,$A$171,BD!$W$3:$W$5001,"&lt;&gt;")=0,"",SUMIFS(BD!$W$3:$W$5001,BD!$A$3:$A$5001,AA$3,BD!$B$3:$B$5001,$A$171)))</f>
        <v/>
      </c>
      <c r="AB177" s="182" t="str">
        <f>IF(AB$3="","",IF(COUNTIFS(BD!$A$3:$A$5001,AB$3,BD!$B$3:$B$5001,$A$171,BD!$W$3:$W$5001,"&lt;&gt;")=0,"",SUMIFS(BD!$W$3:$W$5001,BD!$A$3:$A$5001,AB$3,BD!$B$3:$B$5001,$A$171)))</f>
        <v/>
      </c>
      <c r="AC177" s="182" t="str">
        <f>IF(AC$3="","",IF(COUNTIFS(BD!$A$3:$A$5001,AC$3,BD!$B$3:$B$5001,$A$171,BD!$W$3:$W$5001,"&lt;&gt;")=0,"",SUMIFS(BD!$W$3:$W$5001,BD!$A$3:$A$5001,AC$3,BD!$B$3:$B$5001,$A$171)))</f>
        <v/>
      </c>
      <c r="AD177" s="182" t="str">
        <f>IF(AD$3="","",IF(COUNTIFS(BD!$A$3:$A$5001,AD$3,BD!$B$3:$B$5001,$A$171,BD!$W$3:$W$5001,"&lt;&gt;")=0,"",SUMIFS(BD!$W$3:$W$5001,BD!$A$3:$A$5001,AD$3,BD!$B$3:$B$5001,$A$171)))</f>
        <v/>
      </c>
      <c r="AE177" s="182" t="str">
        <f>IF(AE$3="","",IF(COUNTIFS(BD!$A$3:$A$5001,AE$3,BD!$B$3:$B$5001,$A$171,BD!$W$3:$W$5001,"&lt;&gt;")=0,"",SUMIFS(BD!$W$3:$W$5001,BD!$A$3:$A$5001,AE$3,BD!$B$3:$B$5001,$A$171)))</f>
        <v/>
      </c>
      <c r="AF177" s="182" t="str">
        <f>IF(AF$3="","",IF(COUNTIFS(BD!$A$3:$A$5001,AF$3,BD!$B$3:$B$5001,$A$171,BD!$W$3:$W$5001,"&lt;&gt;")=0,"",SUMIFS(BD!$W$3:$W$5001,BD!$A$3:$A$5001,AF$3,BD!$B$3:$B$5001,$A$171)))</f>
        <v/>
      </c>
      <c r="AG177" s="182" t="str">
        <f>IF(AG$3="","",IF(COUNTIFS(BD!$A$3:$A$5001,AG$3,BD!$B$3:$B$5001,$A$171,BD!$W$3:$W$5001,"&lt;&gt;")=0,"",SUMIFS(BD!$W$3:$W$5001,BD!$A$3:$A$5001,AG$3,BD!$B$3:$B$5001,$A$171)))</f>
        <v/>
      </c>
      <c r="AH177" s="182" t="str">
        <f>IF(AH$3="","",IF(COUNTIFS(BD!$A$3:$A$5001,AH$3,BD!$B$3:$B$5001,$A$171,BD!$W$3:$W$5001,"&lt;&gt;")=0,"",SUMIFS(BD!$W$3:$W$5001,BD!$A$3:$A$5001,AH$3,BD!$B$3:$B$5001,$A$171)))</f>
        <v/>
      </c>
      <c r="AI177" s="182" t="str">
        <f>IF(AI$3="","",IF(COUNTIFS(BD!$A$3:$A$5001,AI$3,BD!$B$3:$B$5001,$A$171,BD!$W$3:$W$5001,"&lt;&gt;")=0,"",SUMIFS(BD!$W$3:$W$5001,BD!$A$3:$A$5001,AI$3,BD!$B$3:$B$5001,$A$171)))</f>
        <v/>
      </c>
      <c r="AJ177" s="183" t="str">
        <f>IF(AJ$3="","",IF(COUNTIFS(BD!$A$3:$A$5001,AJ$3,BD!$B$3:$B$5001,$A$171,BD!$W$3:$W$5001,"&lt;&gt;")=0,"",SUMIFS(BD!$W$3:$W$5001,BD!$A$3:$A$5001,AJ$3,BD!$B$3:$B$5001,$A$171)))</f>
        <v/>
      </c>
      <c r="AK177" s="179" t="str">
        <f>IFERROR(LOOKUP(9.99E+307,F177:AJ177),"")</f>
        <v/>
      </c>
    </row>
    <row r="178" ht="15.75" customHeight="1">
      <c r="A178" s="227"/>
      <c r="B178" s="215" t="inlineStr">
        <is>
          <t xml:space="preserve">OCUPAÇÃO (P.P)</t>
        </is>
      </c>
      <c r="C178" s="138" t="inlineStr">
        <is>
          <t xml:space="preserve">Posições Disponíveis</t>
        </is>
      </c>
      <c r="D178" s="139" t="str">
        <f>IFERROR(1/(1/INDEX(BD!$AK$44:$AT$44,MATCH($A$171,BD!$AK$22:$AT$22,0))),"")</f>
        <v/>
      </c>
      <c r="E178" s="140"/>
      <c r="F178" s="141" t="str">
        <f>IF(F$3="","",IF(COUNTIFS(BD!$A$3:$A$5001,F$3,BD!$B$3:$B$5001,$A$171,BD!$X$3:$X$5001,"&lt;&gt;")=0,"",SUMIFS(BD!$X$3:$X$5001,BD!$A$3:$A$5001,F$3,BD!$B$3:$B$5001,$A$171)))</f>
        <v/>
      </c>
      <c r="G178" s="142" t="str">
        <f>IF(G$3="","",IF(COUNTIFS(BD!$A$3:$A$5001,G$3,BD!$B$3:$B$5001,$A$171,BD!$X$3:$X$5001,"&lt;&gt;")=0,"",SUMIFS(BD!$X$3:$X$5001,BD!$A$3:$A$5001,G$3,BD!$B$3:$B$5001,$A$171)))</f>
        <v/>
      </c>
      <c r="H178" s="142" t="str">
        <f>IF(H$3="","",IF(COUNTIFS(BD!$A$3:$A$5001,H$3,BD!$B$3:$B$5001,$A$171,BD!$X$3:$X$5001,"&lt;&gt;")=0,"",SUMIFS(BD!$X$3:$X$5001,BD!$A$3:$A$5001,H$3,BD!$B$3:$B$5001,$A$171)))</f>
        <v/>
      </c>
      <c r="I178" s="142" t="str">
        <f>IF(I$3="","",IF(COUNTIFS(BD!$A$3:$A$5001,I$3,BD!$B$3:$B$5001,$A$171,BD!$X$3:$X$5001,"&lt;&gt;")=0,"",SUMIFS(BD!$X$3:$X$5001,BD!$A$3:$A$5001,I$3,BD!$B$3:$B$5001,$A$171)))</f>
        <v/>
      </c>
      <c r="J178" s="142" t="str">
        <f>IF(J$3="","",IF(COUNTIFS(BD!$A$3:$A$5001,J$3,BD!$B$3:$B$5001,$A$171,BD!$X$3:$X$5001,"&lt;&gt;")=0,"",SUMIFS(BD!$X$3:$X$5001,BD!$A$3:$A$5001,J$3,BD!$B$3:$B$5001,$A$171)))</f>
        <v/>
      </c>
      <c r="K178" s="142" t="str">
        <f>IF(K$3="","",IF(COUNTIFS(BD!$A$3:$A$5001,K$3,BD!$B$3:$B$5001,$A$171,BD!$X$3:$X$5001,"&lt;&gt;")=0,"",SUMIFS(BD!$X$3:$X$5001,BD!$A$3:$A$5001,K$3,BD!$B$3:$B$5001,$A$171)))</f>
        <v/>
      </c>
      <c r="L178" s="142" t="str">
        <f>IF(L$3="","",IF(COUNTIFS(BD!$A$3:$A$5001,L$3,BD!$B$3:$B$5001,$A$171,BD!$X$3:$X$5001,"&lt;&gt;")=0,"",SUMIFS(BD!$X$3:$X$5001,BD!$A$3:$A$5001,L$3,BD!$B$3:$B$5001,$A$171)))</f>
        <v/>
      </c>
      <c r="M178" s="142" t="str">
        <f>IF(M$3="","",IF(COUNTIFS(BD!$A$3:$A$5001,M$3,BD!$B$3:$B$5001,$A$171,BD!$X$3:$X$5001,"&lt;&gt;")=0,"",SUMIFS(BD!$X$3:$X$5001,BD!$A$3:$A$5001,M$3,BD!$B$3:$B$5001,$A$171)))</f>
        <v/>
      </c>
      <c r="N178" s="142" t="str">
        <f>IF(N$3="","",IF(COUNTIFS(BD!$A$3:$A$5001,N$3,BD!$B$3:$B$5001,$A$171,BD!$X$3:$X$5001,"&lt;&gt;")=0,"",SUMIFS(BD!$X$3:$X$5001,BD!$A$3:$A$5001,N$3,BD!$B$3:$B$5001,$A$171)))</f>
        <v/>
      </c>
      <c r="O178" s="142" t="str">
        <f>IF(O$3="","",IF(COUNTIFS(BD!$A$3:$A$5001,O$3,BD!$B$3:$B$5001,$A$171,BD!$X$3:$X$5001,"&lt;&gt;")=0,"",SUMIFS(BD!$X$3:$X$5001,BD!$A$3:$A$5001,O$3,BD!$B$3:$B$5001,$A$171)))</f>
        <v/>
      </c>
      <c r="P178" s="142" t="str">
        <f>IF(P$3="","",IF(COUNTIFS(BD!$A$3:$A$5001,P$3,BD!$B$3:$B$5001,$A$171,BD!$X$3:$X$5001,"&lt;&gt;")=0,"",SUMIFS(BD!$X$3:$X$5001,BD!$A$3:$A$5001,P$3,BD!$B$3:$B$5001,$A$171)))</f>
        <v/>
      </c>
      <c r="Q178" s="142" t="str">
        <f>IF(Q$3="","",IF(COUNTIFS(BD!$A$3:$A$5001,Q$3,BD!$B$3:$B$5001,$A$171,BD!$X$3:$X$5001,"&lt;&gt;")=0,"",SUMIFS(BD!$X$3:$X$5001,BD!$A$3:$A$5001,Q$3,BD!$B$3:$B$5001,$A$171)))</f>
        <v/>
      </c>
      <c r="R178" s="142" t="str">
        <f>IF(R$3="","",IF(COUNTIFS(BD!$A$3:$A$5001,R$3,BD!$B$3:$B$5001,$A$171,BD!$X$3:$X$5001,"&lt;&gt;")=0,"",SUMIFS(BD!$X$3:$X$5001,BD!$A$3:$A$5001,R$3,BD!$B$3:$B$5001,$A$171)))</f>
        <v/>
      </c>
      <c r="S178" s="142" t="str">
        <f>IF(S$3="","",IF(COUNTIFS(BD!$A$3:$A$5001,S$3,BD!$B$3:$B$5001,$A$171,BD!$X$3:$X$5001,"&lt;&gt;")=0,"",SUMIFS(BD!$X$3:$X$5001,BD!$A$3:$A$5001,S$3,BD!$B$3:$B$5001,$A$171)))</f>
        <v/>
      </c>
      <c r="T178" s="142" t="str">
        <f>IF(T$3="","",IF(COUNTIFS(BD!$A$3:$A$5001,T$3,BD!$B$3:$B$5001,$A$171,BD!$X$3:$X$5001,"&lt;&gt;")=0,"",SUMIFS(BD!$X$3:$X$5001,BD!$A$3:$A$5001,T$3,BD!$B$3:$B$5001,$A$171)))</f>
        <v/>
      </c>
      <c r="U178" s="142" t="str">
        <f>IF(U$3="","",IF(COUNTIFS(BD!$A$3:$A$5001,U$3,BD!$B$3:$B$5001,$A$171,BD!$X$3:$X$5001,"&lt;&gt;")=0,"",SUMIFS(BD!$X$3:$X$5001,BD!$A$3:$A$5001,U$3,BD!$B$3:$B$5001,$A$171)))</f>
        <v/>
      </c>
      <c r="V178" s="142" t="str">
        <f>IF(V$3="","",IF(COUNTIFS(BD!$A$3:$A$5001,V$3,BD!$B$3:$B$5001,$A$171,BD!$X$3:$X$5001,"&lt;&gt;")=0,"",SUMIFS(BD!$X$3:$X$5001,BD!$A$3:$A$5001,V$3,BD!$B$3:$B$5001,$A$171)))</f>
        <v/>
      </c>
      <c r="W178" s="142" t="str">
        <f>IF(W$3="","",IF(COUNTIFS(BD!$A$3:$A$5001,W$3,BD!$B$3:$B$5001,$A$171,BD!$X$3:$X$5001,"&lt;&gt;")=0,"",SUMIFS(BD!$X$3:$X$5001,BD!$A$3:$A$5001,W$3,BD!$B$3:$B$5001,$A$171)))</f>
        <v/>
      </c>
      <c r="X178" s="142" t="str">
        <f>IF(X$3="","",IF(COUNTIFS(BD!$A$3:$A$5001,X$3,BD!$B$3:$B$5001,$A$171,BD!$X$3:$X$5001,"&lt;&gt;")=0,"",SUMIFS(BD!$X$3:$X$5001,BD!$A$3:$A$5001,X$3,BD!$B$3:$B$5001,$A$171)))</f>
        <v/>
      </c>
      <c r="Y178" s="142" t="str">
        <f>IF(Y$3="","",IF(COUNTIFS(BD!$A$3:$A$5001,Y$3,BD!$B$3:$B$5001,$A$171,BD!$X$3:$X$5001,"&lt;&gt;")=0,"",SUMIFS(BD!$X$3:$X$5001,BD!$A$3:$A$5001,Y$3,BD!$B$3:$B$5001,$A$171)))</f>
        <v/>
      </c>
      <c r="Z178" s="142" t="str">
        <f>IF(Z$3="","",IF(COUNTIFS(BD!$A$3:$A$5001,Z$3,BD!$B$3:$B$5001,$A$171,BD!$X$3:$X$5001,"&lt;&gt;")=0,"",SUMIFS(BD!$X$3:$X$5001,BD!$A$3:$A$5001,Z$3,BD!$B$3:$B$5001,$A$171)))</f>
        <v/>
      </c>
      <c r="AA178" s="142" t="str">
        <f>IF(AA$3="","",IF(COUNTIFS(BD!$A$3:$A$5001,AA$3,BD!$B$3:$B$5001,$A$171,BD!$X$3:$X$5001,"&lt;&gt;")=0,"",SUMIFS(BD!$X$3:$X$5001,BD!$A$3:$A$5001,AA$3,BD!$B$3:$B$5001,$A$171)))</f>
        <v/>
      </c>
      <c r="AB178" s="142" t="str">
        <f>IF(AB$3="","",IF(COUNTIFS(BD!$A$3:$A$5001,AB$3,BD!$B$3:$B$5001,$A$171,BD!$X$3:$X$5001,"&lt;&gt;")=0,"",SUMIFS(BD!$X$3:$X$5001,BD!$A$3:$A$5001,AB$3,BD!$B$3:$B$5001,$A$171)))</f>
        <v/>
      </c>
      <c r="AC178" s="142" t="str">
        <f>IF(AC$3="","",IF(COUNTIFS(BD!$A$3:$A$5001,AC$3,BD!$B$3:$B$5001,$A$171,BD!$X$3:$X$5001,"&lt;&gt;")=0,"",SUMIFS(BD!$X$3:$X$5001,BD!$A$3:$A$5001,AC$3,BD!$B$3:$B$5001,$A$171)))</f>
        <v/>
      </c>
      <c r="AD178" s="142" t="str">
        <f>IF(AD$3="","",IF(COUNTIFS(BD!$A$3:$A$5001,AD$3,BD!$B$3:$B$5001,$A$171,BD!$X$3:$X$5001,"&lt;&gt;")=0,"",SUMIFS(BD!$X$3:$X$5001,BD!$A$3:$A$5001,AD$3,BD!$B$3:$B$5001,$A$171)))</f>
        <v/>
      </c>
      <c r="AE178" s="142" t="str">
        <f>IF(AE$3="","",IF(COUNTIFS(BD!$A$3:$A$5001,AE$3,BD!$B$3:$B$5001,$A$171,BD!$X$3:$X$5001,"&lt;&gt;")=0,"",SUMIFS(BD!$X$3:$X$5001,BD!$A$3:$A$5001,AE$3,BD!$B$3:$B$5001,$A$171)))</f>
        <v/>
      </c>
      <c r="AF178" s="142" t="str">
        <f>IF(AF$3="","",IF(COUNTIFS(BD!$A$3:$A$5001,AF$3,BD!$B$3:$B$5001,$A$171,BD!$X$3:$X$5001,"&lt;&gt;")=0,"",SUMIFS(BD!$X$3:$X$5001,BD!$A$3:$A$5001,AF$3,BD!$B$3:$B$5001,$A$171)))</f>
        <v/>
      </c>
      <c r="AG178" s="142" t="str">
        <f>IF(AG$3="","",IF(COUNTIFS(BD!$A$3:$A$5001,AG$3,BD!$B$3:$B$5001,$A$171,BD!$X$3:$X$5001,"&lt;&gt;")=0,"",SUMIFS(BD!$X$3:$X$5001,BD!$A$3:$A$5001,AG$3,BD!$B$3:$B$5001,$A$171)))</f>
        <v/>
      </c>
      <c r="AH178" s="142" t="str">
        <f>IF(AH$3="","",IF(COUNTIFS(BD!$A$3:$A$5001,AH$3,BD!$B$3:$B$5001,$A$171,BD!$X$3:$X$5001,"&lt;&gt;")=0,"",SUMIFS(BD!$X$3:$X$5001,BD!$A$3:$A$5001,AH$3,BD!$B$3:$B$5001,$A$171)))</f>
        <v/>
      </c>
      <c r="AI178" s="142" t="str">
        <f>IF(AI$3="","",IF(COUNTIFS(BD!$A$3:$A$5001,AI$3,BD!$B$3:$B$5001,$A$171,BD!$X$3:$X$5001,"&lt;&gt;")=0,"",SUMIFS(BD!$X$3:$X$5001,BD!$A$3:$A$5001,AI$3,BD!$B$3:$B$5001,$A$171)))</f>
        <v/>
      </c>
      <c r="AJ178" s="143" t="str">
        <f>IF(AJ$3="","",IF(COUNTIFS(BD!$A$3:$A$5001,AJ$3,BD!$B$3:$B$5001,$A$171,BD!$X$3:$X$5001,"&lt;&gt;")=0,"",SUMIFS(BD!$X$3:$X$5001,BD!$A$3:$A$5001,AJ$3,BD!$B$3:$B$5001,$A$171)))</f>
        <v/>
      </c>
      <c r="AK178" s="144" t="str">
        <f>IF(COUNT(F178:AJ178)&gt;0,LOOKUP(9.99E+307,F178:AJ178),IFERROR(IF(INDEX(BD!$AH$3:$AH$5001,MATCH($A$171,BD!$B$3:$B$5001,0))&amp;""="Contrato","",INDEX(BD!$AH$3:$AH$5001,MATCH($A$171,BD!$B$3:$B$5001,0))&amp;""),""))</f>
        <v/>
      </c>
    </row>
    <row r="179" ht="15.75" customHeight="1">
      <c r="A179" s="227"/>
      <c r="B179" s="222"/>
      <c r="C179" s="184" t="inlineStr">
        <is>
          <t xml:space="preserve">Posições Ocupadas</t>
        </is>
      </c>
      <c r="D179" s="185" t="str">
        <f>IFERROR(1/(1/INDEX(BD!$AK$45:$AT$45,MATCH($A$171,BD!$AK$22:$AT$22,0))),"")</f>
        <v/>
      </c>
      <c r="E179" s="186"/>
      <c r="F179" s="187" t="str">
        <f>IF(F$3="","",IF(COUNTIFS(BD!$A$3:$A$5001,F$3,BD!$B$3:$B$5001,$A$171,BD!$Y$3:$Y$5001,"&lt;&gt;")=0,"",SUMIFS(BD!$Y$3:$Y$5001,BD!$A$3:$A$5001,F$3,BD!$B$3:$B$5001,$A$171)))</f>
        <v/>
      </c>
      <c r="G179" s="188" t="str">
        <f>IF(G$3="","",IF(COUNTIFS(BD!$A$3:$A$5001,G$3,BD!$B$3:$B$5001,$A$171,BD!$Y$3:$Y$5001,"&lt;&gt;")=0,"",SUMIFS(BD!$Y$3:$Y$5001,BD!$A$3:$A$5001,G$3,BD!$B$3:$B$5001,$A$171)))</f>
        <v/>
      </c>
      <c r="H179" s="188" t="str">
        <f>IF(H$3="","",IF(COUNTIFS(BD!$A$3:$A$5001,H$3,BD!$B$3:$B$5001,$A$171,BD!$Y$3:$Y$5001,"&lt;&gt;")=0,"",SUMIFS(BD!$Y$3:$Y$5001,BD!$A$3:$A$5001,H$3,BD!$B$3:$B$5001,$A$171)))</f>
        <v/>
      </c>
      <c r="I179" s="188" t="str">
        <f>IF(I$3="","",IF(COUNTIFS(BD!$A$3:$A$5001,I$3,BD!$B$3:$B$5001,$A$171,BD!$Y$3:$Y$5001,"&lt;&gt;")=0,"",SUMIFS(BD!$Y$3:$Y$5001,BD!$A$3:$A$5001,I$3,BD!$B$3:$B$5001,$A$171)))</f>
        <v/>
      </c>
      <c r="J179" s="188" t="str">
        <f>IF(J$3="","",IF(COUNTIFS(BD!$A$3:$A$5001,J$3,BD!$B$3:$B$5001,$A$171,BD!$Y$3:$Y$5001,"&lt;&gt;")=0,"",SUMIFS(BD!$Y$3:$Y$5001,BD!$A$3:$A$5001,J$3,BD!$B$3:$B$5001,$A$171)))</f>
        <v/>
      </c>
      <c r="K179" s="188" t="str">
        <f>IF(K$3="","",IF(COUNTIFS(BD!$A$3:$A$5001,K$3,BD!$B$3:$B$5001,$A$171,BD!$Y$3:$Y$5001,"&lt;&gt;")=0,"",SUMIFS(BD!$Y$3:$Y$5001,BD!$A$3:$A$5001,K$3,BD!$B$3:$B$5001,$A$171)))</f>
        <v/>
      </c>
      <c r="L179" s="188" t="str">
        <f>IF(L$3="","",IF(COUNTIFS(BD!$A$3:$A$5001,L$3,BD!$B$3:$B$5001,$A$171,BD!$Y$3:$Y$5001,"&lt;&gt;")=0,"",SUMIFS(BD!$Y$3:$Y$5001,BD!$A$3:$A$5001,L$3,BD!$B$3:$B$5001,$A$171)))</f>
        <v/>
      </c>
      <c r="M179" s="188" t="str">
        <f>IF(M$3="","",IF(COUNTIFS(BD!$A$3:$A$5001,M$3,BD!$B$3:$B$5001,$A$171,BD!$Y$3:$Y$5001,"&lt;&gt;")=0,"",SUMIFS(BD!$Y$3:$Y$5001,BD!$A$3:$A$5001,M$3,BD!$B$3:$B$5001,$A$171)))</f>
        <v/>
      </c>
      <c r="N179" s="188" t="str">
        <f>IF(N$3="","",IF(COUNTIFS(BD!$A$3:$A$5001,N$3,BD!$B$3:$B$5001,$A$171,BD!$Y$3:$Y$5001,"&lt;&gt;")=0,"",SUMIFS(BD!$Y$3:$Y$5001,BD!$A$3:$A$5001,N$3,BD!$B$3:$B$5001,$A$171)))</f>
        <v/>
      </c>
      <c r="O179" s="188" t="str">
        <f>IF(O$3="","",IF(COUNTIFS(BD!$A$3:$A$5001,O$3,BD!$B$3:$B$5001,$A$171,BD!$Y$3:$Y$5001,"&lt;&gt;")=0,"",SUMIFS(BD!$Y$3:$Y$5001,BD!$A$3:$A$5001,O$3,BD!$B$3:$B$5001,$A$171)))</f>
        <v/>
      </c>
      <c r="P179" s="188" t="str">
        <f>IF(P$3="","",IF(COUNTIFS(BD!$A$3:$A$5001,P$3,BD!$B$3:$B$5001,$A$171,BD!$Y$3:$Y$5001,"&lt;&gt;")=0,"",SUMIFS(BD!$Y$3:$Y$5001,BD!$A$3:$A$5001,P$3,BD!$B$3:$B$5001,$A$171)))</f>
        <v/>
      </c>
      <c r="Q179" s="188" t="str">
        <f>IF(Q$3="","",IF(COUNTIFS(BD!$A$3:$A$5001,Q$3,BD!$B$3:$B$5001,$A$171,BD!$Y$3:$Y$5001,"&lt;&gt;")=0,"",SUMIFS(BD!$Y$3:$Y$5001,BD!$A$3:$A$5001,Q$3,BD!$B$3:$B$5001,$A$171)))</f>
        <v/>
      </c>
      <c r="R179" s="188" t="str">
        <f>IF(R$3="","",IF(COUNTIFS(BD!$A$3:$A$5001,R$3,BD!$B$3:$B$5001,$A$171,BD!$Y$3:$Y$5001,"&lt;&gt;")=0,"",SUMIFS(BD!$Y$3:$Y$5001,BD!$A$3:$A$5001,R$3,BD!$B$3:$B$5001,$A$171)))</f>
        <v/>
      </c>
      <c r="S179" s="188" t="str">
        <f>IF(S$3="","",IF(COUNTIFS(BD!$A$3:$A$5001,S$3,BD!$B$3:$B$5001,$A$171,BD!$Y$3:$Y$5001,"&lt;&gt;")=0,"",SUMIFS(BD!$Y$3:$Y$5001,BD!$A$3:$A$5001,S$3,BD!$B$3:$B$5001,$A$171)))</f>
        <v/>
      </c>
      <c r="T179" s="188" t="str">
        <f>IF(T$3="","",IF(COUNTIFS(BD!$A$3:$A$5001,T$3,BD!$B$3:$B$5001,$A$171,BD!$Y$3:$Y$5001,"&lt;&gt;")=0,"",SUMIFS(BD!$Y$3:$Y$5001,BD!$A$3:$A$5001,T$3,BD!$B$3:$B$5001,$A$171)))</f>
        <v/>
      </c>
      <c r="U179" s="188" t="str">
        <f>IF(U$3="","",IF(COUNTIFS(BD!$A$3:$A$5001,U$3,BD!$B$3:$B$5001,$A$171,BD!$Y$3:$Y$5001,"&lt;&gt;")=0,"",SUMIFS(BD!$Y$3:$Y$5001,BD!$A$3:$A$5001,U$3,BD!$B$3:$B$5001,$A$171)))</f>
        <v/>
      </c>
      <c r="V179" s="188" t="str">
        <f>IF(V$3="","",IF(COUNTIFS(BD!$A$3:$A$5001,V$3,BD!$B$3:$B$5001,$A$171,BD!$Y$3:$Y$5001,"&lt;&gt;")=0,"",SUMIFS(BD!$Y$3:$Y$5001,BD!$A$3:$A$5001,V$3,BD!$B$3:$B$5001,$A$171)))</f>
        <v/>
      </c>
      <c r="W179" s="188" t="str">
        <f>IF(W$3="","",IF(COUNTIFS(BD!$A$3:$A$5001,W$3,BD!$B$3:$B$5001,$A$171,BD!$Y$3:$Y$5001,"&lt;&gt;")=0,"",SUMIFS(BD!$Y$3:$Y$5001,BD!$A$3:$A$5001,W$3,BD!$B$3:$B$5001,$A$171)))</f>
        <v/>
      </c>
      <c r="X179" s="188" t="str">
        <f>IF(X$3="","",IF(COUNTIFS(BD!$A$3:$A$5001,X$3,BD!$B$3:$B$5001,$A$171,BD!$Y$3:$Y$5001,"&lt;&gt;")=0,"",SUMIFS(BD!$Y$3:$Y$5001,BD!$A$3:$A$5001,X$3,BD!$B$3:$B$5001,$A$171)))</f>
        <v/>
      </c>
      <c r="Y179" s="188" t="str">
        <f>IF(Y$3="","",IF(COUNTIFS(BD!$A$3:$A$5001,Y$3,BD!$B$3:$B$5001,$A$171,BD!$Y$3:$Y$5001,"&lt;&gt;")=0,"",SUMIFS(BD!$Y$3:$Y$5001,BD!$A$3:$A$5001,Y$3,BD!$B$3:$B$5001,$A$171)))</f>
        <v/>
      </c>
      <c r="Z179" s="188" t="str">
        <f>IF(Z$3="","",IF(COUNTIFS(BD!$A$3:$A$5001,Z$3,BD!$B$3:$B$5001,$A$171,BD!$Y$3:$Y$5001,"&lt;&gt;")=0,"",SUMIFS(BD!$Y$3:$Y$5001,BD!$A$3:$A$5001,Z$3,BD!$B$3:$B$5001,$A$171)))</f>
        <v/>
      </c>
      <c r="AA179" s="188" t="str">
        <f>IF(AA$3="","",IF(COUNTIFS(BD!$A$3:$A$5001,AA$3,BD!$B$3:$B$5001,$A$171,BD!$Y$3:$Y$5001,"&lt;&gt;")=0,"",SUMIFS(BD!$Y$3:$Y$5001,BD!$A$3:$A$5001,AA$3,BD!$B$3:$B$5001,$A$171)))</f>
        <v/>
      </c>
      <c r="AB179" s="188" t="str">
        <f>IF(AB$3="","",IF(COUNTIFS(BD!$A$3:$A$5001,AB$3,BD!$B$3:$B$5001,$A$171,BD!$Y$3:$Y$5001,"&lt;&gt;")=0,"",SUMIFS(BD!$Y$3:$Y$5001,BD!$A$3:$A$5001,AB$3,BD!$B$3:$B$5001,$A$171)))</f>
        <v/>
      </c>
      <c r="AC179" s="188" t="str">
        <f>IF(AC$3="","",IF(COUNTIFS(BD!$A$3:$A$5001,AC$3,BD!$B$3:$B$5001,$A$171,BD!$Y$3:$Y$5001,"&lt;&gt;")=0,"",SUMIFS(BD!$Y$3:$Y$5001,BD!$A$3:$A$5001,AC$3,BD!$B$3:$B$5001,$A$171)))</f>
        <v/>
      </c>
      <c r="AD179" s="188" t="str">
        <f>IF(AD$3="","",IF(COUNTIFS(BD!$A$3:$A$5001,AD$3,BD!$B$3:$B$5001,$A$171,BD!$Y$3:$Y$5001,"&lt;&gt;")=0,"",SUMIFS(BD!$Y$3:$Y$5001,BD!$A$3:$A$5001,AD$3,BD!$B$3:$B$5001,$A$171)))</f>
        <v/>
      </c>
      <c r="AE179" s="188" t="str">
        <f>IF(AE$3="","",IF(COUNTIFS(BD!$A$3:$A$5001,AE$3,BD!$B$3:$B$5001,$A$171,BD!$Y$3:$Y$5001,"&lt;&gt;")=0,"",SUMIFS(BD!$Y$3:$Y$5001,BD!$A$3:$A$5001,AE$3,BD!$B$3:$B$5001,$A$171)))</f>
        <v/>
      </c>
      <c r="AF179" s="188" t="str">
        <f>IF(AF$3="","",IF(COUNTIFS(BD!$A$3:$A$5001,AF$3,BD!$B$3:$B$5001,$A$171,BD!$Y$3:$Y$5001,"&lt;&gt;")=0,"",SUMIFS(BD!$Y$3:$Y$5001,BD!$A$3:$A$5001,AF$3,BD!$B$3:$B$5001,$A$171)))</f>
        <v/>
      </c>
      <c r="AG179" s="188" t="str">
        <f>IF(AG$3="","",IF(COUNTIFS(BD!$A$3:$A$5001,AG$3,BD!$B$3:$B$5001,$A$171,BD!$Y$3:$Y$5001,"&lt;&gt;")=0,"",SUMIFS(BD!$Y$3:$Y$5001,BD!$A$3:$A$5001,AG$3,BD!$B$3:$B$5001,$A$171)))</f>
        <v/>
      </c>
      <c r="AH179" s="188" t="str">
        <f>IF(AH$3="","",IF(COUNTIFS(BD!$A$3:$A$5001,AH$3,BD!$B$3:$B$5001,$A$171,BD!$Y$3:$Y$5001,"&lt;&gt;")=0,"",SUMIFS(BD!$Y$3:$Y$5001,BD!$A$3:$A$5001,AH$3,BD!$B$3:$B$5001,$A$171)))</f>
        <v/>
      </c>
      <c r="AI179" s="188" t="str">
        <f>IF(AI$3="","",IF(COUNTIFS(BD!$A$3:$A$5001,AI$3,BD!$B$3:$B$5001,$A$171,BD!$Y$3:$Y$5001,"&lt;&gt;")=0,"",SUMIFS(BD!$Y$3:$Y$5001,BD!$A$3:$A$5001,AI$3,BD!$B$3:$B$5001,$A$171)))</f>
        <v/>
      </c>
      <c r="AJ179" s="189" t="str">
        <f>IF(AJ$3="","",IF(COUNTIFS(BD!$A$3:$A$5001,AJ$3,BD!$B$3:$B$5001,$A$171,BD!$Y$3:$Y$5001,"&lt;&gt;")=0,"",SUMIFS(BD!$Y$3:$Y$5001,BD!$A$3:$A$5001,AJ$3,BD!$B$3:$B$5001,$A$171)))</f>
        <v/>
      </c>
      <c r="AK179" s="190" t="str">
        <f>IFERROR(LOOKUP(9.99E+307,F179:AJ179),"")</f>
        <v/>
      </c>
    </row>
    <row r="180" ht="15.75" customHeight="1">
      <c r="A180" s="227"/>
      <c r="B180" s="216"/>
      <c r="C180" s="145" t="inlineStr">
        <is>
          <t xml:space="preserve">Taxa de Ocupação</t>
        </is>
      </c>
      <c r="D180" s="191" t="str">
        <f>IFERROR(1/(1/INDEX(BD!$AK$46:$AT$46,MATCH($A$171,BD!$AK$22:$AT$22,0))),"")</f>
        <v/>
      </c>
      <c r="E180" s="147"/>
      <c r="F180" s="192" t="str">
        <f>IF(AND(ISNUMBER(F178),ISNUMBER(F179)),IF(F178&gt;0,F179/F178,""),"")</f>
        <v/>
      </c>
      <c r="G180" s="193" t="str">
        <f>IF(AND(ISNUMBER(G178),ISNUMBER(G179)),IF(G178&gt;0,G179/G178,""),"")</f>
        <v/>
      </c>
      <c r="H180" s="193" t="str">
        <f>IF(AND(ISNUMBER(H178),ISNUMBER(H179)),IF(H178&gt;0,H179/H178,""),"")</f>
        <v/>
      </c>
      <c r="I180" s="193" t="str">
        <f>IF(AND(ISNUMBER(I178),ISNUMBER(I179)),IF(I178&gt;0,I179/I178,""),"")</f>
        <v/>
      </c>
      <c r="J180" s="193" t="str">
        <f>IF(AND(ISNUMBER(J178),ISNUMBER(J179)),IF(J178&gt;0,J179/J178,""),"")</f>
        <v/>
      </c>
      <c r="K180" s="193" t="str">
        <f>IF(AND(ISNUMBER(K178),ISNUMBER(K179)),IF(K178&gt;0,K179/K178,""),"")</f>
        <v/>
      </c>
      <c r="L180" s="193" t="str">
        <f>IF(AND(ISNUMBER(L178),ISNUMBER(L179)),IF(L178&gt;0,L179/L178,""),"")</f>
        <v/>
      </c>
      <c r="M180" s="193" t="str">
        <f>IF(AND(ISNUMBER(M178),ISNUMBER(M179)),IF(M178&gt;0,M179/M178,""),"")</f>
        <v/>
      </c>
      <c r="N180" s="193" t="str">
        <f>IF(AND(ISNUMBER(N178),ISNUMBER(N179)),IF(N178&gt;0,N179/N178,""),"")</f>
        <v/>
      </c>
      <c r="O180" s="193" t="str">
        <f>IF(AND(ISNUMBER(O178),ISNUMBER(O179)),IF(O178&gt;0,O179/O178,""),"")</f>
        <v/>
      </c>
      <c r="P180" s="193" t="str">
        <f>IF(AND(ISNUMBER(P178),ISNUMBER(P179)),IF(P178&gt;0,P179/P178,""),"")</f>
        <v/>
      </c>
      <c r="Q180" s="193" t="str">
        <f>IF(AND(ISNUMBER(Q178),ISNUMBER(Q179)),IF(Q178&gt;0,Q179/Q178,""),"")</f>
        <v/>
      </c>
      <c r="R180" s="193" t="str">
        <f>IF(AND(ISNUMBER(R178),ISNUMBER(R179)),IF(R178&gt;0,R179/R178,""),"")</f>
        <v/>
      </c>
      <c r="S180" s="193" t="str">
        <f>IF(AND(ISNUMBER(S178),ISNUMBER(S179)),IF(S178&gt;0,S179/S178,""),"")</f>
        <v/>
      </c>
      <c r="T180" s="193" t="str">
        <f>IF(AND(ISNUMBER(T178),ISNUMBER(T179)),IF(T178&gt;0,T179/T178,""),"")</f>
        <v/>
      </c>
      <c r="U180" s="193" t="str">
        <f>IF(AND(ISNUMBER(U178),ISNUMBER(U179)),IF(U178&gt;0,U179/U178,""),"")</f>
        <v/>
      </c>
      <c r="V180" s="193" t="str">
        <f>IF(AND(ISNUMBER(V178),ISNUMBER(V179)),IF(V178&gt;0,V179/V178,""),"")</f>
        <v/>
      </c>
      <c r="W180" s="193" t="str">
        <f>IF(AND(ISNUMBER(W178),ISNUMBER(W179)),IF(W178&gt;0,W179/W178,""),"")</f>
        <v/>
      </c>
      <c r="X180" s="193" t="str">
        <f>IF(AND(ISNUMBER(X178),ISNUMBER(X179)),IF(X178&gt;0,X179/X178,""),"")</f>
        <v/>
      </c>
      <c r="Y180" s="193" t="str">
        <f>IF(AND(ISNUMBER(Y178),ISNUMBER(Y179)),IF(Y178&gt;0,Y179/Y178,""),"")</f>
        <v/>
      </c>
      <c r="Z180" s="193" t="str">
        <f>IF(AND(ISNUMBER(Z178),ISNUMBER(Z179)),IF(Z178&gt;0,Z179/Z178,""),"")</f>
        <v/>
      </c>
      <c r="AA180" s="193" t="str">
        <f>IF(AND(ISNUMBER(AA178),ISNUMBER(AA179)),IF(AA178&gt;0,AA179/AA178,""),"")</f>
        <v/>
      </c>
      <c r="AB180" s="193" t="str">
        <f>IF(AND(ISNUMBER(AB178),ISNUMBER(AB179)),IF(AB178&gt;0,AB179/AB178,""),"")</f>
        <v/>
      </c>
      <c r="AC180" s="193" t="str">
        <f>IF(AND(ISNUMBER(AC178),ISNUMBER(AC179)),IF(AC178&gt;0,AC179/AC178,""),"")</f>
        <v/>
      </c>
      <c r="AD180" s="193" t="str">
        <f>IF(AND(ISNUMBER(AD178),ISNUMBER(AD179)),IF(AD178&gt;0,AD179/AD178,""),"")</f>
        <v/>
      </c>
      <c r="AE180" s="193" t="str">
        <f>IF(AND(ISNUMBER(AE178),ISNUMBER(AE179)),IF(AE178&gt;0,AE179/AE178,""),"")</f>
        <v/>
      </c>
      <c r="AF180" s="193" t="str">
        <f>IF(AND(ISNUMBER(AF178),ISNUMBER(AF179)),IF(AF178&gt;0,AF179/AF178,""),"")</f>
        <v/>
      </c>
      <c r="AG180" s="193" t="str">
        <f>IF(AND(ISNUMBER(AG178),ISNUMBER(AG179)),IF(AG178&gt;0,AG179/AG178,""),"")</f>
        <v/>
      </c>
      <c r="AH180" s="193" t="str">
        <f>IF(AND(ISNUMBER(AH178),ISNUMBER(AH179)),IF(AH178&gt;0,AH179/AH178,""),"")</f>
        <v/>
      </c>
      <c r="AI180" s="193" t="str">
        <f>IF(AND(ISNUMBER(AI178),ISNUMBER(AI179)),IF(AI178&gt;0,AI179/AI178,""),"")</f>
        <v/>
      </c>
      <c r="AJ180" s="194" t="str">
        <f>IF(AND(ISNUMBER(AJ178),ISNUMBER(AJ179)),IF(AJ178&gt;0,AJ179/AJ178,""),"")</f>
        <v/>
      </c>
      <c r="AK180" s="191" t="str">
        <f>IF(AND(ISNUMBER(AK178),ISNUMBER(AK179)),IF(AK178&gt;0,AK179/AK178,""),"")</f>
        <v/>
      </c>
    </row>
    <row r="181" ht="15.75" customHeight="1">
      <c r="A181" s="227"/>
      <c r="B181" s="223" t="inlineStr">
        <is>
          <t xml:space="preserve">GENTE</t>
        </is>
      </c>
      <c r="C181" s="195" t="inlineStr">
        <is>
          <t xml:space="preserve">Efetivo Op.</t>
        </is>
      </c>
      <c r="D181" s="196" t="str">
        <f>IFERROR(1/(1/INDEX(BD!$AK$47:$AT$47,MATCH($A$171,BD!$AK$22:$AT$22,0))),"")</f>
        <v/>
      </c>
      <c r="E181" s="197"/>
      <c r="F181" s="198" t="str">
        <f>IF(F$3="","",IF(COUNTIFS(BD!$A$3:$A$5001,F$3,BD!$B$3:$B$5001,$A$171,BD!$Z$3:$Z$5001,"&lt;&gt;")=0,"",SUMIFS(BD!$Z$3:$Z$5001,BD!$A$3:$A$5001,F$3,BD!$B$3:$B$5001,$A$171)))</f>
        <v/>
      </c>
      <c r="G181" s="199" t="str">
        <f>IF(G$3="","",IF(COUNTIFS(BD!$A$3:$A$5001,G$3,BD!$B$3:$B$5001,$A$171,BD!$Z$3:$Z$5001,"&lt;&gt;")=0,"",SUMIFS(BD!$Z$3:$Z$5001,BD!$A$3:$A$5001,G$3,BD!$B$3:$B$5001,$A$171)))</f>
        <v/>
      </c>
      <c r="H181" s="199" t="str">
        <f>IF(H$3="","",IF(COUNTIFS(BD!$A$3:$A$5001,H$3,BD!$B$3:$B$5001,$A$171,BD!$Z$3:$Z$5001,"&lt;&gt;")=0,"",SUMIFS(BD!$Z$3:$Z$5001,BD!$A$3:$A$5001,H$3,BD!$B$3:$B$5001,$A$171)))</f>
        <v/>
      </c>
      <c r="I181" s="199" t="str">
        <f>IF(I$3="","",IF(COUNTIFS(BD!$A$3:$A$5001,I$3,BD!$B$3:$B$5001,$A$171,BD!$Z$3:$Z$5001,"&lt;&gt;")=0,"",SUMIFS(BD!$Z$3:$Z$5001,BD!$A$3:$A$5001,I$3,BD!$B$3:$B$5001,$A$171)))</f>
        <v/>
      </c>
      <c r="J181" s="199" t="str">
        <f>IF(J$3="","",IF(COUNTIFS(BD!$A$3:$A$5001,J$3,BD!$B$3:$B$5001,$A$171,BD!$Z$3:$Z$5001,"&lt;&gt;")=0,"",SUMIFS(BD!$Z$3:$Z$5001,BD!$A$3:$A$5001,J$3,BD!$B$3:$B$5001,$A$171)))</f>
        <v/>
      </c>
      <c r="K181" s="199" t="str">
        <f>IF(K$3="","",IF(COUNTIFS(BD!$A$3:$A$5001,K$3,BD!$B$3:$B$5001,$A$171,BD!$Z$3:$Z$5001,"&lt;&gt;")=0,"",SUMIFS(BD!$Z$3:$Z$5001,BD!$A$3:$A$5001,K$3,BD!$B$3:$B$5001,$A$171)))</f>
        <v/>
      </c>
      <c r="L181" s="199" t="str">
        <f>IF(L$3="","",IF(COUNTIFS(BD!$A$3:$A$5001,L$3,BD!$B$3:$B$5001,$A$171,BD!$Z$3:$Z$5001,"&lt;&gt;")=0,"",SUMIFS(BD!$Z$3:$Z$5001,BD!$A$3:$A$5001,L$3,BD!$B$3:$B$5001,$A$171)))</f>
        <v/>
      </c>
      <c r="M181" s="199" t="str">
        <f>IF(M$3="","",IF(COUNTIFS(BD!$A$3:$A$5001,M$3,BD!$B$3:$B$5001,$A$171,BD!$Z$3:$Z$5001,"&lt;&gt;")=0,"",SUMIFS(BD!$Z$3:$Z$5001,BD!$A$3:$A$5001,M$3,BD!$B$3:$B$5001,$A$171)))</f>
        <v/>
      </c>
      <c r="N181" s="199" t="str">
        <f>IF(N$3="","",IF(COUNTIFS(BD!$A$3:$A$5001,N$3,BD!$B$3:$B$5001,$A$171,BD!$Z$3:$Z$5001,"&lt;&gt;")=0,"",SUMIFS(BD!$Z$3:$Z$5001,BD!$A$3:$A$5001,N$3,BD!$B$3:$B$5001,$A$171)))</f>
        <v/>
      </c>
      <c r="O181" s="199" t="str">
        <f>IF(O$3="","",IF(COUNTIFS(BD!$A$3:$A$5001,O$3,BD!$B$3:$B$5001,$A$171,BD!$Z$3:$Z$5001,"&lt;&gt;")=0,"",SUMIFS(BD!$Z$3:$Z$5001,BD!$A$3:$A$5001,O$3,BD!$B$3:$B$5001,$A$171)))</f>
        <v/>
      </c>
      <c r="P181" s="199" t="str">
        <f>IF(P$3="","",IF(COUNTIFS(BD!$A$3:$A$5001,P$3,BD!$B$3:$B$5001,$A$171,BD!$Z$3:$Z$5001,"&lt;&gt;")=0,"",SUMIFS(BD!$Z$3:$Z$5001,BD!$A$3:$A$5001,P$3,BD!$B$3:$B$5001,$A$171)))</f>
        <v/>
      </c>
      <c r="Q181" s="199" t="str">
        <f>IF(Q$3="","",IF(COUNTIFS(BD!$A$3:$A$5001,Q$3,BD!$B$3:$B$5001,$A$171,BD!$Z$3:$Z$5001,"&lt;&gt;")=0,"",SUMIFS(BD!$Z$3:$Z$5001,BD!$A$3:$A$5001,Q$3,BD!$B$3:$B$5001,$A$171)))</f>
        <v/>
      </c>
      <c r="R181" s="199" t="str">
        <f>IF(R$3="","",IF(COUNTIFS(BD!$A$3:$A$5001,R$3,BD!$B$3:$B$5001,$A$171,BD!$Z$3:$Z$5001,"&lt;&gt;")=0,"",SUMIFS(BD!$Z$3:$Z$5001,BD!$A$3:$A$5001,R$3,BD!$B$3:$B$5001,$A$171)))</f>
        <v/>
      </c>
      <c r="S181" s="199" t="str">
        <f>IF(S$3="","",IF(COUNTIFS(BD!$A$3:$A$5001,S$3,BD!$B$3:$B$5001,$A$171,BD!$Z$3:$Z$5001,"&lt;&gt;")=0,"",SUMIFS(BD!$Z$3:$Z$5001,BD!$A$3:$A$5001,S$3,BD!$B$3:$B$5001,$A$171)))</f>
        <v/>
      </c>
      <c r="T181" s="199" t="str">
        <f>IF(T$3="","",IF(COUNTIFS(BD!$A$3:$A$5001,T$3,BD!$B$3:$B$5001,$A$171,BD!$Z$3:$Z$5001,"&lt;&gt;")=0,"",SUMIFS(BD!$Z$3:$Z$5001,BD!$A$3:$A$5001,T$3,BD!$B$3:$B$5001,$A$171)))</f>
        <v/>
      </c>
      <c r="U181" s="199" t="str">
        <f>IF(U$3="","",IF(COUNTIFS(BD!$A$3:$A$5001,U$3,BD!$B$3:$B$5001,$A$171,BD!$Z$3:$Z$5001,"&lt;&gt;")=0,"",SUMIFS(BD!$Z$3:$Z$5001,BD!$A$3:$A$5001,U$3,BD!$B$3:$B$5001,$A$171)))</f>
        <v/>
      </c>
      <c r="V181" s="199" t="str">
        <f>IF(V$3="","",IF(COUNTIFS(BD!$A$3:$A$5001,V$3,BD!$B$3:$B$5001,$A$171,BD!$Z$3:$Z$5001,"&lt;&gt;")=0,"",SUMIFS(BD!$Z$3:$Z$5001,BD!$A$3:$A$5001,V$3,BD!$B$3:$B$5001,$A$171)))</f>
        <v/>
      </c>
      <c r="W181" s="199" t="str">
        <f>IF(W$3="","",IF(COUNTIFS(BD!$A$3:$A$5001,W$3,BD!$B$3:$B$5001,$A$171,BD!$Z$3:$Z$5001,"&lt;&gt;")=0,"",SUMIFS(BD!$Z$3:$Z$5001,BD!$A$3:$A$5001,W$3,BD!$B$3:$B$5001,$A$171)))</f>
        <v/>
      </c>
      <c r="X181" s="199" t="str">
        <f>IF(X$3="","",IF(COUNTIFS(BD!$A$3:$A$5001,X$3,BD!$B$3:$B$5001,$A$171,BD!$Z$3:$Z$5001,"&lt;&gt;")=0,"",SUMIFS(BD!$Z$3:$Z$5001,BD!$A$3:$A$5001,X$3,BD!$B$3:$B$5001,$A$171)))</f>
        <v/>
      </c>
      <c r="Y181" s="199" t="str">
        <f>IF(Y$3="","",IF(COUNTIFS(BD!$A$3:$A$5001,Y$3,BD!$B$3:$B$5001,$A$171,BD!$Z$3:$Z$5001,"&lt;&gt;")=0,"",SUMIFS(BD!$Z$3:$Z$5001,BD!$A$3:$A$5001,Y$3,BD!$B$3:$B$5001,$A$171)))</f>
        <v/>
      </c>
      <c r="Z181" s="199" t="str">
        <f>IF(Z$3="","",IF(COUNTIFS(BD!$A$3:$A$5001,Z$3,BD!$B$3:$B$5001,$A$171,BD!$Z$3:$Z$5001,"&lt;&gt;")=0,"",SUMIFS(BD!$Z$3:$Z$5001,BD!$A$3:$A$5001,Z$3,BD!$B$3:$B$5001,$A$171)))</f>
        <v/>
      </c>
      <c r="AA181" s="199" t="str">
        <f>IF(AA$3="","",IF(COUNTIFS(BD!$A$3:$A$5001,AA$3,BD!$B$3:$B$5001,$A$171,BD!$Z$3:$Z$5001,"&lt;&gt;")=0,"",SUMIFS(BD!$Z$3:$Z$5001,BD!$A$3:$A$5001,AA$3,BD!$B$3:$B$5001,$A$171)))</f>
        <v/>
      </c>
      <c r="AB181" s="199" t="str">
        <f>IF(AB$3="","",IF(COUNTIFS(BD!$A$3:$A$5001,AB$3,BD!$B$3:$B$5001,$A$171,BD!$Z$3:$Z$5001,"&lt;&gt;")=0,"",SUMIFS(BD!$Z$3:$Z$5001,BD!$A$3:$A$5001,AB$3,BD!$B$3:$B$5001,$A$171)))</f>
        <v/>
      </c>
      <c r="AC181" s="199" t="str">
        <f>IF(AC$3="","",IF(COUNTIFS(BD!$A$3:$A$5001,AC$3,BD!$B$3:$B$5001,$A$171,BD!$Z$3:$Z$5001,"&lt;&gt;")=0,"",SUMIFS(BD!$Z$3:$Z$5001,BD!$A$3:$A$5001,AC$3,BD!$B$3:$B$5001,$A$171)))</f>
        <v/>
      </c>
      <c r="AD181" s="199" t="str">
        <f>IF(AD$3="","",IF(COUNTIFS(BD!$A$3:$A$5001,AD$3,BD!$B$3:$B$5001,$A$171,BD!$Z$3:$Z$5001,"&lt;&gt;")=0,"",SUMIFS(BD!$Z$3:$Z$5001,BD!$A$3:$A$5001,AD$3,BD!$B$3:$B$5001,$A$171)))</f>
        <v/>
      </c>
      <c r="AE181" s="199" t="str">
        <f>IF(AE$3="","",IF(COUNTIFS(BD!$A$3:$A$5001,AE$3,BD!$B$3:$B$5001,$A$171,BD!$Z$3:$Z$5001,"&lt;&gt;")=0,"",SUMIFS(BD!$Z$3:$Z$5001,BD!$A$3:$A$5001,AE$3,BD!$B$3:$B$5001,$A$171)))</f>
        <v/>
      </c>
      <c r="AF181" s="199" t="str">
        <f>IF(AF$3="","",IF(COUNTIFS(BD!$A$3:$A$5001,AF$3,BD!$B$3:$B$5001,$A$171,BD!$Z$3:$Z$5001,"&lt;&gt;")=0,"",SUMIFS(BD!$Z$3:$Z$5001,BD!$A$3:$A$5001,AF$3,BD!$B$3:$B$5001,$A$171)))</f>
        <v/>
      </c>
      <c r="AG181" s="199" t="str">
        <f>IF(AG$3="","",IF(COUNTIFS(BD!$A$3:$A$5001,AG$3,BD!$B$3:$B$5001,$A$171,BD!$Z$3:$Z$5001,"&lt;&gt;")=0,"",SUMIFS(BD!$Z$3:$Z$5001,BD!$A$3:$A$5001,AG$3,BD!$B$3:$B$5001,$A$171)))</f>
        <v/>
      </c>
      <c r="AH181" s="199" t="str">
        <f>IF(AH$3="","",IF(COUNTIFS(BD!$A$3:$A$5001,AH$3,BD!$B$3:$B$5001,$A$171,BD!$Z$3:$Z$5001,"&lt;&gt;")=0,"",SUMIFS(BD!$Z$3:$Z$5001,BD!$A$3:$A$5001,AH$3,BD!$B$3:$B$5001,$A$171)))</f>
        <v/>
      </c>
      <c r="AI181" s="199" t="str">
        <f>IF(AI$3="","",IF(COUNTIFS(BD!$A$3:$A$5001,AI$3,BD!$B$3:$B$5001,$A$171,BD!$Z$3:$Z$5001,"&lt;&gt;")=0,"",SUMIFS(BD!$Z$3:$Z$5001,BD!$A$3:$A$5001,AI$3,BD!$B$3:$B$5001,$A$171)))</f>
        <v/>
      </c>
      <c r="AJ181" s="200" t="str">
        <f>IF(AJ$3="","",IF(COUNTIFS(BD!$A$3:$A$5001,AJ$3,BD!$B$3:$B$5001,$A$171,BD!$Z$3:$Z$5001,"&lt;&gt;")=0,"",SUMIFS(BD!$Z$3:$Z$5001,BD!$A$3:$A$5001,AJ$3,BD!$B$3:$B$5001,$A$171)))</f>
        <v/>
      </c>
      <c r="AK181" s="201" t="str">
        <f>IFERROR(LOOKUP(9.99E+307,F181:AJ181),"")</f>
        <v/>
      </c>
    </row>
    <row r="182" ht="15.75" customHeight="1">
      <c r="A182" s="227"/>
      <c r="B182" s="224"/>
      <c r="C182" s="202" t="inlineStr">
        <is>
          <t xml:space="preserve">Falta</t>
        </is>
      </c>
      <c r="D182" s="203" t="str">
        <f>IFERROR(1/(1/INDEX(BD!$AK$48:$AT$48,MATCH($A$171,BD!$AK$22:$AT$22,0))),"")</f>
        <v/>
      </c>
      <c r="E182" s="204"/>
      <c r="F182" s="205" t="str">
        <f>IF(F$3="","",IF(COUNTIFS(BD!$A$3:$A$5001,F$3,BD!$B$3:$B$5001,$A$171,BD!$AA$3:$AA$5001,"&lt;&gt;")=0,"",SUMIFS(BD!$AA$3:$AA$5001,BD!$A$3:$A$5001,F$3,BD!$B$3:$B$5001,$A$171)))</f>
        <v/>
      </c>
      <c r="G182" s="206" t="str">
        <f>IF(G$3="","",IF(COUNTIFS(BD!$A$3:$A$5001,G$3,BD!$B$3:$B$5001,$A$171,BD!$AA$3:$AA$5001,"&lt;&gt;")=0,"",SUMIFS(BD!$AA$3:$AA$5001,BD!$A$3:$A$5001,G$3,BD!$B$3:$B$5001,$A$171)))</f>
        <v/>
      </c>
      <c r="H182" s="206" t="str">
        <f>IF(H$3="","",IF(COUNTIFS(BD!$A$3:$A$5001,H$3,BD!$B$3:$B$5001,$A$171,BD!$AA$3:$AA$5001,"&lt;&gt;")=0,"",SUMIFS(BD!$AA$3:$AA$5001,BD!$A$3:$A$5001,H$3,BD!$B$3:$B$5001,$A$171)))</f>
        <v/>
      </c>
      <c r="I182" s="206" t="str">
        <f>IF(I$3="","",IF(COUNTIFS(BD!$A$3:$A$5001,I$3,BD!$B$3:$B$5001,$A$171,BD!$AA$3:$AA$5001,"&lt;&gt;")=0,"",SUMIFS(BD!$AA$3:$AA$5001,BD!$A$3:$A$5001,I$3,BD!$B$3:$B$5001,$A$171)))</f>
        <v/>
      </c>
      <c r="J182" s="206" t="str">
        <f>IF(J$3="","",IF(COUNTIFS(BD!$A$3:$A$5001,J$3,BD!$B$3:$B$5001,$A$171,BD!$AA$3:$AA$5001,"&lt;&gt;")=0,"",SUMIFS(BD!$AA$3:$AA$5001,BD!$A$3:$A$5001,J$3,BD!$B$3:$B$5001,$A$171)))</f>
        <v/>
      </c>
      <c r="K182" s="206" t="str">
        <f>IF(K$3="","",IF(COUNTIFS(BD!$A$3:$A$5001,K$3,BD!$B$3:$B$5001,$A$171,BD!$AA$3:$AA$5001,"&lt;&gt;")=0,"",SUMIFS(BD!$AA$3:$AA$5001,BD!$A$3:$A$5001,K$3,BD!$B$3:$B$5001,$A$171)))</f>
        <v/>
      </c>
      <c r="L182" s="206" t="str">
        <f>IF(L$3="","",IF(COUNTIFS(BD!$A$3:$A$5001,L$3,BD!$B$3:$B$5001,$A$171,BD!$AA$3:$AA$5001,"&lt;&gt;")=0,"",SUMIFS(BD!$AA$3:$AA$5001,BD!$A$3:$A$5001,L$3,BD!$B$3:$B$5001,$A$171)))</f>
        <v/>
      </c>
      <c r="M182" s="206" t="str">
        <f>IF(M$3="","",IF(COUNTIFS(BD!$A$3:$A$5001,M$3,BD!$B$3:$B$5001,$A$171,BD!$AA$3:$AA$5001,"&lt;&gt;")=0,"",SUMIFS(BD!$AA$3:$AA$5001,BD!$A$3:$A$5001,M$3,BD!$B$3:$B$5001,$A$171)))</f>
        <v/>
      </c>
      <c r="N182" s="206" t="str">
        <f>IF(N$3="","",IF(COUNTIFS(BD!$A$3:$A$5001,N$3,BD!$B$3:$B$5001,$A$171,BD!$AA$3:$AA$5001,"&lt;&gt;")=0,"",SUMIFS(BD!$AA$3:$AA$5001,BD!$A$3:$A$5001,N$3,BD!$B$3:$B$5001,$A$171)))</f>
        <v/>
      </c>
      <c r="O182" s="206" t="str">
        <f>IF(O$3="","",IF(COUNTIFS(BD!$A$3:$A$5001,O$3,BD!$B$3:$B$5001,$A$171,BD!$AA$3:$AA$5001,"&lt;&gt;")=0,"",SUMIFS(BD!$AA$3:$AA$5001,BD!$A$3:$A$5001,O$3,BD!$B$3:$B$5001,$A$171)))</f>
        <v/>
      </c>
      <c r="P182" s="206" t="str">
        <f>IF(P$3="","",IF(COUNTIFS(BD!$A$3:$A$5001,P$3,BD!$B$3:$B$5001,$A$171,BD!$AA$3:$AA$5001,"&lt;&gt;")=0,"",SUMIFS(BD!$AA$3:$AA$5001,BD!$A$3:$A$5001,P$3,BD!$B$3:$B$5001,$A$171)))</f>
        <v/>
      </c>
      <c r="Q182" s="206" t="str">
        <f>IF(Q$3="","",IF(COUNTIFS(BD!$A$3:$A$5001,Q$3,BD!$B$3:$B$5001,$A$171,BD!$AA$3:$AA$5001,"&lt;&gt;")=0,"",SUMIFS(BD!$AA$3:$AA$5001,BD!$A$3:$A$5001,Q$3,BD!$B$3:$B$5001,$A$171)))</f>
        <v/>
      </c>
      <c r="R182" s="206" t="str">
        <f>IF(R$3="","",IF(COUNTIFS(BD!$A$3:$A$5001,R$3,BD!$B$3:$B$5001,$A$171,BD!$AA$3:$AA$5001,"&lt;&gt;")=0,"",SUMIFS(BD!$AA$3:$AA$5001,BD!$A$3:$A$5001,R$3,BD!$B$3:$B$5001,$A$171)))</f>
        <v/>
      </c>
      <c r="S182" s="206" t="str">
        <f>IF(S$3="","",IF(COUNTIFS(BD!$A$3:$A$5001,S$3,BD!$B$3:$B$5001,$A$171,BD!$AA$3:$AA$5001,"&lt;&gt;")=0,"",SUMIFS(BD!$AA$3:$AA$5001,BD!$A$3:$A$5001,S$3,BD!$B$3:$B$5001,$A$171)))</f>
        <v/>
      </c>
      <c r="T182" s="206" t="str">
        <f>IF(T$3="","",IF(COUNTIFS(BD!$A$3:$A$5001,T$3,BD!$B$3:$B$5001,$A$171,BD!$AA$3:$AA$5001,"&lt;&gt;")=0,"",SUMIFS(BD!$AA$3:$AA$5001,BD!$A$3:$A$5001,T$3,BD!$B$3:$B$5001,$A$171)))</f>
        <v/>
      </c>
      <c r="U182" s="206" t="str">
        <f>IF(U$3="","",IF(COUNTIFS(BD!$A$3:$A$5001,U$3,BD!$B$3:$B$5001,$A$171,BD!$AA$3:$AA$5001,"&lt;&gt;")=0,"",SUMIFS(BD!$AA$3:$AA$5001,BD!$A$3:$A$5001,U$3,BD!$B$3:$B$5001,$A$171)))</f>
        <v/>
      </c>
      <c r="V182" s="206" t="str">
        <f>IF(V$3="","",IF(COUNTIFS(BD!$A$3:$A$5001,V$3,BD!$B$3:$B$5001,$A$171,BD!$AA$3:$AA$5001,"&lt;&gt;")=0,"",SUMIFS(BD!$AA$3:$AA$5001,BD!$A$3:$A$5001,V$3,BD!$B$3:$B$5001,$A$171)))</f>
        <v/>
      </c>
      <c r="W182" s="206" t="str">
        <f>IF(W$3="","",IF(COUNTIFS(BD!$A$3:$A$5001,W$3,BD!$B$3:$B$5001,$A$171,BD!$AA$3:$AA$5001,"&lt;&gt;")=0,"",SUMIFS(BD!$AA$3:$AA$5001,BD!$A$3:$A$5001,W$3,BD!$B$3:$B$5001,$A$171)))</f>
        <v/>
      </c>
      <c r="X182" s="206" t="str">
        <f>IF(X$3="","",IF(COUNTIFS(BD!$A$3:$A$5001,X$3,BD!$B$3:$B$5001,$A$171,BD!$AA$3:$AA$5001,"&lt;&gt;")=0,"",SUMIFS(BD!$AA$3:$AA$5001,BD!$A$3:$A$5001,X$3,BD!$B$3:$B$5001,$A$171)))</f>
        <v/>
      </c>
      <c r="Y182" s="206" t="str">
        <f>IF(Y$3="","",IF(COUNTIFS(BD!$A$3:$A$5001,Y$3,BD!$B$3:$B$5001,$A$171,BD!$AA$3:$AA$5001,"&lt;&gt;")=0,"",SUMIFS(BD!$AA$3:$AA$5001,BD!$A$3:$A$5001,Y$3,BD!$B$3:$B$5001,$A$171)))</f>
        <v/>
      </c>
      <c r="Z182" s="206" t="str">
        <f>IF(Z$3="","",IF(COUNTIFS(BD!$A$3:$A$5001,Z$3,BD!$B$3:$B$5001,$A$171,BD!$AA$3:$AA$5001,"&lt;&gt;")=0,"",SUMIFS(BD!$AA$3:$AA$5001,BD!$A$3:$A$5001,Z$3,BD!$B$3:$B$5001,$A$171)))</f>
        <v/>
      </c>
      <c r="AA182" s="206" t="str">
        <f>IF(AA$3="","",IF(COUNTIFS(BD!$A$3:$A$5001,AA$3,BD!$B$3:$B$5001,$A$171,BD!$AA$3:$AA$5001,"&lt;&gt;")=0,"",SUMIFS(BD!$AA$3:$AA$5001,BD!$A$3:$A$5001,AA$3,BD!$B$3:$B$5001,$A$171)))</f>
        <v/>
      </c>
      <c r="AB182" s="206" t="str">
        <f>IF(AB$3="","",IF(COUNTIFS(BD!$A$3:$A$5001,AB$3,BD!$B$3:$B$5001,$A$171,BD!$AA$3:$AA$5001,"&lt;&gt;")=0,"",SUMIFS(BD!$AA$3:$AA$5001,BD!$A$3:$A$5001,AB$3,BD!$B$3:$B$5001,$A$171)))</f>
        <v/>
      </c>
      <c r="AC182" s="206" t="str">
        <f>IF(AC$3="","",IF(COUNTIFS(BD!$A$3:$A$5001,AC$3,BD!$B$3:$B$5001,$A$171,BD!$AA$3:$AA$5001,"&lt;&gt;")=0,"",SUMIFS(BD!$AA$3:$AA$5001,BD!$A$3:$A$5001,AC$3,BD!$B$3:$B$5001,$A$171)))</f>
        <v/>
      </c>
      <c r="AD182" s="206" t="str">
        <f>IF(AD$3="","",IF(COUNTIFS(BD!$A$3:$A$5001,AD$3,BD!$B$3:$B$5001,$A$171,BD!$AA$3:$AA$5001,"&lt;&gt;")=0,"",SUMIFS(BD!$AA$3:$AA$5001,BD!$A$3:$A$5001,AD$3,BD!$B$3:$B$5001,$A$171)))</f>
        <v/>
      </c>
      <c r="AE182" s="206" t="str">
        <f>IF(AE$3="","",IF(COUNTIFS(BD!$A$3:$A$5001,AE$3,BD!$B$3:$B$5001,$A$171,BD!$AA$3:$AA$5001,"&lt;&gt;")=0,"",SUMIFS(BD!$AA$3:$AA$5001,BD!$A$3:$A$5001,AE$3,BD!$B$3:$B$5001,$A$171)))</f>
        <v/>
      </c>
      <c r="AF182" s="206" t="str">
        <f>IF(AF$3="","",IF(COUNTIFS(BD!$A$3:$A$5001,AF$3,BD!$B$3:$B$5001,$A$171,BD!$AA$3:$AA$5001,"&lt;&gt;")=0,"",SUMIFS(BD!$AA$3:$AA$5001,BD!$A$3:$A$5001,AF$3,BD!$B$3:$B$5001,$A$171)))</f>
        <v/>
      </c>
      <c r="AG182" s="206" t="str">
        <f>IF(AG$3="","",IF(COUNTIFS(BD!$A$3:$A$5001,AG$3,BD!$B$3:$B$5001,$A$171,BD!$AA$3:$AA$5001,"&lt;&gt;")=0,"",SUMIFS(BD!$AA$3:$AA$5001,BD!$A$3:$A$5001,AG$3,BD!$B$3:$B$5001,$A$171)))</f>
        <v/>
      </c>
      <c r="AH182" s="206" t="str">
        <f>IF(AH$3="","",IF(COUNTIFS(BD!$A$3:$A$5001,AH$3,BD!$B$3:$B$5001,$A$171,BD!$AA$3:$AA$5001,"&lt;&gt;")=0,"",SUMIFS(BD!$AA$3:$AA$5001,BD!$A$3:$A$5001,AH$3,BD!$B$3:$B$5001,$A$171)))</f>
        <v/>
      </c>
      <c r="AI182" s="206" t="str">
        <f>IF(AI$3="","",IF(COUNTIFS(BD!$A$3:$A$5001,AI$3,BD!$B$3:$B$5001,$A$171,BD!$AA$3:$AA$5001,"&lt;&gt;")=0,"",SUMIFS(BD!$AA$3:$AA$5001,BD!$A$3:$A$5001,AI$3,BD!$B$3:$B$5001,$A$171)))</f>
        <v/>
      </c>
      <c r="AJ182" s="207" t="str">
        <f>IF(AJ$3="","",IF(COUNTIFS(BD!$A$3:$A$5001,AJ$3,BD!$B$3:$B$5001,$A$171,BD!$AA$3:$AA$5001,"&lt;&gt;")=0,"",SUMIFS(BD!$AA$3:$AA$5001,BD!$A$3:$A$5001,AJ$3,BD!$B$3:$B$5001,$A$171)))</f>
        <v/>
      </c>
      <c r="AK182" s="208" t="str">
        <f>IF(COUNT(F182:AJ182)=0,"",SUM(F182:AJ182))</f>
        <v/>
      </c>
    </row>
    <row r="183" ht="15.75" customHeight="1">
      <c r="A183" s="227"/>
      <c r="B183" s="224"/>
      <c r="C183" s="202" t="inlineStr">
        <is>
          <t xml:space="preserve">Folga</t>
        </is>
      </c>
      <c r="D183" s="203" t="str">
        <f>IFERROR(1/(1/INDEX(BD!$AK$49:$AT$49,MATCH($A$171,BD!$AK$22:$AT$22,0))),"")</f>
        <v/>
      </c>
      <c r="E183" s="204"/>
      <c r="F183" s="205" t="str">
        <f>IF(F$3="","",IF(COUNTIFS(BD!$A$3:$A$5001,F$3,BD!$B$3:$B$5001,$A$171,BD!$AB$3:$AB$5001,"&lt;&gt;")=0,"",SUMIFS(BD!$AB$3:$AB$5001,BD!$A$3:$A$5001,F$3,BD!$B$3:$B$5001,$A$171)))</f>
        <v/>
      </c>
      <c r="G183" s="206" t="str">
        <f>IF(G$3="","",IF(COUNTIFS(BD!$A$3:$A$5001,G$3,BD!$B$3:$B$5001,$A$171,BD!$AB$3:$AB$5001,"&lt;&gt;")=0,"",SUMIFS(BD!$AB$3:$AB$5001,BD!$A$3:$A$5001,G$3,BD!$B$3:$B$5001,$A$171)))</f>
        <v/>
      </c>
      <c r="H183" s="206" t="str">
        <f>IF(H$3="","",IF(COUNTIFS(BD!$A$3:$A$5001,H$3,BD!$B$3:$B$5001,$A$171,BD!$AB$3:$AB$5001,"&lt;&gt;")=0,"",SUMIFS(BD!$AB$3:$AB$5001,BD!$A$3:$A$5001,H$3,BD!$B$3:$B$5001,$A$171)))</f>
        <v/>
      </c>
      <c r="I183" s="206" t="str">
        <f>IF(I$3="","",IF(COUNTIFS(BD!$A$3:$A$5001,I$3,BD!$B$3:$B$5001,$A$171,BD!$AB$3:$AB$5001,"&lt;&gt;")=0,"",SUMIFS(BD!$AB$3:$AB$5001,BD!$A$3:$A$5001,I$3,BD!$B$3:$B$5001,$A$171)))</f>
        <v/>
      </c>
      <c r="J183" s="206" t="str">
        <f>IF(J$3="","",IF(COUNTIFS(BD!$A$3:$A$5001,J$3,BD!$B$3:$B$5001,$A$171,BD!$AB$3:$AB$5001,"&lt;&gt;")=0,"",SUMIFS(BD!$AB$3:$AB$5001,BD!$A$3:$A$5001,J$3,BD!$B$3:$B$5001,$A$171)))</f>
        <v/>
      </c>
      <c r="K183" s="206" t="str">
        <f>IF(K$3="","",IF(COUNTIFS(BD!$A$3:$A$5001,K$3,BD!$B$3:$B$5001,$A$171,BD!$AB$3:$AB$5001,"&lt;&gt;")=0,"",SUMIFS(BD!$AB$3:$AB$5001,BD!$A$3:$A$5001,K$3,BD!$B$3:$B$5001,$A$171)))</f>
        <v/>
      </c>
      <c r="L183" s="206" t="str">
        <f>IF(L$3="","",IF(COUNTIFS(BD!$A$3:$A$5001,L$3,BD!$B$3:$B$5001,$A$171,BD!$AB$3:$AB$5001,"&lt;&gt;")=0,"",SUMIFS(BD!$AB$3:$AB$5001,BD!$A$3:$A$5001,L$3,BD!$B$3:$B$5001,$A$171)))</f>
        <v/>
      </c>
      <c r="M183" s="206" t="str">
        <f>IF(M$3="","",IF(COUNTIFS(BD!$A$3:$A$5001,M$3,BD!$B$3:$B$5001,$A$171,BD!$AB$3:$AB$5001,"&lt;&gt;")=0,"",SUMIFS(BD!$AB$3:$AB$5001,BD!$A$3:$A$5001,M$3,BD!$B$3:$B$5001,$A$171)))</f>
        <v/>
      </c>
      <c r="N183" s="206" t="str">
        <f>IF(N$3="","",IF(COUNTIFS(BD!$A$3:$A$5001,N$3,BD!$B$3:$B$5001,$A$171,BD!$AB$3:$AB$5001,"&lt;&gt;")=0,"",SUMIFS(BD!$AB$3:$AB$5001,BD!$A$3:$A$5001,N$3,BD!$B$3:$B$5001,$A$171)))</f>
        <v/>
      </c>
      <c r="O183" s="206" t="str">
        <f>IF(O$3="","",IF(COUNTIFS(BD!$A$3:$A$5001,O$3,BD!$B$3:$B$5001,$A$171,BD!$AB$3:$AB$5001,"&lt;&gt;")=0,"",SUMIFS(BD!$AB$3:$AB$5001,BD!$A$3:$A$5001,O$3,BD!$B$3:$B$5001,$A$171)))</f>
        <v/>
      </c>
      <c r="P183" s="206" t="str">
        <f>IF(P$3="","",IF(COUNTIFS(BD!$A$3:$A$5001,P$3,BD!$B$3:$B$5001,$A$171,BD!$AB$3:$AB$5001,"&lt;&gt;")=0,"",SUMIFS(BD!$AB$3:$AB$5001,BD!$A$3:$A$5001,P$3,BD!$B$3:$B$5001,$A$171)))</f>
        <v/>
      </c>
      <c r="Q183" s="206" t="str">
        <f>IF(Q$3="","",IF(COUNTIFS(BD!$A$3:$A$5001,Q$3,BD!$B$3:$B$5001,$A$171,BD!$AB$3:$AB$5001,"&lt;&gt;")=0,"",SUMIFS(BD!$AB$3:$AB$5001,BD!$A$3:$A$5001,Q$3,BD!$B$3:$B$5001,$A$171)))</f>
        <v/>
      </c>
      <c r="R183" s="206" t="str">
        <f>IF(R$3="","",IF(COUNTIFS(BD!$A$3:$A$5001,R$3,BD!$B$3:$B$5001,$A$171,BD!$AB$3:$AB$5001,"&lt;&gt;")=0,"",SUMIFS(BD!$AB$3:$AB$5001,BD!$A$3:$A$5001,R$3,BD!$B$3:$B$5001,$A$171)))</f>
        <v/>
      </c>
      <c r="S183" s="206" t="str">
        <f>IF(S$3="","",IF(COUNTIFS(BD!$A$3:$A$5001,S$3,BD!$B$3:$B$5001,$A$171,BD!$AB$3:$AB$5001,"&lt;&gt;")=0,"",SUMIFS(BD!$AB$3:$AB$5001,BD!$A$3:$A$5001,S$3,BD!$B$3:$B$5001,$A$171)))</f>
        <v/>
      </c>
      <c r="T183" s="206" t="str">
        <f>IF(T$3="","",IF(COUNTIFS(BD!$A$3:$A$5001,T$3,BD!$B$3:$B$5001,$A$171,BD!$AB$3:$AB$5001,"&lt;&gt;")=0,"",SUMIFS(BD!$AB$3:$AB$5001,BD!$A$3:$A$5001,T$3,BD!$B$3:$B$5001,$A$171)))</f>
        <v/>
      </c>
      <c r="U183" s="206" t="str">
        <f>IF(U$3="","",IF(COUNTIFS(BD!$A$3:$A$5001,U$3,BD!$B$3:$B$5001,$A$171,BD!$AB$3:$AB$5001,"&lt;&gt;")=0,"",SUMIFS(BD!$AB$3:$AB$5001,BD!$A$3:$A$5001,U$3,BD!$B$3:$B$5001,$A$171)))</f>
        <v/>
      </c>
      <c r="V183" s="206" t="str">
        <f>IF(V$3="","",IF(COUNTIFS(BD!$A$3:$A$5001,V$3,BD!$B$3:$B$5001,$A$171,BD!$AB$3:$AB$5001,"&lt;&gt;")=0,"",SUMIFS(BD!$AB$3:$AB$5001,BD!$A$3:$A$5001,V$3,BD!$B$3:$B$5001,$A$171)))</f>
        <v/>
      </c>
      <c r="W183" s="206" t="str">
        <f>IF(W$3="","",IF(COUNTIFS(BD!$A$3:$A$5001,W$3,BD!$B$3:$B$5001,$A$171,BD!$AB$3:$AB$5001,"&lt;&gt;")=0,"",SUMIFS(BD!$AB$3:$AB$5001,BD!$A$3:$A$5001,W$3,BD!$B$3:$B$5001,$A$171)))</f>
        <v/>
      </c>
      <c r="X183" s="206" t="str">
        <f>IF(X$3="","",IF(COUNTIFS(BD!$A$3:$A$5001,X$3,BD!$B$3:$B$5001,$A$171,BD!$AB$3:$AB$5001,"&lt;&gt;")=0,"",SUMIFS(BD!$AB$3:$AB$5001,BD!$A$3:$A$5001,X$3,BD!$B$3:$B$5001,$A$171)))</f>
        <v/>
      </c>
      <c r="Y183" s="206" t="str">
        <f>IF(Y$3="","",IF(COUNTIFS(BD!$A$3:$A$5001,Y$3,BD!$B$3:$B$5001,$A$171,BD!$AB$3:$AB$5001,"&lt;&gt;")=0,"",SUMIFS(BD!$AB$3:$AB$5001,BD!$A$3:$A$5001,Y$3,BD!$B$3:$B$5001,$A$171)))</f>
        <v/>
      </c>
      <c r="Z183" s="206" t="str">
        <f>IF(Z$3="","",IF(COUNTIFS(BD!$A$3:$A$5001,Z$3,BD!$B$3:$B$5001,$A$171,BD!$AB$3:$AB$5001,"&lt;&gt;")=0,"",SUMIFS(BD!$AB$3:$AB$5001,BD!$A$3:$A$5001,Z$3,BD!$B$3:$B$5001,$A$171)))</f>
        <v/>
      </c>
      <c r="AA183" s="206" t="str">
        <f>IF(AA$3="","",IF(COUNTIFS(BD!$A$3:$A$5001,AA$3,BD!$B$3:$B$5001,$A$171,BD!$AB$3:$AB$5001,"&lt;&gt;")=0,"",SUMIFS(BD!$AB$3:$AB$5001,BD!$A$3:$A$5001,AA$3,BD!$B$3:$B$5001,$A$171)))</f>
        <v/>
      </c>
      <c r="AB183" s="206" t="str">
        <f>IF(AB$3="","",IF(COUNTIFS(BD!$A$3:$A$5001,AB$3,BD!$B$3:$B$5001,$A$171,BD!$AB$3:$AB$5001,"&lt;&gt;")=0,"",SUMIFS(BD!$AB$3:$AB$5001,BD!$A$3:$A$5001,AB$3,BD!$B$3:$B$5001,$A$171)))</f>
        <v/>
      </c>
      <c r="AC183" s="206" t="str">
        <f>IF(AC$3="","",IF(COUNTIFS(BD!$A$3:$A$5001,AC$3,BD!$B$3:$B$5001,$A$171,BD!$AB$3:$AB$5001,"&lt;&gt;")=0,"",SUMIFS(BD!$AB$3:$AB$5001,BD!$A$3:$A$5001,AC$3,BD!$B$3:$B$5001,$A$171)))</f>
        <v/>
      </c>
      <c r="AD183" s="206" t="str">
        <f>IF(AD$3="","",IF(COUNTIFS(BD!$A$3:$A$5001,AD$3,BD!$B$3:$B$5001,$A$171,BD!$AB$3:$AB$5001,"&lt;&gt;")=0,"",SUMIFS(BD!$AB$3:$AB$5001,BD!$A$3:$A$5001,AD$3,BD!$B$3:$B$5001,$A$171)))</f>
        <v/>
      </c>
      <c r="AE183" s="206" t="str">
        <f>IF(AE$3="","",IF(COUNTIFS(BD!$A$3:$A$5001,AE$3,BD!$B$3:$B$5001,$A$171,BD!$AB$3:$AB$5001,"&lt;&gt;")=0,"",SUMIFS(BD!$AB$3:$AB$5001,BD!$A$3:$A$5001,AE$3,BD!$B$3:$B$5001,$A$171)))</f>
        <v/>
      </c>
      <c r="AF183" s="206" t="str">
        <f>IF(AF$3="","",IF(COUNTIFS(BD!$A$3:$A$5001,AF$3,BD!$B$3:$B$5001,$A$171,BD!$AB$3:$AB$5001,"&lt;&gt;")=0,"",SUMIFS(BD!$AB$3:$AB$5001,BD!$A$3:$A$5001,AF$3,BD!$B$3:$B$5001,$A$171)))</f>
        <v/>
      </c>
      <c r="AG183" s="206" t="str">
        <f>IF(AG$3="","",IF(COUNTIFS(BD!$A$3:$A$5001,AG$3,BD!$B$3:$B$5001,$A$171,BD!$AB$3:$AB$5001,"&lt;&gt;")=0,"",SUMIFS(BD!$AB$3:$AB$5001,BD!$A$3:$A$5001,AG$3,BD!$B$3:$B$5001,$A$171)))</f>
        <v/>
      </c>
      <c r="AH183" s="206" t="str">
        <f>IF(AH$3="","",IF(COUNTIFS(BD!$A$3:$A$5001,AH$3,BD!$B$3:$B$5001,$A$171,BD!$AB$3:$AB$5001,"&lt;&gt;")=0,"",SUMIFS(BD!$AB$3:$AB$5001,BD!$A$3:$A$5001,AH$3,BD!$B$3:$B$5001,$A$171)))</f>
        <v/>
      </c>
      <c r="AI183" s="206" t="str">
        <f>IF(AI$3="","",IF(COUNTIFS(BD!$A$3:$A$5001,AI$3,BD!$B$3:$B$5001,$A$171,BD!$AB$3:$AB$5001,"&lt;&gt;")=0,"",SUMIFS(BD!$AB$3:$AB$5001,BD!$A$3:$A$5001,AI$3,BD!$B$3:$B$5001,$A$171)))</f>
        <v/>
      </c>
      <c r="AJ183" s="207" t="str">
        <f>IF(AJ$3="","",IF(COUNTIFS(BD!$A$3:$A$5001,AJ$3,BD!$B$3:$B$5001,$A$171,BD!$AB$3:$AB$5001,"&lt;&gt;")=0,"",SUMIFS(BD!$AB$3:$AB$5001,BD!$A$3:$A$5001,AJ$3,BD!$B$3:$B$5001,$A$171)))</f>
        <v/>
      </c>
      <c r="AK183" s="208" t="str">
        <f>IF(COUNT(F183:AJ183)=0,"",SUM(F183:AJ183))</f>
        <v/>
      </c>
    </row>
    <row r="184" ht="15.75" customHeight="1">
      <c r="A184" s="227"/>
      <c r="B184" s="224"/>
      <c r="C184" s="202" t="inlineStr">
        <is>
          <t xml:space="preserve">Férias</t>
        </is>
      </c>
      <c r="D184" s="203" t="str">
        <f>IFERROR(1/(1/INDEX(BD!$AK$50:$AT$50,MATCH($A$171,BD!$AK$22:$AT$22,0))),"")</f>
        <v/>
      </c>
      <c r="E184" s="204"/>
      <c r="F184" s="205" t="str">
        <f>IF(F$3="","",IF(COUNTIFS(BD!$A$3:$A$5001,F$3,BD!$B$3:$B$5001,$A$171,BD!$AC$3:$AC$5001,"&lt;&gt;")=0,"",SUMIFS(BD!$AC$3:$AC$5001,BD!$A$3:$A$5001,F$3,BD!$B$3:$B$5001,$A$171)))</f>
        <v/>
      </c>
      <c r="G184" s="206" t="str">
        <f>IF(G$3="","",IF(COUNTIFS(BD!$A$3:$A$5001,G$3,BD!$B$3:$B$5001,$A$171,BD!$AC$3:$AC$5001,"&lt;&gt;")=0,"",SUMIFS(BD!$AC$3:$AC$5001,BD!$A$3:$A$5001,G$3,BD!$B$3:$B$5001,$A$171)))</f>
        <v/>
      </c>
      <c r="H184" s="206" t="str">
        <f>IF(H$3="","",IF(COUNTIFS(BD!$A$3:$A$5001,H$3,BD!$B$3:$B$5001,$A$171,BD!$AC$3:$AC$5001,"&lt;&gt;")=0,"",SUMIFS(BD!$AC$3:$AC$5001,BD!$A$3:$A$5001,H$3,BD!$B$3:$B$5001,$A$171)))</f>
        <v/>
      </c>
      <c r="I184" s="206" t="str">
        <f>IF(I$3="","",IF(COUNTIFS(BD!$A$3:$A$5001,I$3,BD!$B$3:$B$5001,$A$171,BD!$AC$3:$AC$5001,"&lt;&gt;")=0,"",SUMIFS(BD!$AC$3:$AC$5001,BD!$A$3:$A$5001,I$3,BD!$B$3:$B$5001,$A$171)))</f>
        <v/>
      </c>
      <c r="J184" s="206" t="str">
        <f>IF(J$3="","",IF(COUNTIFS(BD!$A$3:$A$5001,J$3,BD!$B$3:$B$5001,$A$171,BD!$AC$3:$AC$5001,"&lt;&gt;")=0,"",SUMIFS(BD!$AC$3:$AC$5001,BD!$A$3:$A$5001,J$3,BD!$B$3:$B$5001,$A$171)))</f>
        <v/>
      </c>
      <c r="K184" s="206" t="str">
        <f>IF(K$3="","",IF(COUNTIFS(BD!$A$3:$A$5001,K$3,BD!$B$3:$B$5001,$A$171,BD!$AC$3:$AC$5001,"&lt;&gt;")=0,"",SUMIFS(BD!$AC$3:$AC$5001,BD!$A$3:$A$5001,K$3,BD!$B$3:$B$5001,$A$171)))</f>
        <v/>
      </c>
      <c r="L184" s="206" t="str">
        <f>IF(L$3="","",IF(COUNTIFS(BD!$A$3:$A$5001,L$3,BD!$B$3:$B$5001,$A$171,BD!$AC$3:$AC$5001,"&lt;&gt;")=0,"",SUMIFS(BD!$AC$3:$AC$5001,BD!$A$3:$A$5001,L$3,BD!$B$3:$B$5001,$A$171)))</f>
        <v/>
      </c>
      <c r="M184" s="206" t="str">
        <f>IF(M$3="","",IF(COUNTIFS(BD!$A$3:$A$5001,M$3,BD!$B$3:$B$5001,$A$171,BD!$AC$3:$AC$5001,"&lt;&gt;")=0,"",SUMIFS(BD!$AC$3:$AC$5001,BD!$A$3:$A$5001,M$3,BD!$B$3:$B$5001,$A$171)))</f>
        <v/>
      </c>
      <c r="N184" s="206" t="str">
        <f>IF(N$3="","",IF(COUNTIFS(BD!$A$3:$A$5001,N$3,BD!$B$3:$B$5001,$A$171,BD!$AC$3:$AC$5001,"&lt;&gt;")=0,"",SUMIFS(BD!$AC$3:$AC$5001,BD!$A$3:$A$5001,N$3,BD!$B$3:$B$5001,$A$171)))</f>
        <v/>
      </c>
      <c r="O184" s="206" t="str">
        <f>IF(O$3="","",IF(COUNTIFS(BD!$A$3:$A$5001,O$3,BD!$B$3:$B$5001,$A$171,BD!$AC$3:$AC$5001,"&lt;&gt;")=0,"",SUMIFS(BD!$AC$3:$AC$5001,BD!$A$3:$A$5001,O$3,BD!$B$3:$B$5001,$A$171)))</f>
        <v/>
      </c>
      <c r="P184" s="206" t="str">
        <f>IF(P$3="","",IF(COUNTIFS(BD!$A$3:$A$5001,P$3,BD!$B$3:$B$5001,$A$171,BD!$AC$3:$AC$5001,"&lt;&gt;")=0,"",SUMIFS(BD!$AC$3:$AC$5001,BD!$A$3:$A$5001,P$3,BD!$B$3:$B$5001,$A$171)))</f>
        <v/>
      </c>
      <c r="Q184" s="206" t="str">
        <f>IF(Q$3="","",IF(COUNTIFS(BD!$A$3:$A$5001,Q$3,BD!$B$3:$B$5001,$A$171,BD!$AC$3:$AC$5001,"&lt;&gt;")=0,"",SUMIFS(BD!$AC$3:$AC$5001,BD!$A$3:$A$5001,Q$3,BD!$B$3:$B$5001,$A$171)))</f>
        <v/>
      </c>
      <c r="R184" s="206" t="str">
        <f>IF(R$3="","",IF(COUNTIFS(BD!$A$3:$A$5001,R$3,BD!$B$3:$B$5001,$A$171,BD!$AC$3:$AC$5001,"&lt;&gt;")=0,"",SUMIFS(BD!$AC$3:$AC$5001,BD!$A$3:$A$5001,R$3,BD!$B$3:$B$5001,$A$171)))</f>
        <v/>
      </c>
      <c r="S184" s="206" t="str">
        <f>IF(S$3="","",IF(COUNTIFS(BD!$A$3:$A$5001,S$3,BD!$B$3:$B$5001,$A$171,BD!$AC$3:$AC$5001,"&lt;&gt;")=0,"",SUMIFS(BD!$AC$3:$AC$5001,BD!$A$3:$A$5001,S$3,BD!$B$3:$B$5001,$A$171)))</f>
        <v/>
      </c>
      <c r="T184" s="206" t="str">
        <f>IF(T$3="","",IF(COUNTIFS(BD!$A$3:$A$5001,T$3,BD!$B$3:$B$5001,$A$171,BD!$AC$3:$AC$5001,"&lt;&gt;")=0,"",SUMIFS(BD!$AC$3:$AC$5001,BD!$A$3:$A$5001,T$3,BD!$B$3:$B$5001,$A$171)))</f>
        <v/>
      </c>
      <c r="U184" s="206" t="str">
        <f>IF(U$3="","",IF(COUNTIFS(BD!$A$3:$A$5001,U$3,BD!$B$3:$B$5001,$A$171,BD!$AC$3:$AC$5001,"&lt;&gt;")=0,"",SUMIFS(BD!$AC$3:$AC$5001,BD!$A$3:$A$5001,U$3,BD!$B$3:$B$5001,$A$171)))</f>
        <v/>
      </c>
      <c r="V184" s="206" t="str">
        <f>IF(V$3="","",IF(COUNTIFS(BD!$A$3:$A$5001,V$3,BD!$B$3:$B$5001,$A$171,BD!$AC$3:$AC$5001,"&lt;&gt;")=0,"",SUMIFS(BD!$AC$3:$AC$5001,BD!$A$3:$A$5001,V$3,BD!$B$3:$B$5001,$A$171)))</f>
        <v/>
      </c>
      <c r="W184" s="206" t="str">
        <f>IF(W$3="","",IF(COUNTIFS(BD!$A$3:$A$5001,W$3,BD!$B$3:$B$5001,$A$171,BD!$AC$3:$AC$5001,"&lt;&gt;")=0,"",SUMIFS(BD!$AC$3:$AC$5001,BD!$A$3:$A$5001,W$3,BD!$B$3:$B$5001,$A$171)))</f>
        <v/>
      </c>
      <c r="X184" s="206" t="str">
        <f>IF(X$3="","",IF(COUNTIFS(BD!$A$3:$A$5001,X$3,BD!$B$3:$B$5001,$A$171,BD!$AC$3:$AC$5001,"&lt;&gt;")=0,"",SUMIFS(BD!$AC$3:$AC$5001,BD!$A$3:$A$5001,X$3,BD!$B$3:$B$5001,$A$171)))</f>
        <v/>
      </c>
      <c r="Y184" s="206" t="str">
        <f>IF(Y$3="","",IF(COUNTIFS(BD!$A$3:$A$5001,Y$3,BD!$B$3:$B$5001,$A$171,BD!$AC$3:$AC$5001,"&lt;&gt;")=0,"",SUMIFS(BD!$AC$3:$AC$5001,BD!$A$3:$A$5001,Y$3,BD!$B$3:$B$5001,$A$171)))</f>
        <v/>
      </c>
      <c r="Z184" s="206" t="str">
        <f>IF(Z$3="","",IF(COUNTIFS(BD!$A$3:$A$5001,Z$3,BD!$B$3:$B$5001,$A$171,BD!$AC$3:$AC$5001,"&lt;&gt;")=0,"",SUMIFS(BD!$AC$3:$AC$5001,BD!$A$3:$A$5001,Z$3,BD!$B$3:$B$5001,$A$171)))</f>
        <v/>
      </c>
      <c r="AA184" s="206" t="str">
        <f>IF(AA$3="","",IF(COUNTIFS(BD!$A$3:$A$5001,AA$3,BD!$B$3:$B$5001,$A$171,BD!$AC$3:$AC$5001,"&lt;&gt;")=0,"",SUMIFS(BD!$AC$3:$AC$5001,BD!$A$3:$A$5001,AA$3,BD!$B$3:$B$5001,$A$171)))</f>
        <v/>
      </c>
      <c r="AB184" s="206" t="str">
        <f>IF(AB$3="","",IF(COUNTIFS(BD!$A$3:$A$5001,AB$3,BD!$B$3:$B$5001,$A$171,BD!$AC$3:$AC$5001,"&lt;&gt;")=0,"",SUMIFS(BD!$AC$3:$AC$5001,BD!$A$3:$A$5001,AB$3,BD!$B$3:$B$5001,$A$171)))</f>
        <v/>
      </c>
      <c r="AC184" s="206" t="str">
        <f>IF(AC$3="","",IF(COUNTIFS(BD!$A$3:$A$5001,AC$3,BD!$B$3:$B$5001,$A$171,BD!$AC$3:$AC$5001,"&lt;&gt;")=0,"",SUMIFS(BD!$AC$3:$AC$5001,BD!$A$3:$A$5001,AC$3,BD!$B$3:$B$5001,$A$171)))</f>
        <v/>
      </c>
      <c r="AD184" s="206" t="str">
        <f>IF(AD$3="","",IF(COUNTIFS(BD!$A$3:$A$5001,AD$3,BD!$B$3:$B$5001,$A$171,BD!$AC$3:$AC$5001,"&lt;&gt;")=0,"",SUMIFS(BD!$AC$3:$AC$5001,BD!$A$3:$A$5001,AD$3,BD!$B$3:$B$5001,$A$171)))</f>
        <v/>
      </c>
      <c r="AE184" s="206" t="str">
        <f>IF(AE$3="","",IF(COUNTIFS(BD!$A$3:$A$5001,AE$3,BD!$B$3:$B$5001,$A$171,BD!$AC$3:$AC$5001,"&lt;&gt;")=0,"",SUMIFS(BD!$AC$3:$AC$5001,BD!$A$3:$A$5001,AE$3,BD!$B$3:$B$5001,$A$171)))</f>
        <v/>
      </c>
      <c r="AF184" s="206" t="str">
        <f>IF(AF$3="","",IF(COUNTIFS(BD!$A$3:$A$5001,AF$3,BD!$B$3:$B$5001,$A$171,BD!$AC$3:$AC$5001,"&lt;&gt;")=0,"",SUMIFS(BD!$AC$3:$AC$5001,BD!$A$3:$A$5001,AF$3,BD!$B$3:$B$5001,$A$171)))</f>
        <v/>
      </c>
      <c r="AG184" s="206" t="str">
        <f>IF(AG$3="","",IF(COUNTIFS(BD!$A$3:$A$5001,AG$3,BD!$B$3:$B$5001,$A$171,BD!$AC$3:$AC$5001,"&lt;&gt;")=0,"",SUMIFS(BD!$AC$3:$AC$5001,BD!$A$3:$A$5001,AG$3,BD!$B$3:$B$5001,$A$171)))</f>
        <v/>
      </c>
      <c r="AH184" s="206" t="str">
        <f>IF(AH$3="","",IF(COUNTIFS(BD!$A$3:$A$5001,AH$3,BD!$B$3:$B$5001,$A$171,BD!$AC$3:$AC$5001,"&lt;&gt;")=0,"",SUMIFS(BD!$AC$3:$AC$5001,BD!$A$3:$A$5001,AH$3,BD!$B$3:$B$5001,$A$171)))</f>
        <v/>
      </c>
      <c r="AI184" s="206" t="str">
        <f>IF(AI$3="","",IF(COUNTIFS(BD!$A$3:$A$5001,AI$3,BD!$B$3:$B$5001,$A$171,BD!$AC$3:$AC$5001,"&lt;&gt;")=0,"",SUMIFS(BD!$AC$3:$AC$5001,BD!$A$3:$A$5001,AI$3,BD!$B$3:$B$5001,$A$171)))</f>
        <v/>
      </c>
      <c r="AJ184" s="207" t="str">
        <f>IF(AJ$3="","",IF(COUNTIFS(BD!$A$3:$A$5001,AJ$3,BD!$B$3:$B$5001,$A$171,BD!$AC$3:$AC$5001,"&lt;&gt;")=0,"",SUMIFS(BD!$AC$3:$AC$5001,BD!$A$3:$A$5001,AJ$3,BD!$B$3:$B$5001,$A$171)))</f>
        <v/>
      </c>
      <c r="AK184" s="208" t="str">
        <f>IF(COUNT(F184:AJ184)=0,"",SUM(F184:AJ184))</f>
        <v/>
      </c>
    </row>
    <row r="185" ht="15.75" customHeight="1">
      <c r="A185" s="227"/>
      <c r="B185" s="224"/>
      <c r="C185" s="202" t="inlineStr">
        <is>
          <t xml:space="preserve">Desligamento</t>
        </is>
      </c>
      <c r="D185" s="203" t="str">
        <f>IFERROR(1/(1/INDEX(BD!$AK$51:$AT$51,MATCH($A$171,BD!$AK$22:$AT$22,0))),"")</f>
        <v/>
      </c>
      <c r="E185" s="204"/>
      <c r="F185" s="205" t="str">
        <f>IF(F$3="","",IF(COUNTIFS(BD!$A$3:$A$5001,F$3,BD!$B$3:$B$5001,$A$171,BD!$AD$3:$AD$5001,"&lt;&gt;")=0,"",SUMIFS(BD!$AD$3:$AD$5001,BD!$A$3:$A$5001,F$3,BD!$B$3:$B$5001,$A$171)))</f>
        <v/>
      </c>
      <c r="G185" s="206" t="str">
        <f>IF(G$3="","",IF(COUNTIFS(BD!$A$3:$A$5001,G$3,BD!$B$3:$B$5001,$A$171,BD!$AD$3:$AD$5001,"&lt;&gt;")=0,"",SUMIFS(BD!$AD$3:$AD$5001,BD!$A$3:$A$5001,G$3,BD!$B$3:$B$5001,$A$171)))</f>
        <v/>
      </c>
      <c r="H185" s="206" t="str">
        <f>IF(H$3="","",IF(COUNTIFS(BD!$A$3:$A$5001,H$3,BD!$B$3:$B$5001,$A$171,BD!$AD$3:$AD$5001,"&lt;&gt;")=0,"",SUMIFS(BD!$AD$3:$AD$5001,BD!$A$3:$A$5001,H$3,BD!$B$3:$B$5001,$A$171)))</f>
        <v/>
      </c>
      <c r="I185" s="206" t="str">
        <f>IF(I$3="","",IF(COUNTIFS(BD!$A$3:$A$5001,I$3,BD!$B$3:$B$5001,$A$171,BD!$AD$3:$AD$5001,"&lt;&gt;")=0,"",SUMIFS(BD!$AD$3:$AD$5001,BD!$A$3:$A$5001,I$3,BD!$B$3:$B$5001,$A$171)))</f>
        <v/>
      </c>
      <c r="J185" s="206" t="str">
        <f>IF(J$3="","",IF(COUNTIFS(BD!$A$3:$A$5001,J$3,BD!$B$3:$B$5001,$A$171,BD!$AD$3:$AD$5001,"&lt;&gt;")=0,"",SUMIFS(BD!$AD$3:$AD$5001,BD!$A$3:$A$5001,J$3,BD!$B$3:$B$5001,$A$171)))</f>
        <v/>
      </c>
      <c r="K185" s="206" t="str">
        <f>IF(K$3="","",IF(COUNTIFS(BD!$A$3:$A$5001,K$3,BD!$B$3:$B$5001,$A$171,BD!$AD$3:$AD$5001,"&lt;&gt;")=0,"",SUMIFS(BD!$AD$3:$AD$5001,BD!$A$3:$A$5001,K$3,BD!$B$3:$B$5001,$A$171)))</f>
        <v/>
      </c>
      <c r="L185" s="206" t="str">
        <f>IF(L$3="","",IF(COUNTIFS(BD!$A$3:$A$5001,L$3,BD!$B$3:$B$5001,$A$171,BD!$AD$3:$AD$5001,"&lt;&gt;")=0,"",SUMIFS(BD!$AD$3:$AD$5001,BD!$A$3:$A$5001,L$3,BD!$B$3:$B$5001,$A$171)))</f>
        <v/>
      </c>
      <c r="M185" s="206" t="str">
        <f>IF(M$3="","",IF(COUNTIFS(BD!$A$3:$A$5001,M$3,BD!$B$3:$B$5001,$A$171,BD!$AD$3:$AD$5001,"&lt;&gt;")=0,"",SUMIFS(BD!$AD$3:$AD$5001,BD!$A$3:$A$5001,M$3,BD!$B$3:$B$5001,$A$171)))</f>
        <v/>
      </c>
      <c r="N185" s="206" t="str">
        <f>IF(N$3="","",IF(COUNTIFS(BD!$A$3:$A$5001,N$3,BD!$B$3:$B$5001,$A$171,BD!$AD$3:$AD$5001,"&lt;&gt;")=0,"",SUMIFS(BD!$AD$3:$AD$5001,BD!$A$3:$A$5001,N$3,BD!$B$3:$B$5001,$A$171)))</f>
        <v/>
      </c>
      <c r="O185" s="206" t="str">
        <f>IF(O$3="","",IF(COUNTIFS(BD!$A$3:$A$5001,O$3,BD!$B$3:$B$5001,$A$171,BD!$AD$3:$AD$5001,"&lt;&gt;")=0,"",SUMIFS(BD!$AD$3:$AD$5001,BD!$A$3:$A$5001,O$3,BD!$B$3:$B$5001,$A$171)))</f>
        <v/>
      </c>
      <c r="P185" s="206" t="str">
        <f>IF(P$3="","",IF(COUNTIFS(BD!$A$3:$A$5001,P$3,BD!$B$3:$B$5001,$A$171,BD!$AD$3:$AD$5001,"&lt;&gt;")=0,"",SUMIFS(BD!$AD$3:$AD$5001,BD!$A$3:$A$5001,P$3,BD!$B$3:$B$5001,$A$171)))</f>
        <v/>
      </c>
      <c r="Q185" s="206" t="str">
        <f>IF(Q$3="","",IF(COUNTIFS(BD!$A$3:$A$5001,Q$3,BD!$B$3:$B$5001,$A$171,BD!$AD$3:$AD$5001,"&lt;&gt;")=0,"",SUMIFS(BD!$AD$3:$AD$5001,BD!$A$3:$A$5001,Q$3,BD!$B$3:$B$5001,$A$171)))</f>
        <v/>
      </c>
      <c r="R185" s="206" t="str">
        <f>IF(R$3="","",IF(COUNTIFS(BD!$A$3:$A$5001,R$3,BD!$B$3:$B$5001,$A$171,BD!$AD$3:$AD$5001,"&lt;&gt;")=0,"",SUMIFS(BD!$AD$3:$AD$5001,BD!$A$3:$A$5001,R$3,BD!$B$3:$B$5001,$A$171)))</f>
        <v/>
      </c>
      <c r="S185" s="206" t="str">
        <f>IF(S$3="","",IF(COUNTIFS(BD!$A$3:$A$5001,S$3,BD!$B$3:$B$5001,$A$171,BD!$AD$3:$AD$5001,"&lt;&gt;")=0,"",SUMIFS(BD!$AD$3:$AD$5001,BD!$A$3:$A$5001,S$3,BD!$B$3:$B$5001,$A$171)))</f>
        <v/>
      </c>
      <c r="T185" s="206" t="str">
        <f>IF(T$3="","",IF(COUNTIFS(BD!$A$3:$A$5001,T$3,BD!$B$3:$B$5001,$A$171,BD!$AD$3:$AD$5001,"&lt;&gt;")=0,"",SUMIFS(BD!$AD$3:$AD$5001,BD!$A$3:$A$5001,T$3,BD!$B$3:$B$5001,$A$171)))</f>
        <v/>
      </c>
      <c r="U185" s="206" t="str">
        <f>IF(U$3="","",IF(COUNTIFS(BD!$A$3:$A$5001,U$3,BD!$B$3:$B$5001,$A$171,BD!$AD$3:$AD$5001,"&lt;&gt;")=0,"",SUMIFS(BD!$AD$3:$AD$5001,BD!$A$3:$A$5001,U$3,BD!$B$3:$B$5001,$A$171)))</f>
        <v/>
      </c>
      <c r="V185" s="206" t="str">
        <f>IF(V$3="","",IF(COUNTIFS(BD!$A$3:$A$5001,V$3,BD!$B$3:$B$5001,$A$171,BD!$AD$3:$AD$5001,"&lt;&gt;")=0,"",SUMIFS(BD!$AD$3:$AD$5001,BD!$A$3:$A$5001,V$3,BD!$B$3:$B$5001,$A$171)))</f>
        <v/>
      </c>
      <c r="W185" s="206" t="str">
        <f>IF(W$3="","",IF(COUNTIFS(BD!$A$3:$A$5001,W$3,BD!$B$3:$B$5001,$A$171,BD!$AD$3:$AD$5001,"&lt;&gt;")=0,"",SUMIFS(BD!$AD$3:$AD$5001,BD!$A$3:$A$5001,W$3,BD!$B$3:$B$5001,$A$171)))</f>
        <v/>
      </c>
      <c r="X185" s="206" t="str">
        <f>IF(X$3="","",IF(COUNTIFS(BD!$A$3:$A$5001,X$3,BD!$B$3:$B$5001,$A$171,BD!$AD$3:$AD$5001,"&lt;&gt;")=0,"",SUMIFS(BD!$AD$3:$AD$5001,BD!$A$3:$A$5001,X$3,BD!$B$3:$B$5001,$A$171)))</f>
        <v/>
      </c>
      <c r="Y185" s="206" t="str">
        <f>IF(Y$3="","",IF(COUNTIFS(BD!$A$3:$A$5001,Y$3,BD!$B$3:$B$5001,$A$171,BD!$AD$3:$AD$5001,"&lt;&gt;")=0,"",SUMIFS(BD!$AD$3:$AD$5001,BD!$A$3:$A$5001,Y$3,BD!$B$3:$B$5001,$A$171)))</f>
        <v/>
      </c>
      <c r="Z185" s="206" t="str">
        <f>IF(Z$3="","",IF(COUNTIFS(BD!$A$3:$A$5001,Z$3,BD!$B$3:$B$5001,$A$171,BD!$AD$3:$AD$5001,"&lt;&gt;")=0,"",SUMIFS(BD!$AD$3:$AD$5001,BD!$A$3:$A$5001,Z$3,BD!$B$3:$B$5001,$A$171)))</f>
        <v/>
      </c>
      <c r="AA185" s="206" t="str">
        <f>IF(AA$3="","",IF(COUNTIFS(BD!$A$3:$A$5001,AA$3,BD!$B$3:$B$5001,$A$171,BD!$AD$3:$AD$5001,"&lt;&gt;")=0,"",SUMIFS(BD!$AD$3:$AD$5001,BD!$A$3:$A$5001,AA$3,BD!$B$3:$B$5001,$A$171)))</f>
        <v/>
      </c>
      <c r="AB185" s="206" t="str">
        <f>IF(AB$3="","",IF(COUNTIFS(BD!$A$3:$A$5001,AB$3,BD!$B$3:$B$5001,$A$171,BD!$AD$3:$AD$5001,"&lt;&gt;")=0,"",SUMIFS(BD!$AD$3:$AD$5001,BD!$A$3:$A$5001,AB$3,BD!$B$3:$B$5001,$A$171)))</f>
        <v/>
      </c>
      <c r="AC185" s="206" t="str">
        <f>IF(AC$3="","",IF(COUNTIFS(BD!$A$3:$A$5001,AC$3,BD!$B$3:$B$5001,$A$171,BD!$AD$3:$AD$5001,"&lt;&gt;")=0,"",SUMIFS(BD!$AD$3:$AD$5001,BD!$A$3:$A$5001,AC$3,BD!$B$3:$B$5001,$A$171)))</f>
        <v/>
      </c>
      <c r="AD185" s="206" t="str">
        <f>IF(AD$3="","",IF(COUNTIFS(BD!$A$3:$A$5001,AD$3,BD!$B$3:$B$5001,$A$171,BD!$AD$3:$AD$5001,"&lt;&gt;")=0,"",SUMIFS(BD!$AD$3:$AD$5001,BD!$A$3:$A$5001,AD$3,BD!$B$3:$B$5001,$A$171)))</f>
        <v/>
      </c>
      <c r="AE185" s="206" t="str">
        <f>IF(AE$3="","",IF(COUNTIFS(BD!$A$3:$A$5001,AE$3,BD!$B$3:$B$5001,$A$171,BD!$AD$3:$AD$5001,"&lt;&gt;")=0,"",SUMIFS(BD!$AD$3:$AD$5001,BD!$A$3:$A$5001,AE$3,BD!$B$3:$B$5001,$A$171)))</f>
        <v/>
      </c>
      <c r="AF185" s="206" t="str">
        <f>IF(AF$3="","",IF(COUNTIFS(BD!$A$3:$A$5001,AF$3,BD!$B$3:$B$5001,$A$171,BD!$AD$3:$AD$5001,"&lt;&gt;")=0,"",SUMIFS(BD!$AD$3:$AD$5001,BD!$A$3:$A$5001,AF$3,BD!$B$3:$B$5001,$A$171)))</f>
        <v/>
      </c>
      <c r="AG185" s="206" t="str">
        <f>IF(AG$3="","",IF(COUNTIFS(BD!$A$3:$A$5001,AG$3,BD!$B$3:$B$5001,$A$171,BD!$AD$3:$AD$5001,"&lt;&gt;")=0,"",SUMIFS(BD!$AD$3:$AD$5001,BD!$A$3:$A$5001,AG$3,BD!$B$3:$B$5001,$A$171)))</f>
        <v/>
      </c>
      <c r="AH185" s="206" t="str">
        <f>IF(AH$3="","",IF(COUNTIFS(BD!$A$3:$A$5001,AH$3,BD!$B$3:$B$5001,$A$171,BD!$AD$3:$AD$5001,"&lt;&gt;")=0,"",SUMIFS(BD!$AD$3:$AD$5001,BD!$A$3:$A$5001,AH$3,BD!$B$3:$B$5001,$A$171)))</f>
        <v/>
      </c>
      <c r="AI185" s="206" t="str">
        <f>IF(AI$3="","",IF(COUNTIFS(BD!$A$3:$A$5001,AI$3,BD!$B$3:$B$5001,$A$171,BD!$AD$3:$AD$5001,"&lt;&gt;")=0,"",SUMIFS(BD!$AD$3:$AD$5001,BD!$A$3:$A$5001,AI$3,BD!$B$3:$B$5001,$A$171)))</f>
        <v/>
      </c>
      <c r="AJ185" s="207" t="str">
        <f>IF(AJ$3="","",IF(COUNTIFS(BD!$A$3:$A$5001,AJ$3,BD!$B$3:$B$5001,$A$171,BD!$AD$3:$AD$5001,"&lt;&gt;")=0,"",SUMIFS(BD!$AD$3:$AD$5001,BD!$A$3:$A$5001,AJ$3,BD!$B$3:$B$5001,$A$171)))</f>
        <v/>
      </c>
      <c r="AK185" s="208" t="str">
        <f>IF(COUNT(F185:AJ185)=0,"",SUM(F185:AJ185))</f>
        <v/>
      </c>
    </row>
    <row r="186" ht="15.75" customHeight="1">
      <c r="A186" s="227"/>
      <c r="B186" s="224"/>
      <c r="C186" s="202" t="inlineStr">
        <is>
          <t xml:space="preserve">Desvios Comportamentais</t>
        </is>
      </c>
      <c r="D186" s="203" t="str">
        <f>IFERROR(1/(1/INDEX(BD!$AK$52:$AT$52,MATCH($A$171,BD!$AK$22:$AT$22,0))),"")</f>
        <v/>
      </c>
      <c r="E186" s="204"/>
      <c r="F186" s="205" t="str">
        <f>IF(F$3="","",IF(COUNTIFS(BD!$A$3:$A$5001,F$3,BD!$B$3:$B$5001,$A$171,BD!$AE$3:$AE$5001,"&lt;&gt;")=0,"",SUMIFS(BD!$AE$3:$AE$5001,BD!$A$3:$A$5001,F$3,BD!$B$3:$B$5001,$A$171)))</f>
        <v/>
      </c>
      <c r="G186" s="206" t="str">
        <f>IF(G$3="","",IF(COUNTIFS(BD!$A$3:$A$5001,G$3,BD!$B$3:$B$5001,$A$171,BD!$AE$3:$AE$5001,"&lt;&gt;")=0,"",SUMIFS(BD!$AE$3:$AE$5001,BD!$A$3:$A$5001,G$3,BD!$B$3:$B$5001,$A$171)))</f>
        <v/>
      </c>
      <c r="H186" s="206" t="str">
        <f>IF(H$3="","",IF(COUNTIFS(BD!$A$3:$A$5001,H$3,BD!$B$3:$B$5001,$A$171,BD!$AE$3:$AE$5001,"&lt;&gt;")=0,"",SUMIFS(BD!$AE$3:$AE$5001,BD!$A$3:$A$5001,H$3,BD!$B$3:$B$5001,$A$171)))</f>
        <v/>
      </c>
      <c r="I186" s="206" t="str">
        <f>IF(I$3="","",IF(COUNTIFS(BD!$A$3:$A$5001,I$3,BD!$B$3:$B$5001,$A$171,BD!$AE$3:$AE$5001,"&lt;&gt;")=0,"",SUMIFS(BD!$AE$3:$AE$5001,BD!$A$3:$A$5001,I$3,BD!$B$3:$B$5001,$A$171)))</f>
        <v/>
      </c>
      <c r="J186" s="206" t="str">
        <f>IF(J$3="","",IF(COUNTIFS(BD!$A$3:$A$5001,J$3,BD!$B$3:$B$5001,$A$171,BD!$AE$3:$AE$5001,"&lt;&gt;")=0,"",SUMIFS(BD!$AE$3:$AE$5001,BD!$A$3:$A$5001,J$3,BD!$B$3:$B$5001,$A$171)))</f>
        <v/>
      </c>
      <c r="K186" s="206" t="str">
        <f>IF(K$3="","",IF(COUNTIFS(BD!$A$3:$A$5001,K$3,BD!$B$3:$B$5001,$A$171,BD!$AE$3:$AE$5001,"&lt;&gt;")=0,"",SUMIFS(BD!$AE$3:$AE$5001,BD!$A$3:$A$5001,K$3,BD!$B$3:$B$5001,$A$171)))</f>
        <v/>
      </c>
      <c r="L186" s="206" t="str">
        <f>IF(L$3="","",IF(COUNTIFS(BD!$A$3:$A$5001,L$3,BD!$B$3:$B$5001,$A$171,BD!$AE$3:$AE$5001,"&lt;&gt;")=0,"",SUMIFS(BD!$AE$3:$AE$5001,BD!$A$3:$A$5001,L$3,BD!$B$3:$B$5001,$A$171)))</f>
        <v/>
      </c>
      <c r="M186" s="206" t="str">
        <f>IF(M$3="","",IF(COUNTIFS(BD!$A$3:$A$5001,M$3,BD!$B$3:$B$5001,$A$171,BD!$AE$3:$AE$5001,"&lt;&gt;")=0,"",SUMIFS(BD!$AE$3:$AE$5001,BD!$A$3:$A$5001,M$3,BD!$B$3:$B$5001,$A$171)))</f>
        <v/>
      </c>
      <c r="N186" s="206" t="str">
        <f>IF(N$3="","",IF(COUNTIFS(BD!$A$3:$A$5001,N$3,BD!$B$3:$B$5001,$A$171,BD!$AE$3:$AE$5001,"&lt;&gt;")=0,"",SUMIFS(BD!$AE$3:$AE$5001,BD!$A$3:$A$5001,N$3,BD!$B$3:$B$5001,$A$171)))</f>
        <v/>
      </c>
      <c r="O186" s="206" t="str">
        <f>IF(O$3="","",IF(COUNTIFS(BD!$A$3:$A$5001,O$3,BD!$B$3:$B$5001,$A$171,BD!$AE$3:$AE$5001,"&lt;&gt;")=0,"",SUMIFS(BD!$AE$3:$AE$5001,BD!$A$3:$A$5001,O$3,BD!$B$3:$B$5001,$A$171)))</f>
        <v/>
      </c>
      <c r="P186" s="206" t="str">
        <f>IF(P$3="","",IF(COUNTIFS(BD!$A$3:$A$5001,P$3,BD!$B$3:$B$5001,$A$171,BD!$AE$3:$AE$5001,"&lt;&gt;")=0,"",SUMIFS(BD!$AE$3:$AE$5001,BD!$A$3:$A$5001,P$3,BD!$B$3:$B$5001,$A$171)))</f>
        <v/>
      </c>
      <c r="Q186" s="206" t="str">
        <f>IF(Q$3="","",IF(COUNTIFS(BD!$A$3:$A$5001,Q$3,BD!$B$3:$B$5001,$A$171,BD!$AE$3:$AE$5001,"&lt;&gt;")=0,"",SUMIFS(BD!$AE$3:$AE$5001,BD!$A$3:$A$5001,Q$3,BD!$B$3:$B$5001,$A$171)))</f>
        <v/>
      </c>
      <c r="R186" s="206" t="str">
        <f>IF(R$3="","",IF(COUNTIFS(BD!$A$3:$A$5001,R$3,BD!$B$3:$B$5001,$A$171,BD!$AE$3:$AE$5001,"&lt;&gt;")=0,"",SUMIFS(BD!$AE$3:$AE$5001,BD!$A$3:$A$5001,R$3,BD!$B$3:$B$5001,$A$171)))</f>
        <v/>
      </c>
      <c r="S186" s="206" t="str">
        <f>IF(S$3="","",IF(COUNTIFS(BD!$A$3:$A$5001,S$3,BD!$B$3:$B$5001,$A$171,BD!$AE$3:$AE$5001,"&lt;&gt;")=0,"",SUMIFS(BD!$AE$3:$AE$5001,BD!$A$3:$A$5001,S$3,BD!$B$3:$B$5001,$A$171)))</f>
        <v/>
      </c>
      <c r="T186" s="206" t="str">
        <f>IF(T$3="","",IF(COUNTIFS(BD!$A$3:$A$5001,T$3,BD!$B$3:$B$5001,$A$171,BD!$AE$3:$AE$5001,"&lt;&gt;")=0,"",SUMIFS(BD!$AE$3:$AE$5001,BD!$A$3:$A$5001,T$3,BD!$B$3:$B$5001,$A$171)))</f>
        <v/>
      </c>
      <c r="U186" s="206" t="str">
        <f>IF(U$3="","",IF(COUNTIFS(BD!$A$3:$A$5001,U$3,BD!$B$3:$B$5001,$A$171,BD!$AE$3:$AE$5001,"&lt;&gt;")=0,"",SUMIFS(BD!$AE$3:$AE$5001,BD!$A$3:$A$5001,U$3,BD!$B$3:$B$5001,$A$171)))</f>
        <v/>
      </c>
      <c r="V186" s="206" t="str">
        <f>IF(V$3="","",IF(COUNTIFS(BD!$A$3:$A$5001,V$3,BD!$B$3:$B$5001,$A$171,BD!$AE$3:$AE$5001,"&lt;&gt;")=0,"",SUMIFS(BD!$AE$3:$AE$5001,BD!$A$3:$A$5001,V$3,BD!$B$3:$B$5001,$A$171)))</f>
        <v/>
      </c>
      <c r="W186" s="206" t="str">
        <f>IF(W$3="","",IF(COUNTIFS(BD!$A$3:$A$5001,W$3,BD!$B$3:$B$5001,$A$171,BD!$AE$3:$AE$5001,"&lt;&gt;")=0,"",SUMIFS(BD!$AE$3:$AE$5001,BD!$A$3:$A$5001,W$3,BD!$B$3:$B$5001,$A$171)))</f>
        <v/>
      </c>
      <c r="X186" s="206" t="str">
        <f>IF(X$3="","",IF(COUNTIFS(BD!$A$3:$A$5001,X$3,BD!$B$3:$B$5001,$A$171,BD!$AE$3:$AE$5001,"&lt;&gt;")=0,"",SUMIFS(BD!$AE$3:$AE$5001,BD!$A$3:$A$5001,X$3,BD!$B$3:$B$5001,$A$171)))</f>
        <v/>
      </c>
      <c r="Y186" s="206" t="str">
        <f>IF(Y$3="","",IF(COUNTIFS(BD!$A$3:$A$5001,Y$3,BD!$B$3:$B$5001,$A$171,BD!$AE$3:$AE$5001,"&lt;&gt;")=0,"",SUMIFS(BD!$AE$3:$AE$5001,BD!$A$3:$A$5001,Y$3,BD!$B$3:$B$5001,$A$171)))</f>
        <v/>
      </c>
      <c r="Z186" s="206" t="str">
        <f>IF(Z$3="","",IF(COUNTIFS(BD!$A$3:$A$5001,Z$3,BD!$B$3:$B$5001,$A$171,BD!$AE$3:$AE$5001,"&lt;&gt;")=0,"",SUMIFS(BD!$AE$3:$AE$5001,BD!$A$3:$A$5001,Z$3,BD!$B$3:$B$5001,$A$171)))</f>
        <v/>
      </c>
      <c r="AA186" s="206" t="str">
        <f>IF(AA$3="","",IF(COUNTIFS(BD!$A$3:$A$5001,AA$3,BD!$B$3:$B$5001,$A$171,BD!$AE$3:$AE$5001,"&lt;&gt;")=0,"",SUMIFS(BD!$AE$3:$AE$5001,BD!$A$3:$A$5001,AA$3,BD!$B$3:$B$5001,$A$171)))</f>
        <v/>
      </c>
      <c r="AB186" s="206" t="str">
        <f>IF(AB$3="","",IF(COUNTIFS(BD!$A$3:$A$5001,AB$3,BD!$B$3:$B$5001,$A$171,BD!$AE$3:$AE$5001,"&lt;&gt;")=0,"",SUMIFS(BD!$AE$3:$AE$5001,BD!$A$3:$A$5001,AB$3,BD!$B$3:$B$5001,$A$171)))</f>
        <v/>
      </c>
      <c r="AC186" s="206" t="str">
        <f>IF(AC$3="","",IF(COUNTIFS(BD!$A$3:$A$5001,AC$3,BD!$B$3:$B$5001,$A$171,BD!$AE$3:$AE$5001,"&lt;&gt;")=0,"",SUMIFS(BD!$AE$3:$AE$5001,BD!$A$3:$A$5001,AC$3,BD!$B$3:$B$5001,$A$171)))</f>
        <v/>
      </c>
      <c r="AD186" s="206" t="str">
        <f>IF(AD$3="","",IF(COUNTIFS(BD!$A$3:$A$5001,AD$3,BD!$B$3:$B$5001,$A$171,BD!$AE$3:$AE$5001,"&lt;&gt;")=0,"",SUMIFS(BD!$AE$3:$AE$5001,BD!$A$3:$A$5001,AD$3,BD!$B$3:$B$5001,$A$171)))</f>
        <v/>
      </c>
      <c r="AE186" s="206" t="str">
        <f>IF(AE$3="","",IF(COUNTIFS(BD!$A$3:$A$5001,AE$3,BD!$B$3:$B$5001,$A$171,BD!$AE$3:$AE$5001,"&lt;&gt;")=0,"",SUMIFS(BD!$AE$3:$AE$5001,BD!$A$3:$A$5001,AE$3,BD!$B$3:$B$5001,$A$171)))</f>
        <v/>
      </c>
      <c r="AF186" s="206" t="str">
        <f>IF(AF$3="","",IF(COUNTIFS(BD!$A$3:$A$5001,AF$3,BD!$B$3:$B$5001,$A$171,BD!$AE$3:$AE$5001,"&lt;&gt;")=0,"",SUMIFS(BD!$AE$3:$AE$5001,BD!$A$3:$A$5001,AF$3,BD!$B$3:$B$5001,$A$171)))</f>
        <v/>
      </c>
      <c r="AG186" s="206" t="str">
        <f>IF(AG$3="","",IF(COUNTIFS(BD!$A$3:$A$5001,AG$3,BD!$B$3:$B$5001,$A$171,BD!$AE$3:$AE$5001,"&lt;&gt;")=0,"",SUMIFS(BD!$AE$3:$AE$5001,BD!$A$3:$A$5001,AG$3,BD!$B$3:$B$5001,$A$171)))</f>
        <v/>
      </c>
      <c r="AH186" s="206" t="str">
        <f>IF(AH$3="","",IF(COUNTIFS(BD!$A$3:$A$5001,AH$3,BD!$B$3:$B$5001,$A$171,BD!$AE$3:$AE$5001,"&lt;&gt;")=0,"",SUMIFS(BD!$AE$3:$AE$5001,BD!$A$3:$A$5001,AH$3,BD!$B$3:$B$5001,$A$171)))</f>
        <v/>
      </c>
      <c r="AI186" s="206" t="str">
        <f>IF(AI$3="","",IF(COUNTIFS(BD!$A$3:$A$5001,AI$3,BD!$B$3:$B$5001,$A$171,BD!$AE$3:$AE$5001,"&lt;&gt;")=0,"",SUMIFS(BD!$AE$3:$AE$5001,BD!$A$3:$A$5001,AI$3,BD!$B$3:$B$5001,$A$171)))</f>
        <v/>
      </c>
      <c r="AJ186" s="207" t="str">
        <f>IF(AJ$3="","",IF(COUNTIFS(BD!$A$3:$A$5001,AJ$3,BD!$B$3:$B$5001,$A$171,BD!$AE$3:$AE$5001,"&lt;&gt;")=0,"",SUMIFS(BD!$AE$3:$AE$5001,BD!$A$3:$A$5001,AJ$3,BD!$B$3:$B$5001,$A$171)))</f>
        <v/>
      </c>
      <c r="AK186" s="208" t="str">
        <f>IF(COUNT(F186:AJ186)=0,"",SUM(F186:AJ186))</f>
        <v/>
      </c>
    </row>
    <row r="187" ht="15.75" customHeight="1">
      <c r="A187" s="227"/>
      <c r="B187" s="224"/>
      <c r="C187" s="202" t="inlineStr">
        <is>
          <t xml:space="preserve">Acidentes CAF</t>
        </is>
      </c>
      <c r="D187" s="203" t="str">
        <f>IFERROR(1/(1/INDEX(BD!$AK$53:$AT$53,MATCH($A$171,BD!$AK$22:$AT$22,0))),"")</f>
        <v/>
      </c>
      <c r="E187" s="204"/>
      <c r="F187" s="205" t="str">
        <f>IF(F$3="","",IF(COUNTIFS(BD!$A$3:$A$5001,F$3,BD!$B$3:$B$5001,$A$171,BD!$AF$3:$AF$5001,"&lt;&gt;")=0,"",SUMIFS(BD!$AF$3:$AF$5001,BD!$A$3:$A$5001,F$3,BD!$B$3:$B$5001,$A$171)))</f>
        <v/>
      </c>
      <c r="G187" s="206" t="str">
        <f>IF(G$3="","",IF(COUNTIFS(BD!$A$3:$A$5001,G$3,BD!$B$3:$B$5001,$A$171,BD!$AF$3:$AF$5001,"&lt;&gt;")=0,"",SUMIFS(BD!$AF$3:$AF$5001,BD!$A$3:$A$5001,G$3,BD!$B$3:$B$5001,$A$171)))</f>
        <v/>
      </c>
      <c r="H187" s="206" t="str">
        <f>IF(H$3="","",IF(COUNTIFS(BD!$A$3:$A$5001,H$3,BD!$B$3:$B$5001,$A$171,BD!$AF$3:$AF$5001,"&lt;&gt;")=0,"",SUMIFS(BD!$AF$3:$AF$5001,BD!$A$3:$A$5001,H$3,BD!$B$3:$B$5001,$A$171)))</f>
        <v/>
      </c>
      <c r="I187" s="206" t="str">
        <f>IF(I$3="","",IF(COUNTIFS(BD!$A$3:$A$5001,I$3,BD!$B$3:$B$5001,$A$171,BD!$AF$3:$AF$5001,"&lt;&gt;")=0,"",SUMIFS(BD!$AF$3:$AF$5001,BD!$A$3:$A$5001,I$3,BD!$B$3:$B$5001,$A$171)))</f>
        <v/>
      </c>
      <c r="J187" s="206" t="str">
        <f>IF(J$3="","",IF(COUNTIFS(BD!$A$3:$A$5001,J$3,BD!$B$3:$B$5001,$A$171,BD!$AF$3:$AF$5001,"&lt;&gt;")=0,"",SUMIFS(BD!$AF$3:$AF$5001,BD!$A$3:$A$5001,J$3,BD!$B$3:$B$5001,$A$171)))</f>
        <v/>
      </c>
      <c r="K187" s="206" t="str">
        <f>IF(K$3="","",IF(COUNTIFS(BD!$A$3:$A$5001,K$3,BD!$B$3:$B$5001,$A$171,BD!$AF$3:$AF$5001,"&lt;&gt;")=0,"",SUMIFS(BD!$AF$3:$AF$5001,BD!$A$3:$A$5001,K$3,BD!$B$3:$B$5001,$A$171)))</f>
        <v/>
      </c>
      <c r="L187" s="206" t="str">
        <f>IF(L$3="","",IF(COUNTIFS(BD!$A$3:$A$5001,L$3,BD!$B$3:$B$5001,$A$171,BD!$AF$3:$AF$5001,"&lt;&gt;")=0,"",SUMIFS(BD!$AF$3:$AF$5001,BD!$A$3:$A$5001,L$3,BD!$B$3:$B$5001,$A$171)))</f>
        <v/>
      </c>
      <c r="M187" s="206" t="str">
        <f>IF(M$3="","",IF(COUNTIFS(BD!$A$3:$A$5001,M$3,BD!$B$3:$B$5001,$A$171,BD!$AF$3:$AF$5001,"&lt;&gt;")=0,"",SUMIFS(BD!$AF$3:$AF$5001,BD!$A$3:$A$5001,M$3,BD!$B$3:$B$5001,$A$171)))</f>
        <v/>
      </c>
      <c r="N187" s="206" t="str">
        <f>IF(N$3="","",IF(COUNTIFS(BD!$A$3:$A$5001,N$3,BD!$B$3:$B$5001,$A$171,BD!$AF$3:$AF$5001,"&lt;&gt;")=0,"",SUMIFS(BD!$AF$3:$AF$5001,BD!$A$3:$A$5001,N$3,BD!$B$3:$B$5001,$A$171)))</f>
        <v/>
      </c>
      <c r="O187" s="206" t="str">
        <f>IF(O$3="","",IF(COUNTIFS(BD!$A$3:$A$5001,O$3,BD!$B$3:$B$5001,$A$171,BD!$AF$3:$AF$5001,"&lt;&gt;")=0,"",SUMIFS(BD!$AF$3:$AF$5001,BD!$A$3:$A$5001,O$3,BD!$B$3:$B$5001,$A$171)))</f>
        <v/>
      </c>
      <c r="P187" s="206" t="str">
        <f>IF(P$3="","",IF(COUNTIFS(BD!$A$3:$A$5001,P$3,BD!$B$3:$B$5001,$A$171,BD!$AF$3:$AF$5001,"&lt;&gt;")=0,"",SUMIFS(BD!$AF$3:$AF$5001,BD!$A$3:$A$5001,P$3,BD!$B$3:$B$5001,$A$171)))</f>
        <v/>
      </c>
      <c r="Q187" s="206" t="str">
        <f>IF(Q$3="","",IF(COUNTIFS(BD!$A$3:$A$5001,Q$3,BD!$B$3:$B$5001,$A$171,BD!$AF$3:$AF$5001,"&lt;&gt;")=0,"",SUMIFS(BD!$AF$3:$AF$5001,BD!$A$3:$A$5001,Q$3,BD!$B$3:$B$5001,$A$171)))</f>
        <v/>
      </c>
      <c r="R187" s="206" t="str">
        <f>IF(R$3="","",IF(COUNTIFS(BD!$A$3:$A$5001,R$3,BD!$B$3:$B$5001,$A$171,BD!$AF$3:$AF$5001,"&lt;&gt;")=0,"",SUMIFS(BD!$AF$3:$AF$5001,BD!$A$3:$A$5001,R$3,BD!$B$3:$B$5001,$A$171)))</f>
        <v/>
      </c>
      <c r="S187" s="206" t="str">
        <f>IF(S$3="","",IF(COUNTIFS(BD!$A$3:$A$5001,S$3,BD!$B$3:$B$5001,$A$171,BD!$AF$3:$AF$5001,"&lt;&gt;")=0,"",SUMIFS(BD!$AF$3:$AF$5001,BD!$A$3:$A$5001,S$3,BD!$B$3:$B$5001,$A$171)))</f>
        <v/>
      </c>
      <c r="T187" s="206" t="str">
        <f>IF(T$3="","",IF(COUNTIFS(BD!$A$3:$A$5001,T$3,BD!$B$3:$B$5001,$A$171,BD!$AF$3:$AF$5001,"&lt;&gt;")=0,"",SUMIFS(BD!$AF$3:$AF$5001,BD!$A$3:$A$5001,T$3,BD!$B$3:$B$5001,$A$171)))</f>
        <v/>
      </c>
      <c r="U187" s="206" t="str">
        <f>IF(U$3="","",IF(COUNTIFS(BD!$A$3:$A$5001,U$3,BD!$B$3:$B$5001,$A$171,BD!$AF$3:$AF$5001,"&lt;&gt;")=0,"",SUMIFS(BD!$AF$3:$AF$5001,BD!$A$3:$A$5001,U$3,BD!$B$3:$B$5001,$A$171)))</f>
        <v/>
      </c>
      <c r="V187" s="206" t="str">
        <f>IF(V$3="","",IF(COUNTIFS(BD!$A$3:$A$5001,V$3,BD!$B$3:$B$5001,$A$171,BD!$AF$3:$AF$5001,"&lt;&gt;")=0,"",SUMIFS(BD!$AF$3:$AF$5001,BD!$A$3:$A$5001,V$3,BD!$B$3:$B$5001,$A$171)))</f>
        <v/>
      </c>
      <c r="W187" s="206" t="str">
        <f>IF(W$3="","",IF(COUNTIFS(BD!$A$3:$A$5001,W$3,BD!$B$3:$B$5001,$A$171,BD!$AF$3:$AF$5001,"&lt;&gt;")=0,"",SUMIFS(BD!$AF$3:$AF$5001,BD!$A$3:$A$5001,W$3,BD!$B$3:$B$5001,$A$171)))</f>
        <v/>
      </c>
      <c r="X187" s="206" t="str">
        <f>IF(X$3="","",IF(COUNTIFS(BD!$A$3:$A$5001,X$3,BD!$B$3:$B$5001,$A$171,BD!$AF$3:$AF$5001,"&lt;&gt;")=0,"",SUMIFS(BD!$AF$3:$AF$5001,BD!$A$3:$A$5001,X$3,BD!$B$3:$B$5001,$A$171)))</f>
        <v/>
      </c>
      <c r="Y187" s="206" t="str">
        <f>IF(Y$3="","",IF(COUNTIFS(BD!$A$3:$A$5001,Y$3,BD!$B$3:$B$5001,$A$171,BD!$AF$3:$AF$5001,"&lt;&gt;")=0,"",SUMIFS(BD!$AF$3:$AF$5001,BD!$A$3:$A$5001,Y$3,BD!$B$3:$B$5001,$A$171)))</f>
        <v/>
      </c>
      <c r="Z187" s="206" t="str">
        <f>IF(Z$3="","",IF(COUNTIFS(BD!$A$3:$A$5001,Z$3,BD!$B$3:$B$5001,$A$171,BD!$AF$3:$AF$5001,"&lt;&gt;")=0,"",SUMIFS(BD!$AF$3:$AF$5001,BD!$A$3:$A$5001,Z$3,BD!$B$3:$B$5001,$A$171)))</f>
        <v/>
      </c>
      <c r="AA187" s="206" t="str">
        <f>IF(AA$3="","",IF(COUNTIFS(BD!$A$3:$A$5001,AA$3,BD!$B$3:$B$5001,$A$171,BD!$AF$3:$AF$5001,"&lt;&gt;")=0,"",SUMIFS(BD!$AF$3:$AF$5001,BD!$A$3:$A$5001,AA$3,BD!$B$3:$B$5001,$A$171)))</f>
        <v/>
      </c>
      <c r="AB187" s="206" t="str">
        <f>IF(AB$3="","",IF(COUNTIFS(BD!$A$3:$A$5001,AB$3,BD!$B$3:$B$5001,$A$171,BD!$AF$3:$AF$5001,"&lt;&gt;")=0,"",SUMIFS(BD!$AF$3:$AF$5001,BD!$A$3:$A$5001,AB$3,BD!$B$3:$B$5001,$A$171)))</f>
        <v/>
      </c>
      <c r="AC187" s="206" t="str">
        <f>IF(AC$3="","",IF(COUNTIFS(BD!$A$3:$A$5001,AC$3,BD!$B$3:$B$5001,$A$171,BD!$AF$3:$AF$5001,"&lt;&gt;")=0,"",SUMIFS(BD!$AF$3:$AF$5001,BD!$A$3:$A$5001,AC$3,BD!$B$3:$B$5001,$A$171)))</f>
        <v/>
      </c>
      <c r="AD187" s="206" t="str">
        <f>IF(AD$3="","",IF(COUNTIFS(BD!$A$3:$A$5001,AD$3,BD!$B$3:$B$5001,$A$171,BD!$AF$3:$AF$5001,"&lt;&gt;")=0,"",SUMIFS(BD!$AF$3:$AF$5001,BD!$A$3:$A$5001,AD$3,BD!$B$3:$B$5001,$A$171)))</f>
        <v/>
      </c>
      <c r="AE187" s="206" t="str">
        <f>IF(AE$3="","",IF(COUNTIFS(BD!$A$3:$A$5001,AE$3,BD!$B$3:$B$5001,$A$171,BD!$AF$3:$AF$5001,"&lt;&gt;")=0,"",SUMIFS(BD!$AF$3:$AF$5001,BD!$A$3:$A$5001,AE$3,BD!$B$3:$B$5001,$A$171)))</f>
        <v/>
      </c>
      <c r="AF187" s="206" t="str">
        <f>IF(AF$3="","",IF(COUNTIFS(BD!$A$3:$A$5001,AF$3,BD!$B$3:$B$5001,$A$171,BD!$AF$3:$AF$5001,"&lt;&gt;")=0,"",SUMIFS(BD!$AF$3:$AF$5001,BD!$A$3:$A$5001,AF$3,BD!$B$3:$B$5001,$A$171)))</f>
        <v/>
      </c>
      <c r="AG187" s="206" t="str">
        <f>IF(AG$3="","",IF(COUNTIFS(BD!$A$3:$A$5001,AG$3,BD!$B$3:$B$5001,$A$171,BD!$AF$3:$AF$5001,"&lt;&gt;")=0,"",SUMIFS(BD!$AF$3:$AF$5001,BD!$A$3:$A$5001,AG$3,BD!$B$3:$B$5001,$A$171)))</f>
        <v/>
      </c>
      <c r="AH187" s="206" t="str">
        <f>IF(AH$3="","",IF(COUNTIFS(BD!$A$3:$A$5001,AH$3,BD!$B$3:$B$5001,$A$171,BD!$AF$3:$AF$5001,"&lt;&gt;")=0,"",SUMIFS(BD!$AF$3:$AF$5001,BD!$A$3:$A$5001,AH$3,BD!$B$3:$B$5001,$A$171)))</f>
        <v/>
      </c>
      <c r="AI187" s="206" t="str">
        <f>IF(AI$3="","",IF(COUNTIFS(BD!$A$3:$A$5001,AI$3,BD!$B$3:$B$5001,$A$171,BD!$AF$3:$AF$5001,"&lt;&gt;")=0,"",SUMIFS(BD!$AF$3:$AF$5001,BD!$A$3:$A$5001,AI$3,BD!$B$3:$B$5001,$A$171)))</f>
        <v/>
      </c>
      <c r="AJ187" s="207" t="str">
        <f>IF(AJ$3="","",IF(COUNTIFS(BD!$A$3:$A$5001,AJ$3,BD!$B$3:$B$5001,$A$171,BD!$AF$3:$AF$5001,"&lt;&gt;")=0,"",SUMIFS(BD!$AF$3:$AF$5001,BD!$A$3:$A$5001,AJ$3,BD!$B$3:$B$5001,$A$171)))</f>
        <v/>
      </c>
      <c r="AK187" s="208" t="str">
        <f>IF(COUNT(F187:AJ187)=0,"",SUM(F187:AJ187))</f>
        <v/>
      </c>
    </row>
    <row r="188" ht="15.75" customHeight="1">
      <c r="A188" s="228"/>
      <c r="B188" s="225"/>
      <c r="C188" s="209" t="inlineStr">
        <is>
          <t xml:space="preserve">Acidentes SAF</t>
        </is>
      </c>
      <c r="D188" s="210" t="str">
        <f>IFERROR(1/(1/INDEX(BD!$AK$54:$AT$54,MATCH($A$171,BD!$AK$22:$AT$22,0))),"")</f>
        <v/>
      </c>
      <c r="E188" s="211"/>
      <c r="F188" s="212" t="str">
        <f>IF(F$3="","",IF(COUNTIFS(BD!$A$3:$A$5001,F$3,BD!$B$3:$B$5001,$A$171,BD!$AG$3:$AG$5001,"&lt;&gt;")=0,"",SUMIFS(BD!$AG$3:$AG$5001,BD!$A$3:$A$5001,F$3,BD!$B$3:$B$5001,$A$171)))</f>
        <v/>
      </c>
      <c r="G188" s="213" t="str">
        <f>IF(G$3="","",IF(COUNTIFS(BD!$A$3:$A$5001,G$3,BD!$B$3:$B$5001,$A$171,BD!$AG$3:$AG$5001,"&lt;&gt;")=0,"",SUMIFS(BD!$AG$3:$AG$5001,BD!$A$3:$A$5001,G$3,BD!$B$3:$B$5001,$A$171)))</f>
        <v/>
      </c>
      <c r="H188" s="213" t="str">
        <f>IF(H$3="","",IF(COUNTIFS(BD!$A$3:$A$5001,H$3,BD!$B$3:$B$5001,$A$171,BD!$AG$3:$AG$5001,"&lt;&gt;")=0,"",SUMIFS(BD!$AG$3:$AG$5001,BD!$A$3:$A$5001,H$3,BD!$B$3:$B$5001,$A$171)))</f>
        <v/>
      </c>
      <c r="I188" s="213" t="str">
        <f>IF(I$3="","",IF(COUNTIFS(BD!$A$3:$A$5001,I$3,BD!$B$3:$B$5001,$A$171,BD!$AG$3:$AG$5001,"&lt;&gt;")=0,"",SUMIFS(BD!$AG$3:$AG$5001,BD!$A$3:$A$5001,I$3,BD!$B$3:$B$5001,$A$171)))</f>
        <v/>
      </c>
      <c r="J188" s="213" t="str">
        <f>IF(J$3="","",IF(COUNTIFS(BD!$A$3:$A$5001,J$3,BD!$B$3:$B$5001,$A$171,BD!$AG$3:$AG$5001,"&lt;&gt;")=0,"",SUMIFS(BD!$AG$3:$AG$5001,BD!$A$3:$A$5001,J$3,BD!$B$3:$B$5001,$A$171)))</f>
        <v/>
      </c>
      <c r="K188" s="213" t="str">
        <f>IF(K$3="","",IF(COUNTIFS(BD!$A$3:$A$5001,K$3,BD!$B$3:$B$5001,$A$171,BD!$AG$3:$AG$5001,"&lt;&gt;")=0,"",SUMIFS(BD!$AG$3:$AG$5001,BD!$A$3:$A$5001,K$3,BD!$B$3:$B$5001,$A$171)))</f>
        <v/>
      </c>
      <c r="L188" s="213" t="str">
        <f>IF(L$3="","",IF(COUNTIFS(BD!$A$3:$A$5001,L$3,BD!$B$3:$B$5001,$A$171,BD!$AG$3:$AG$5001,"&lt;&gt;")=0,"",SUMIFS(BD!$AG$3:$AG$5001,BD!$A$3:$A$5001,L$3,BD!$B$3:$B$5001,$A$171)))</f>
        <v/>
      </c>
      <c r="M188" s="213" t="str">
        <f>IF(M$3="","",IF(COUNTIFS(BD!$A$3:$A$5001,M$3,BD!$B$3:$B$5001,$A$171,BD!$AG$3:$AG$5001,"&lt;&gt;")=0,"",SUMIFS(BD!$AG$3:$AG$5001,BD!$A$3:$A$5001,M$3,BD!$B$3:$B$5001,$A$171)))</f>
        <v/>
      </c>
      <c r="N188" s="213" t="str">
        <f>IF(N$3="","",IF(COUNTIFS(BD!$A$3:$A$5001,N$3,BD!$B$3:$B$5001,$A$171,BD!$AG$3:$AG$5001,"&lt;&gt;")=0,"",SUMIFS(BD!$AG$3:$AG$5001,BD!$A$3:$A$5001,N$3,BD!$B$3:$B$5001,$A$171)))</f>
        <v/>
      </c>
      <c r="O188" s="213" t="str">
        <f>IF(O$3="","",IF(COUNTIFS(BD!$A$3:$A$5001,O$3,BD!$B$3:$B$5001,$A$171,BD!$AG$3:$AG$5001,"&lt;&gt;")=0,"",SUMIFS(BD!$AG$3:$AG$5001,BD!$A$3:$A$5001,O$3,BD!$B$3:$B$5001,$A$171)))</f>
        <v/>
      </c>
      <c r="P188" s="213" t="str">
        <f>IF(P$3="","",IF(COUNTIFS(BD!$A$3:$A$5001,P$3,BD!$B$3:$B$5001,$A$171,BD!$AG$3:$AG$5001,"&lt;&gt;")=0,"",SUMIFS(BD!$AG$3:$AG$5001,BD!$A$3:$A$5001,P$3,BD!$B$3:$B$5001,$A$171)))</f>
        <v/>
      </c>
      <c r="Q188" s="213" t="str">
        <f>IF(Q$3="","",IF(COUNTIFS(BD!$A$3:$A$5001,Q$3,BD!$B$3:$B$5001,$A$171,BD!$AG$3:$AG$5001,"&lt;&gt;")=0,"",SUMIFS(BD!$AG$3:$AG$5001,BD!$A$3:$A$5001,Q$3,BD!$B$3:$B$5001,$A$171)))</f>
        <v/>
      </c>
      <c r="R188" s="213" t="str">
        <f>IF(R$3="","",IF(COUNTIFS(BD!$A$3:$A$5001,R$3,BD!$B$3:$B$5001,$A$171,BD!$AG$3:$AG$5001,"&lt;&gt;")=0,"",SUMIFS(BD!$AG$3:$AG$5001,BD!$A$3:$A$5001,R$3,BD!$B$3:$B$5001,$A$171)))</f>
        <v/>
      </c>
      <c r="S188" s="213" t="str">
        <f>IF(S$3="","",IF(COUNTIFS(BD!$A$3:$A$5001,S$3,BD!$B$3:$B$5001,$A$171,BD!$AG$3:$AG$5001,"&lt;&gt;")=0,"",SUMIFS(BD!$AG$3:$AG$5001,BD!$A$3:$A$5001,S$3,BD!$B$3:$B$5001,$A$171)))</f>
        <v/>
      </c>
      <c r="T188" s="213" t="str">
        <f>IF(T$3="","",IF(COUNTIFS(BD!$A$3:$A$5001,T$3,BD!$B$3:$B$5001,$A$171,BD!$AG$3:$AG$5001,"&lt;&gt;")=0,"",SUMIFS(BD!$AG$3:$AG$5001,BD!$A$3:$A$5001,T$3,BD!$B$3:$B$5001,$A$171)))</f>
        <v/>
      </c>
      <c r="U188" s="213" t="str">
        <f>IF(U$3="","",IF(COUNTIFS(BD!$A$3:$A$5001,U$3,BD!$B$3:$B$5001,$A$171,BD!$AG$3:$AG$5001,"&lt;&gt;")=0,"",SUMIFS(BD!$AG$3:$AG$5001,BD!$A$3:$A$5001,U$3,BD!$B$3:$B$5001,$A$171)))</f>
        <v/>
      </c>
      <c r="V188" s="213" t="str">
        <f>IF(V$3="","",IF(COUNTIFS(BD!$A$3:$A$5001,V$3,BD!$B$3:$B$5001,$A$171,BD!$AG$3:$AG$5001,"&lt;&gt;")=0,"",SUMIFS(BD!$AG$3:$AG$5001,BD!$A$3:$A$5001,V$3,BD!$B$3:$B$5001,$A$171)))</f>
        <v/>
      </c>
      <c r="W188" s="213" t="str">
        <f>IF(W$3="","",IF(COUNTIFS(BD!$A$3:$A$5001,W$3,BD!$B$3:$B$5001,$A$171,BD!$AG$3:$AG$5001,"&lt;&gt;")=0,"",SUMIFS(BD!$AG$3:$AG$5001,BD!$A$3:$A$5001,W$3,BD!$B$3:$B$5001,$A$171)))</f>
        <v/>
      </c>
      <c r="X188" s="213" t="str">
        <f>IF(X$3="","",IF(COUNTIFS(BD!$A$3:$A$5001,X$3,BD!$B$3:$B$5001,$A$171,BD!$AG$3:$AG$5001,"&lt;&gt;")=0,"",SUMIFS(BD!$AG$3:$AG$5001,BD!$A$3:$A$5001,X$3,BD!$B$3:$B$5001,$A$171)))</f>
        <v/>
      </c>
      <c r="Y188" s="213" t="str">
        <f>IF(Y$3="","",IF(COUNTIFS(BD!$A$3:$A$5001,Y$3,BD!$B$3:$B$5001,$A$171,BD!$AG$3:$AG$5001,"&lt;&gt;")=0,"",SUMIFS(BD!$AG$3:$AG$5001,BD!$A$3:$A$5001,Y$3,BD!$B$3:$B$5001,$A$171)))</f>
        <v/>
      </c>
      <c r="Z188" s="213" t="str">
        <f>IF(Z$3="","",IF(COUNTIFS(BD!$A$3:$A$5001,Z$3,BD!$B$3:$B$5001,$A$171,BD!$AG$3:$AG$5001,"&lt;&gt;")=0,"",SUMIFS(BD!$AG$3:$AG$5001,BD!$A$3:$A$5001,Z$3,BD!$B$3:$B$5001,$A$171)))</f>
        <v/>
      </c>
      <c r="AA188" s="213" t="str">
        <f>IF(AA$3="","",IF(COUNTIFS(BD!$A$3:$A$5001,AA$3,BD!$B$3:$B$5001,$A$171,BD!$AG$3:$AG$5001,"&lt;&gt;")=0,"",SUMIFS(BD!$AG$3:$AG$5001,BD!$A$3:$A$5001,AA$3,BD!$B$3:$B$5001,$A$171)))</f>
        <v/>
      </c>
      <c r="AB188" s="213" t="str">
        <f>IF(AB$3="","",IF(COUNTIFS(BD!$A$3:$A$5001,AB$3,BD!$B$3:$B$5001,$A$171,BD!$AG$3:$AG$5001,"&lt;&gt;")=0,"",SUMIFS(BD!$AG$3:$AG$5001,BD!$A$3:$A$5001,AB$3,BD!$B$3:$B$5001,$A$171)))</f>
        <v/>
      </c>
      <c r="AC188" s="213" t="str">
        <f>IF(AC$3="","",IF(COUNTIFS(BD!$A$3:$A$5001,AC$3,BD!$B$3:$B$5001,$A$171,BD!$AG$3:$AG$5001,"&lt;&gt;")=0,"",SUMIFS(BD!$AG$3:$AG$5001,BD!$A$3:$A$5001,AC$3,BD!$B$3:$B$5001,$A$171)))</f>
        <v/>
      </c>
      <c r="AD188" s="213" t="str">
        <f>IF(AD$3="","",IF(COUNTIFS(BD!$A$3:$A$5001,AD$3,BD!$B$3:$B$5001,$A$171,BD!$AG$3:$AG$5001,"&lt;&gt;")=0,"",SUMIFS(BD!$AG$3:$AG$5001,BD!$A$3:$A$5001,AD$3,BD!$B$3:$B$5001,$A$171)))</f>
        <v/>
      </c>
      <c r="AE188" s="213" t="str">
        <f>IF(AE$3="","",IF(COUNTIFS(BD!$A$3:$A$5001,AE$3,BD!$B$3:$B$5001,$A$171,BD!$AG$3:$AG$5001,"&lt;&gt;")=0,"",SUMIFS(BD!$AG$3:$AG$5001,BD!$A$3:$A$5001,AE$3,BD!$B$3:$B$5001,$A$171)))</f>
        <v/>
      </c>
      <c r="AF188" s="213" t="str">
        <f>IF(AF$3="","",IF(COUNTIFS(BD!$A$3:$A$5001,AF$3,BD!$B$3:$B$5001,$A$171,BD!$AG$3:$AG$5001,"&lt;&gt;")=0,"",SUMIFS(BD!$AG$3:$AG$5001,BD!$A$3:$A$5001,AF$3,BD!$B$3:$B$5001,$A$171)))</f>
        <v/>
      </c>
      <c r="AG188" s="213" t="str">
        <f>IF(AG$3="","",IF(COUNTIFS(BD!$A$3:$A$5001,AG$3,BD!$B$3:$B$5001,$A$171,BD!$AG$3:$AG$5001,"&lt;&gt;")=0,"",SUMIFS(BD!$AG$3:$AG$5001,BD!$A$3:$A$5001,AG$3,BD!$B$3:$B$5001,$A$171)))</f>
        <v/>
      </c>
      <c r="AH188" s="213" t="str">
        <f>IF(AH$3="","",IF(COUNTIFS(BD!$A$3:$A$5001,AH$3,BD!$B$3:$B$5001,$A$171,BD!$AG$3:$AG$5001,"&lt;&gt;")=0,"",SUMIFS(BD!$AG$3:$AG$5001,BD!$A$3:$A$5001,AH$3,BD!$B$3:$B$5001,$A$171)))</f>
        <v/>
      </c>
      <c r="AI188" s="213" t="str">
        <f>IF(AI$3="","",IF(COUNTIFS(BD!$A$3:$A$5001,AI$3,BD!$B$3:$B$5001,$A$171,BD!$AG$3:$AG$5001,"&lt;&gt;")=0,"",SUMIFS(BD!$AG$3:$AG$5001,BD!$A$3:$A$5001,AI$3,BD!$B$3:$B$5001,$A$171)))</f>
        <v/>
      </c>
      <c r="AJ188" s="214" t="str">
        <f>IF(AJ$3="","",IF(COUNTIFS(BD!$A$3:$A$5001,AJ$3,BD!$B$3:$B$5001,$A$171,BD!$AG$3:$AG$5001,"&lt;&gt;")=0,"",SUMIFS(BD!$AG$3:$AG$5001,BD!$A$3:$A$5001,AJ$3,BD!$B$3:$B$5001,$A$171)))</f>
        <v/>
      </c>
      <c r="AK188" s="210" t="str">
        <f>IF(COUNT(F188:AJ188)=0,"",SUM(F188:AJ188))</f>
        <v/>
      </c>
    </row>
    <row r="190">
      <c r="A190" s="31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78" sheet="1" objects="1" scenarios="1"/>
  <mergeCells count="61">
    <mergeCell ref="G1:AD1"/>
    <mergeCell ref="AE1:AK1"/>
    <mergeCell ref="A2:A3"/>
    <mergeCell ref="B2:C3"/>
    <mergeCell ref="D2:D3"/>
    <mergeCell ref="F2:AJ2"/>
    <mergeCell ref="AK2:AK3"/>
    <mergeCell ref="B5:B6"/>
    <mergeCell ref="B7:B8"/>
    <mergeCell ref="B9:B11"/>
    <mergeCell ref="B12:B14"/>
    <mergeCell ref="B15:B22"/>
    <mergeCell ref="A5:A22"/>
    <mergeCell ref="B24:B26"/>
    <mergeCell ref="B27:B29"/>
    <mergeCell ref="B30:B32"/>
    <mergeCell ref="B33:B35"/>
    <mergeCell ref="B36:B43"/>
    <mergeCell ref="A24:A43"/>
    <mergeCell ref="B45:B47"/>
    <mergeCell ref="B48:B50"/>
    <mergeCell ref="B51:B53"/>
    <mergeCell ref="B54:B56"/>
    <mergeCell ref="B57:B64"/>
    <mergeCell ref="A45:A64"/>
    <mergeCell ref="B66:B69"/>
    <mergeCell ref="B70:B73"/>
    <mergeCell ref="B74:B76"/>
    <mergeCell ref="B77:B79"/>
    <mergeCell ref="B80:B87"/>
    <mergeCell ref="A66:A87"/>
    <mergeCell ref="B89:B92"/>
    <mergeCell ref="B93:B96"/>
    <mergeCell ref="B97:B99"/>
    <mergeCell ref="B100:B102"/>
    <mergeCell ref="B103:B110"/>
    <mergeCell ref="A89:A110"/>
    <mergeCell ref="B112:B113"/>
    <mergeCell ref="B114:B115"/>
    <mergeCell ref="B116:B118"/>
    <mergeCell ref="B119:B121"/>
    <mergeCell ref="B122:B129"/>
    <mergeCell ref="A112:A129"/>
    <mergeCell ref="B131:B133"/>
    <mergeCell ref="B134:B136"/>
    <mergeCell ref="B137:B139"/>
    <mergeCell ref="B140:B142"/>
    <mergeCell ref="B143:B150"/>
    <mergeCell ref="A131:A150"/>
    <mergeCell ref="B152:B153"/>
    <mergeCell ref="B154:B155"/>
    <mergeCell ref="B156:B158"/>
    <mergeCell ref="B159:B161"/>
    <mergeCell ref="B162:B169"/>
    <mergeCell ref="A152:A169"/>
    <mergeCell ref="B171:B172"/>
    <mergeCell ref="B173:B174"/>
    <mergeCell ref="B175:B177"/>
    <mergeCell ref="B178:B180"/>
    <mergeCell ref="B181:B188"/>
    <mergeCell ref="A171:A188"/>
  </mergeCells>
  <conditionalFormatting sqref="F3:AJ3">
    <cfRule type="expression" dxfId="11" priority="1">
      <formula>AND(ISNUMBER(F3),WEEKDAY(F3,2)&gt;5)</formula>
    </cfRule>
  </conditionalFormatting>
  <conditionalFormatting sqref="F9:AJ9">
    <cfRule type="expression" dxfId="12" priority="2">
      <formula>AND(ISNUMBER(F9),F9&gt;0)</formula>
    </cfRule>
  </conditionalFormatting>
  <conditionalFormatting sqref="F14:AJ14 AK14">
    <cfRule type="expression" dxfId="13" priority="3" stopIfTrue="1">
      <formula>AND(ISNUMBER(F14),F14&gt;1)</formula>
    </cfRule>
  </conditionalFormatting>
  <conditionalFormatting sqref="F14:AJ14 AK14">
    <cfRule type="expression" dxfId="14" priority="4" stopIfTrue="1">
      <formula>AND(ISNUMBER(F14),F14&gt;=0.9)</formula>
    </cfRule>
  </conditionalFormatting>
  <conditionalFormatting sqref="F14:AJ14 AK14">
    <cfRule type="expression" dxfId="15" priority="5" stopIfTrue="1">
      <formula>AND(ISNUMBER(F14),F14&gt;=0.7)</formula>
    </cfRule>
  </conditionalFormatting>
  <conditionalFormatting sqref="F14:AJ14 AK14">
    <cfRule type="expression" dxfId="16" priority="6">
      <formula>ISNUMBER(F14)</formula>
    </cfRule>
  </conditionalFormatting>
  <conditionalFormatting sqref="F30:AJ30">
    <cfRule type="expression" dxfId="12" priority="7">
      <formula>AND(ISNUMBER(F30),F30&gt;0)</formula>
    </cfRule>
  </conditionalFormatting>
  <conditionalFormatting sqref="F35:AJ35 AK35">
    <cfRule type="expression" dxfId="13" priority="8" stopIfTrue="1">
      <formula>AND(ISNUMBER(F35),F35&gt;1)</formula>
    </cfRule>
  </conditionalFormatting>
  <conditionalFormatting sqref="F35:AJ35 AK35">
    <cfRule type="expression" dxfId="14" priority="9" stopIfTrue="1">
      <formula>AND(ISNUMBER(F35),F35&gt;=0.9)</formula>
    </cfRule>
  </conditionalFormatting>
  <conditionalFormatting sqref="F35:AJ35 AK35">
    <cfRule type="expression" dxfId="15" priority="10" stopIfTrue="1">
      <formula>AND(ISNUMBER(F35),F35&gt;=0.7)</formula>
    </cfRule>
  </conditionalFormatting>
  <conditionalFormatting sqref="F35:AJ35 AK35">
    <cfRule type="expression" dxfId="16" priority="11">
      <formula>ISNUMBER(F35)</formula>
    </cfRule>
  </conditionalFormatting>
  <conditionalFormatting sqref="F51:AJ51">
    <cfRule type="expression" dxfId="12" priority="12">
      <formula>AND(ISNUMBER(F51),F51&gt;0)</formula>
    </cfRule>
  </conditionalFormatting>
  <conditionalFormatting sqref="F56:AJ56 AK56">
    <cfRule type="expression" dxfId="13" priority="13" stopIfTrue="1">
      <formula>AND(ISNUMBER(F56),F56&gt;1)</formula>
    </cfRule>
  </conditionalFormatting>
  <conditionalFormatting sqref="F56:AJ56 AK56">
    <cfRule type="expression" dxfId="14" priority="14" stopIfTrue="1">
      <formula>AND(ISNUMBER(F56),F56&gt;=0.9)</formula>
    </cfRule>
  </conditionalFormatting>
  <conditionalFormatting sqref="F56:AJ56 AK56">
    <cfRule type="expression" dxfId="15" priority="15" stopIfTrue="1">
      <formula>AND(ISNUMBER(F56),F56&gt;=0.7)</formula>
    </cfRule>
  </conditionalFormatting>
  <conditionalFormatting sqref="F56:AJ56 AK56">
    <cfRule type="expression" dxfId="16" priority="16">
      <formula>ISNUMBER(F56)</formula>
    </cfRule>
  </conditionalFormatting>
  <conditionalFormatting sqref="F74:AJ74">
    <cfRule type="expression" dxfId="12" priority="17">
      <formula>AND(ISNUMBER(F74),F74&gt;0)</formula>
    </cfRule>
  </conditionalFormatting>
  <conditionalFormatting sqref="F79:AJ79 AK79">
    <cfRule type="expression" dxfId="13" priority="18" stopIfTrue="1">
      <formula>AND(ISNUMBER(F79),F79&gt;1)</formula>
    </cfRule>
  </conditionalFormatting>
  <conditionalFormatting sqref="F79:AJ79 AK79">
    <cfRule type="expression" dxfId="14" priority="19" stopIfTrue="1">
      <formula>AND(ISNUMBER(F79),F79&gt;=0.9)</formula>
    </cfRule>
  </conditionalFormatting>
  <conditionalFormatting sqref="F79:AJ79 AK79">
    <cfRule type="expression" dxfId="15" priority="20" stopIfTrue="1">
      <formula>AND(ISNUMBER(F79),F79&gt;=0.7)</formula>
    </cfRule>
  </conditionalFormatting>
  <conditionalFormatting sqref="F79:AJ79 AK79">
    <cfRule type="expression" dxfId="16" priority="21">
      <formula>ISNUMBER(F79)</formula>
    </cfRule>
  </conditionalFormatting>
  <conditionalFormatting sqref="F97:AJ97">
    <cfRule type="expression" dxfId="12" priority="22">
      <formula>AND(ISNUMBER(F97),F97&gt;0)</formula>
    </cfRule>
  </conditionalFormatting>
  <conditionalFormatting sqref="F102:AJ102 AK102">
    <cfRule type="expression" dxfId="13" priority="23" stopIfTrue="1">
      <formula>AND(ISNUMBER(F102),F102&gt;1)</formula>
    </cfRule>
  </conditionalFormatting>
  <conditionalFormatting sqref="F102:AJ102 AK102">
    <cfRule type="expression" dxfId="14" priority="24" stopIfTrue="1">
      <formula>AND(ISNUMBER(F102),F102&gt;=0.9)</formula>
    </cfRule>
  </conditionalFormatting>
  <conditionalFormatting sqref="F102:AJ102 AK102">
    <cfRule type="expression" dxfId="15" priority="25" stopIfTrue="1">
      <formula>AND(ISNUMBER(F102),F102&gt;=0.7)</formula>
    </cfRule>
  </conditionalFormatting>
  <conditionalFormatting sqref="F102:AJ102 AK102">
    <cfRule type="expression" dxfId="16" priority="26">
      <formula>ISNUMBER(F102)</formula>
    </cfRule>
  </conditionalFormatting>
  <conditionalFormatting sqref="F116:AJ116">
    <cfRule type="expression" dxfId="12" priority="27">
      <formula>AND(ISNUMBER(F116),F116&gt;0)</formula>
    </cfRule>
  </conditionalFormatting>
  <conditionalFormatting sqref="F121:AJ121 AK121">
    <cfRule type="expression" dxfId="13" priority="28" stopIfTrue="1">
      <formula>AND(ISNUMBER(F121),F121&gt;1)</formula>
    </cfRule>
  </conditionalFormatting>
  <conditionalFormatting sqref="F121:AJ121 AK121">
    <cfRule type="expression" dxfId="14" priority="29" stopIfTrue="1">
      <formula>AND(ISNUMBER(F121),F121&gt;=0.9)</formula>
    </cfRule>
  </conditionalFormatting>
  <conditionalFormatting sqref="F121:AJ121 AK121">
    <cfRule type="expression" dxfId="15" priority="30" stopIfTrue="1">
      <formula>AND(ISNUMBER(F121),F121&gt;=0.7)</formula>
    </cfRule>
  </conditionalFormatting>
  <conditionalFormatting sqref="F121:AJ121 AK121">
    <cfRule type="expression" dxfId="16" priority="31">
      <formula>ISNUMBER(F121)</formula>
    </cfRule>
  </conditionalFormatting>
  <conditionalFormatting sqref="F137:AJ137">
    <cfRule type="expression" dxfId="12" priority="32">
      <formula>AND(ISNUMBER(F137),F137&gt;0)</formula>
    </cfRule>
  </conditionalFormatting>
  <conditionalFormatting sqref="F142:AJ142 AK142">
    <cfRule type="expression" dxfId="13" priority="33" stopIfTrue="1">
      <formula>AND(ISNUMBER(F142),F142&gt;1)</formula>
    </cfRule>
  </conditionalFormatting>
  <conditionalFormatting sqref="F142:AJ142 AK142">
    <cfRule type="expression" dxfId="14" priority="34" stopIfTrue="1">
      <formula>AND(ISNUMBER(F142),F142&gt;=0.9)</formula>
    </cfRule>
  </conditionalFormatting>
  <conditionalFormatting sqref="F142:AJ142 AK142">
    <cfRule type="expression" dxfId="15" priority="35" stopIfTrue="1">
      <formula>AND(ISNUMBER(F142),F142&gt;=0.7)</formula>
    </cfRule>
  </conditionalFormatting>
  <conditionalFormatting sqref="F142:AJ142 AK142">
    <cfRule type="expression" dxfId="16" priority="36">
      <formula>ISNUMBER(F142)</formula>
    </cfRule>
  </conditionalFormatting>
  <conditionalFormatting sqref="F156:AJ156">
    <cfRule type="expression" dxfId="12" priority="37">
      <formula>AND(ISNUMBER(F156),F156&gt;0)</formula>
    </cfRule>
  </conditionalFormatting>
  <conditionalFormatting sqref="F161:AJ161 AK161">
    <cfRule type="expression" dxfId="13" priority="38" stopIfTrue="1">
      <formula>AND(ISNUMBER(F161),F161&gt;1)</formula>
    </cfRule>
  </conditionalFormatting>
  <conditionalFormatting sqref="F161:AJ161 AK161">
    <cfRule type="expression" dxfId="14" priority="39" stopIfTrue="1">
      <formula>AND(ISNUMBER(F161),F161&gt;=0.9)</formula>
    </cfRule>
  </conditionalFormatting>
  <conditionalFormatting sqref="F161:AJ161 AK161">
    <cfRule type="expression" dxfId="15" priority="40" stopIfTrue="1">
      <formula>AND(ISNUMBER(F161),F161&gt;=0.7)</formula>
    </cfRule>
  </conditionalFormatting>
  <conditionalFormatting sqref="F161:AJ161 AK161">
    <cfRule type="expression" dxfId="16" priority="41">
      <formula>ISNUMBER(F161)</formula>
    </cfRule>
  </conditionalFormatting>
  <conditionalFormatting sqref="F175:AJ175">
    <cfRule type="expression" dxfId="12" priority="42">
      <formula>AND(ISNUMBER(F175),F175&gt;0)</formula>
    </cfRule>
  </conditionalFormatting>
  <conditionalFormatting sqref="F180:AJ180 AK180">
    <cfRule type="expression" dxfId="13" priority="43" stopIfTrue="1">
      <formula>AND(ISNUMBER(F180),F180&gt;1)</formula>
    </cfRule>
  </conditionalFormatting>
  <conditionalFormatting sqref="F180:AJ180 AK180">
    <cfRule type="expression" dxfId="14" priority="44" stopIfTrue="1">
      <formula>AND(ISNUMBER(F180),F180&gt;=0.9)</formula>
    </cfRule>
  </conditionalFormatting>
  <conditionalFormatting sqref="F180:AJ180 AK180">
    <cfRule type="expression" dxfId="15" priority="45" stopIfTrue="1">
      <formula>AND(ISNUMBER(F180),F180&gt;=0.7)</formula>
    </cfRule>
  </conditionalFormatting>
  <conditionalFormatting sqref="F180:AJ180 AK180">
    <cfRule type="expression" dxfId="16" priority="46">
      <formula>ISNUMBER(F180)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calculos!$AM$12:$AM$23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75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80"/>
      <c r="B1" s="80"/>
      <c r="C1" s="80"/>
      <c r="D1" s="80"/>
      <c r="E1" s="80"/>
      <c r="F1" s="80"/>
      <c r="G1" s="120" t="str">
        <f>"CONSOL MENSAL · QUADRO DE INDICADORES"&amp;IF(calculos_quadro!$E$2="",""," · "&amp;calculos_quadro!$E$2)</f>
        <v>CONSOL MENSAL · QUADRO DE INDICADORES · TPC</v>
      </c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1" t="inlineStr">
        <is>
          <t xml:space="preserve">OUTUBRO · 2026</t>
        </is>
      </c>
      <c r="W1" s="121"/>
      <c r="X1" s="121"/>
      <c r="Y1" s="121"/>
      <c r="Z1" s="121"/>
      <c r="AA1" s="121"/>
    </row>
    <row r="3" ht="24" customHeight="1">
      <c r="B3" s="83" t="inlineStr">
        <is>
          <t xml:space="preserve">CLIENTE  ▸</t>
        </is>
      </c>
      <c r="C3" s="83"/>
      <c r="D3" s="84" t="inlineStr">
        <is>
          <t xml:space="preserve">Todos</t>
        </is>
      </c>
      <c r="E3" s="85"/>
      <c r="F3" s="85"/>
      <c r="G3" s="85"/>
      <c r="H3" s="85"/>
      <c r="I3" s="86"/>
      <c r="Q3" s="245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45"/>
      <c r="S3" s="245"/>
      <c r="T3" s="245"/>
      <c r="U3" s="245"/>
      <c r="V3" s="245"/>
      <c r="W3" s="245"/>
      <c r="X3" s="245"/>
      <c r="Y3" s="245"/>
      <c r="Z3" s="245"/>
    </row>
    <row r="5" ht="20" customHeight="1">
      <c r="B5" s="246" t="inlineStr">
        <is>
          <t xml:space="preserve">QUADRO DE INDICADORES · cliente e mês selecionados</t>
        </is>
      </c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ht="28" customHeight="1">
      <c r="B6" s="247" t="inlineStr">
        <is>
          <t xml:space="preserve">GRUPO</t>
        </is>
      </c>
      <c r="C6" s="248"/>
      <c r="D6" s="247" t="inlineStr">
        <is>
          <t xml:space="preserve">INDICADOR</t>
        </is>
      </c>
      <c r="E6" s="249"/>
      <c r="F6" s="249"/>
      <c r="G6" s="248"/>
      <c r="H6" s="250" t="inlineStr">
        <is>
          <t xml:space="preserve">META</t>
        </is>
      </c>
      <c r="I6" s="251"/>
      <c r="J6" s="250" t="inlineStr">
        <is>
          <t xml:space="preserve">REALIZADO</t>
        </is>
      </c>
      <c r="K6" s="252"/>
      <c r="L6" s="251"/>
      <c r="M6" s="250" t="inlineStr">
        <is>
          <t xml:space="preserve">MÉDIA / DIA</t>
        </is>
      </c>
      <c r="N6" s="251"/>
      <c r="O6" s="250" t="inlineStr">
        <is>
          <t xml:space="preserve">MÁXIMO NO DIA</t>
        </is>
      </c>
      <c r="P6" s="252"/>
      <c r="Q6" s="251"/>
      <c r="R6" s="250" t="inlineStr">
        <is>
          <t xml:space="preserve">MÊS ANTERIOR</t>
        </is>
      </c>
      <c r="S6" s="251"/>
      <c r="T6" s="250" t="inlineStr">
        <is>
          <t xml:space="preserve">VARIAÇÃO</t>
        </is>
      </c>
      <c r="U6" s="252"/>
      <c r="V6" s="251"/>
      <c r="W6" s="250" t="inlineStr">
        <is>
          <t xml:space="preserve">% DA META</t>
        </is>
      </c>
      <c r="X6" s="251"/>
      <c r="Y6" s="250" t="inlineStr">
        <is>
          <t xml:space="preserve">STATUS</t>
        </is>
      </c>
      <c r="Z6" s="251"/>
    </row>
    <row r="7" ht="16" customHeight="1">
      <c r="B7" s="467" t="inlineStr">
        <is>
          <t xml:space="preserve">IN</t>
        </is>
      </c>
      <c r="C7" s="138"/>
      <c r="D7" s="254" t="inlineStr">
        <is>
          <t xml:space="preserve">Veículos Recebidos</t>
        </is>
      </c>
      <c r="E7" s="253"/>
      <c r="F7" s="253"/>
      <c r="G7" s="253"/>
      <c r="H7" s="256" t="str">
        <f>IF(calculos_quadro!$B$294=0,"—",calculos_quadro!$C$48)</f>
        <v/>
      </c>
      <c r="I7" s="255"/>
      <c r="J7" s="258">
        <f>IF(calculos_quadro!$B$294=0,"—",calculos_quadro!$C$43)</f>
        <v>0</v>
      </c>
      <c r="K7" s="257"/>
      <c r="L7" s="257"/>
      <c r="M7" s="260" t="str">
        <f>IF(calculos_quadro!$B$294=0,"—",calculos_quadro!$C$44)</f>
        <v/>
      </c>
      <c r="N7" s="259"/>
      <c r="O7" s="262">
        <f>IF(calculos_quadro!$B$294=0,"—",calculos_quadro!$C$45)</f>
        <v>0</v>
      </c>
      <c r="P7" s="261"/>
      <c r="Q7" s="261"/>
      <c r="R7" s="262" t="str">
        <f>IF(calculos_quadro!$B$294=0,"—",calculos_quadro!$C$46)</f>
        <v/>
      </c>
      <c r="S7" s="261"/>
      <c r="T7" s="264" t="str">
        <f>IF(calculos_quadro!$B$294=0,"—",calculos_quadro!$C$47)</f>
        <v/>
      </c>
      <c r="U7" s="263"/>
      <c r="V7" s="263"/>
      <c r="W7" s="266" t="str">
        <f>IF(calculos_quadro!$B$294=0,"—",calculos_quadro!$C$49)</f>
        <v/>
      </c>
      <c r="X7" s="265"/>
      <c r="Y7" s="268" t="str">
        <f>IF(calculos_quadro!$B$294=0,"—",calculos_quadro!$C$50)</f>
        <v/>
      </c>
      <c r="Z7" s="269"/>
    </row>
    <row r="8" ht="16" customHeight="1">
      <c r="B8" s="468"/>
      <c r="C8" s="184"/>
      <c r="D8" s="271" t="inlineStr">
        <is>
          <t xml:space="preserve">Pallets Movimentados</t>
        </is>
      </c>
      <c r="E8" s="270"/>
      <c r="F8" s="270"/>
      <c r="G8" s="270"/>
      <c r="H8" s="273" t="str">
        <f>IF(calculos_quadro!$B$295=0,"—",calculos_quadro!$D$48)</f>
        <v/>
      </c>
      <c r="I8" s="272"/>
      <c r="J8" s="275">
        <f>IF(calculos_quadro!$B$295=0,"—",calculos_quadro!$D$43)</f>
        <v>0</v>
      </c>
      <c r="K8" s="274"/>
      <c r="L8" s="274"/>
      <c r="M8" s="277" t="str">
        <f>IF(calculos_quadro!$B$295=0,"—",calculos_quadro!$D$44)</f>
        <v/>
      </c>
      <c r="N8" s="276"/>
      <c r="O8" s="279">
        <f>IF(calculos_quadro!$B$295=0,"—",calculos_quadro!$D$45)</f>
        <v>0</v>
      </c>
      <c r="P8" s="278"/>
      <c r="Q8" s="278"/>
      <c r="R8" s="279" t="str">
        <f>IF(calculos_quadro!$B$295=0,"—",calculos_quadro!$D$46)</f>
        <v/>
      </c>
      <c r="S8" s="278"/>
      <c r="T8" s="281" t="str">
        <f>IF(calculos_quadro!$B$295=0,"—",calculos_quadro!$D$47)</f>
        <v/>
      </c>
      <c r="U8" s="280"/>
      <c r="V8" s="280"/>
      <c r="W8" s="283" t="str">
        <f>IF(calculos_quadro!$B$295=0,"—",calculos_quadro!$D$49)</f>
        <v/>
      </c>
      <c r="X8" s="282"/>
      <c r="Y8" s="285" t="str">
        <f>IF(calculos_quadro!$B$295=0,"—",calculos_quadro!$D$50)</f>
        <v/>
      </c>
      <c r="Z8" s="286"/>
    </row>
    <row r="9" ht="16" customHeight="1">
      <c r="B9" s="468"/>
      <c r="C9" s="184"/>
      <c r="D9" s="271" t="inlineStr">
        <is>
          <t xml:space="preserve">Toneladas Movimentadas</t>
        </is>
      </c>
      <c r="E9" s="270"/>
      <c r="F9" s="270"/>
      <c r="G9" s="270"/>
      <c r="H9" s="273" t="str">
        <f>IF(calculos_quadro!$B$296=0,"—",calculos_quadro!$E$48)</f>
        <v/>
      </c>
      <c r="I9" s="272"/>
      <c r="J9" s="288">
        <f>IF(calculos_quadro!$B$296=0,"—",calculos_quadro!$E$43)</f>
        <v>0</v>
      </c>
      <c r="K9" s="287"/>
      <c r="L9" s="287"/>
      <c r="M9" s="277" t="str">
        <f>IF(calculos_quadro!$B$296=0,"—",calculos_quadro!$E$44)</f>
        <v/>
      </c>
      <c r="N9" s="276"/>
      <c r="O9" s="277">
        <f>IF(calculos_quadro!$B$296=0,"—",calculos_quadro!$E$45)</f>
        <v>0</v>
      </c>
      <c r="P9" s="276"/>
      <c r="Q9" s="276"/>
      <c r="R9" s="277" t="str">
        <f>IF(calculos_quadro!$B$296=0,"—",calculos_quadro!$E$46)</f>
        <v/>
      </c>
      <c r="S9" s="276"/>
      <c r="T9" s="281" t="str">
        <f>IF(calculos_quadro!$B$296=0,"—",calculos_quadro!$E$47)</f>
        <v/>
      </c>
      <c r="U9" s="280"/>
      <c r="V9" s="280"/>
      <c r="W9" s="283" t="str">
        <f>IF(calculos_quadro!$B$296=0,"—",calculos_quadro!$E$49)</f>
        <v/>
      </c>
      <c r="X9" s="282"/>
      <c r="Y9" s="285" t="str">
        <f>IF(calculos_quadro!$B$296=0,"—",calculos_quadro!$E$50)</f>
        <v/>
      </c>
      <c r="Z9" s="286"/>
    </row>
    <row r="10" ht="16" customHeight="1">
      <c r="B10" s="468"/>
      <c r="C10" s="184"/>
      <c r="D10" s="271" t="inlineStr">
        <is>
          <t xml:space="preserve">Linhas NF</t>
        </is>
      </c>
      <c r="E10" s="270"/>
      <c r="F10" s="270"/>
      <c r="G10" s="270"/>
      <c r="H10" s="273" t="str">
        <f>IF(calculos_quadro!$B$297=0,"—",calculos_quadro!$F$48)</f>
        <v/>
      </c>
      <c r="I10" s="272"/>
      <c r="J10" s="275">
        <f>IF(calculos_quadro!$B$297=0,"—",calculos_quadro!$F$43)</f>
        <v>0</v>
      </c>
      <c r="K10" s="274"/>
      <c r="L10" s="274"/>
      <c r="M10" s="277" t="str">
        <f>IF(calculos_quadro!$B$297=0,"—",calculos_quadro!$F$44)</f>
        <v/>
      </c>
      <c r="N10" s="276"/>
      <c r="O10" s="279">
        <f>IF(calculos_quadro!$B$297=0,"—",calculos_quadro!$F$45)</f>
        <v>0</v>
      </c>
      <c r="P10" s="278"/>
      <c r="Q10" s="278"/>
      <c r="R10" s="279" t="str">
        <f>IF(calculos_quadro!$B$297=0,"—",calculos_quadro!$F$46)</f>
        <v/>
      </c>
      <c r="S10" s="278"/>
      <c r="T10" s="281" t="str">
        <f>IF(calculos_quadro!$B$297=0,"—",calculos_quadro!$F$47)</f>
        <v/>
      </c>
      <c r="U10" s="280"/>
      <c r="V10" s="280"/>
      <c r="W10" s="283" t="str">
        <f>IF(calculos_quadro!$B$297=0,"—",calculos_quadro!$F$49)</f>
        <v/>
      </c>
      <c r="X10" s="282"/>
      <c r="Y10" s="285" t="str">
        <f>IF(calculos_quadro!$B$297=0,"—",calculos_quadro!$F$50)</f>
        <v/>
      </c>
      <c r="Z10" s="286"/>
    </row>
    <row r="11" ht="16" customHeight="1">
      <c r="B11" s="468"/>
      <c r="C11" s="184"/>
      <c r="D11" s="271" t="inlineStr">
        <is>
          <t xml:space="preserve">Caixas Movimentadas</t>
        </is>
      </c>
      <c r="E11" s="270"/>
      <c r="F11" s="270"/>
      <c r="G11" s="270"/>
      <c r="H11" s="273" t="str">
        <f>IF(calculos_quadro!$B$298=0,"—",calculos_quadro!$G$48)</f>
        <v/>
      </c>
      <c r="I11" s="272"/>
      <c r="J11" s="275">
        <f>IF(calculos_quadro!$B$298=0,"—",calculos_quadro!$G$43)</f>
        <v>0</v>
      </c>
      <c r="K11" s="274"/>
      <c r="L11" s="274"/>
      <c r="M11" s="277" t="str">
        <f>IF(calculos_quadro!$B$298=0,"—",calculos_quadro!$G$44)</f>
        <v/>
      </c>
      <c r="N11" s="276"/>
      <c r="O11" s="279">
        <f>IF(calculos_quadro!$B$298=0,"—",calculos_quadro!$G$45)</f>
        <v>0</v>
      </c>
      <c r="P11" s="278"/>
      <c r="Q11" s="278"/>
      <c r="R11" s="279" t="str">
        <f>IF(calculos_quadro!$B$298=0,"—",calculos_quadro!$G$46)</f>
        <v/>
      </c>
      <c r="S11" s="278"/>
      <c r="T11" s="281" t="str">
        <f>IF(calculos_quadro!$B$298=0,"—",calculos_quadro!$G$47)</f>
        <v/>
      </c>
      <c r="U11" s="280"/>
      <c r="V11" s="280"/>
      <c r="W11" s="283" t="str">
        <f>IF(calculos_quadro!$B$298=0,"—",calculos_quadro!$G$49)</f>
        <v/>
      </c>
      <c r="X11" s="282"/>
      <c r="Y11" s="285" t="str">
        <f>IF(calculos_quadro!$B$298=0,"—",calculos_quadro!$G$50)</f>
        <v/>
      </c>
      <c r="Z11" s="286"/>
    </row>
    <row r="12" ht="16" customHeight="1">
      <c r="B12" s="468"/>
      <c r="C12" s="184"/>
      <c r="D12" s="271" t="inlineStr">
        <is>
          <t xml:space="preserve">Peças Movimentadas</t>
        </is>
      </c>
      <c r="E12" s="270"/>
      <c r="F12" s="270"/>
      <c r="G12" s="270"/>
      <c r="H12" s="273" t="str">
        <f>IF(calculos_quadro!$B$299=0,"—",calculos_quadro!$H$48)</f>
        <v/>
      </c>
      <c r="I12" s="272"/>
      <c r="J12" s="275">
        <f>IF(calculos_quadro!$B$299=0,"—",calculos_quadro!$H$43)</f>
        <v>0</v>
      </c>
      <c r="K12" s="274"/>
      <c r="L12" s="274"/>
      <c r="M12" s="277" t="str">
        <f>IF(calculos_quadro!$B$299=0,"—",calculos_quadro!$H$44)</f>
        <v/>
      </c>
      <c r="N12" s="276"/>
      <c r="O12" s="279">
        <f>IF(calculos_quadro!$B$299=0,"—",calculos_quadro!$H$45)</f>
        <v>0</v>
      </c>
      <c r="P12" s="278"/>
      <c r="Q12" s="278"/>
      <c r="R12" s="279" t="str">
        <f>IF(calculos_quadro!$B$299=0,"—",calculos_quadro!$H$46)</f>
        <v/>
      </c>
      <c r="S12" s="278"/>
      <c r="T12" s="281" t="str">
        <f>IF(calculos_quadro!$B$299=0,"—",calculos_quadro!$H$47)</f>
        <v/>
      </c>
      <c r="U12" s="280"/>
      <c r="V12" s="280"/>
      <c r="W12" s="283" t="str">
        <f>IF(calculos_quadro!$B$299=0,"—",calculos_quadro!$H$49)</f>
        <v/>
      </c>
      <c r="X12" s="282"/>
      <c r="Y12" s="285" t="str">
        <f>IF(calculos_quadro!$B$299=0,"—",calculos_quadro!$H$50)</f>
        <v/>
      </c>
      <c r="Z12" s="286"/>
    </row>
    <row r="13" ht="16" customHeight="1">
      <c r="B13" s="468"/>
      <c r="C13" s="184"/>
      <c r="D13" s="271" t="inlineStr">
        <is>
          <t xml:space="preserve">Itens Recebidos CX Mista</t>
        </is>
      </c>
      <c r="E13" s="270"/>
      <c r="F13" s="270"/>
      <c r="G13" s="270"/>
      <c r="H13" s="273" t="str">
        <f>IF(calculos_quadro!$B$300=0,"—",calculos_quadro!$I$48)</f>
        <v/>
      </c>
      <c r="I13" s="272"/>
      <c r="J13" s="275">
        <f>IF(calculos_quadro!$B$300=0,"—",calculos_quadro!$I$43)</f>
        <v>0</v>
      </c>
      <c r="K13" s="274"/>
      <c r="L13" s="274"/>
      <c r="M13" s="277" t="str">
        <f>IF(calculos_quadro!$B$300=0,"—",calculos_quadro!$I$44)</f>
        <v/>
      </c>
      <c r="N13" s="276"/>
      <c r="O13" s="279">
        <f>IF(calculos_quadro!$B$300=0,"—",calculos_quadro!$I$45)</f>
        <v>0</v>
      </c>
      <c r="P13" s="278"/>
      <c r="Q13" s="278"/>
      <c r="R13" s="279" t="str">
        <f>IF(calculos_quadro!$B$300=0,"—",calculos_quadro!$I$46)</f>
        <v/>
      </c>
      <c r="S13" s="278"/>
      <c r="T13" s="281" t="str">
        <f>IF(calculos_quadro!$B$300=0,"—",calculos_quadro!$I$47)</f>
        <v/>
      </c>
      <c r="U13" s="280"/>
      <c r="V13" s="280"/>
      <c r="W13" s="283" t="str">
        <f>IF(calculos_quadro!$B$300=0,"—",calculos_quadro!$I$49)</f>
        <v/>
      </c>
      <c r="X13" s="282"/>
      <c r="Y13" s="285" t="str">
        <f>IF(calculos_quadro!$B$300=0,"—",calculos_quadro!$I$50)</f>
        <v/>
      </c>
      <c r="Z13" s="286"/>
    </row>
    <row r="14" ht="16" customHeight="1">
      <c r="B14" s="468"/>
      <c r="C14" s="184"/>
      <c r="D14" s="271" t="inlineStr">
        <is>
          <t xml:space="preserve">Caixas Fechadas</t>
        </is>
      </c>
      <c r="E14" s="270"/>
      <c r="F14" s="270"/>
      <c r="G14" s="270"/>
      <c r="H14" s="273" t="str">
        <f>IF(calculos_quadro!$B$301=0,"—",calculos_quadro!$J$48)</f>
        <v/>
      </c>
      <c r="I14" s="272"/>
      <c r="J14" s="275">
        <f>IF(calculos_quadro!$B$301=0,"—",calculos_quadro!$J$43)</f>
        <v>0</v>
      </c>
      <c r="K14" s="274"/>
      <c r="L14" s="274"/>
      <c r="M14" s="277" t="str">
        <f>IF(calculos_quadro!$B$301=0,"—",calculos_quadro!$J$44)</f>
        <v/>
      </c>
      <c r="N14" s="276"/>
      <c r="O14" s="279">
        <f>IF(calculos_quadro!$B$301=0,"—",calculos_quadro!$J$45)</f>
        <v>0</v>
      </c>
      <c r="P14" s="278"/>
      <c r="Q14" s="278"/>
      <c r="R14" s="279" t="str">
        <f>IF(calculos_quadro!$B$301=0,"—",calculos_quadro!$J$46)</f>
        <v/>
      </c>
      <c r="S14" s="278"/>
      <c r="T14" s="281" t="str">
        <f>IF(calculos_quadro!$B$301=0,"—",calculos_quadro!$J$47)</f>
        <v/>
      </c>
      <c r="U14" s="280"/>
      <c r="V14" s="280"/>
      <c r="W14" s="283" t="str">
        <f>IF(calculos_quadro!$B$301=0,"—",calculos_quadro!$J$49)</f>
        <v/>
      </c>
      <c r="X14" s="282"/>
      <c r="Y14" s="285" t="str">
        <f>IF(calculos_quadro!$B$301=0,"—",calculos_quadro!$J$50)</f>
        <v/>
      </c>
      <c r="Z14" s="286"/>
    </row>
    <row r="15" ht="16" customHeight="1">
      <c r="B15" s="469"/>
      <c r="C15" s="145"/>
      <c r="D15" s="290" t="inlineStr">
        <is>
          <t xml:space="preserve">Caixas Mistas Recebidas</t>
        </is>
      </c>
      <c r="E15" s="289"/>
      <c r="F15" s="289"/>
      <c r="G15" s="289"/>
      <c r="H15" s="292" t="str">
        <f>IF(calculos_quadro!$B$302=0,"—",calculos_quadro!$K$48)</f>
        <v/>
      </c>
      <c r="I15" s="291"/>
      <c r="J15" s="294">
        <f>IF(calculos_quadro!$B$302=0,"—",calculos_quadro!$K$43)</f>
        <v>0</v>
      </c>
      <c r="K15" s="293"/>
      <c r="L15" s="293"/>
      <c r="M15" s="296" t="str">
        <f>IF(calculos_quadro!$B$302=0,"—",calculos_quadro!$K$44)</f>
        <v/>
      </c>
      <c r="N15" s="295"/>
      <c r="O15" s="298">
        <f>IF(calculos_quadro!$B$302=0,"—",calculos_quadro!$K$45)</f>
        <v>0</v>
      </c>
      <c r="P15" s="297"/>
      <c r="Q15" s="297"/>
      <c r="R15" s="298" t="str">
        <f>IF(calculos_quadro!$B$302=0,"—",calculos_quadro!$K$46)</f>
        <v/>
      </c>
      <c r="S15" s="297"/>
      <c r="T15" s="300" t="str">
        <f>IF(calculos_quadro!$B$302=0,"—",calculos_quadro!$K$47)</f>
        <v/>
      </c>
      <c r="U15" s="299"/>
      <c r="V15" s="299"/>
      <c r="W15" s="302" t="str">
        <f>IF(calculos_quadro!$B$302=0,"—",calculos_quadro!$K$49)</f>
        <v/>
      </c>
      <c r="X15" s="301"/>
      <c r="Y15" s="304" t="str">
        <f>IF(calculos_quadro!$B$302=0,"—",calculos_quadro!$K$50)</f>
        <v/>
      </c>
      <c r="Z15" s="305"/>
    </row>
    <row r="16" ht="16" customHeight="1">
      <c r="B16" s="470" t="inlineStr">
        <is>
          <t xml:space="preserve">OUT</t>
        </is>
      </c>
      <c r="C16" s="151"/>
      <c r="D16" s="307" t="inlineStr">
        <is>
          <t xml:space="preserve">Veículos Expedidos</t>
        </is>
      </c>
      <c r="E16" s="306"/>
      <c r="F16" s="306"/>
      <c r="G16" s="306"/>
      <c r="H16" s="309" t="str">
        <f>IF(calculos_quadro!$B$303=0,"—",calculos_quadro!$L$48)</f>
        <v/>
      </c>
      <c r="I16" s="308"/>
      <c r="J16" s="311">
        <f>IF(calculos_quadro!$B$303=0,"—",calculos_quadro!$L$43)</f>
        <v>0</v>
      </c>
      <c r="K16" s="310"/>
      <c r="L16" s="310"/>
      <c r="M16" s="313" t="str">
        <f>IF(calculos_quadro!$B$303=0,"—",calculos_quadro!$L$44)</f>
        <v/>
      </c>
      <c r="N16" s="312"/>
      <c r="O16" s="315">
        <f>IF(calculos_quadro!$B$303=0,"—",calculos_quadro!$L$45)</f>
        <v>0</v>
      </c>
      <c r="P16" s="314"/>
      <c r="Q16" s="314"/>
      <c r="R16" s="315" t="str">
        <f>IF(calculos_quadro!$B$303=0,"—",calculos_quadro!$L$46)</f>
        <v/>
      </c>
      <c r="S16" s="314"/>
      <c r="T16" s="317" t="str">
        <f>IF(calculos_quadro!$B$303=0,"—",calculos_quadro!$L$47)</f>
        <v/>
      </c>
      <c r="U16" s="316"/>
      <c r="V16" s="316"/>
      <c r="W16" s="319" t="str">
        <f>IF(calculos_quadro!$B$303=0,"—",calculos_quadro!$L$49)</f>
        <v/>
      </c>
      <c r="X16" s="318"/>
      <c r="Y16" s="321" t="str">
        <f>IF(calculos_quadro!$B$303=0,"—",calculos_quadro!$L$50)</f>
        <v/>
      </c>
      <c r="Z16" s="322"/>
    </row>
    <row r="17" ht="16" customHeight="1">
      <c r="B17" s="471"/>
      <c r="C17" s="233"/>
      <c r="D17" s="324" t="inlineStr">
        <is>
          <t xml:space="preserve">Pedidos Expedidos</t>
        </is>
      </c>
      <c r="E17" s="323"/>
      <c r="F17" s="323"/>
      <c r="G17" s="323"/>
      <c r="H17" s="326" t="str">
        <f>IF(calculos_quadro!$B$304=0,"—",calculos_quadro!$M$48)</f>
        <v/>
      </c>
      <c r="I17" s="325"/>
      <c r="J17" s="328">
        <f>IF(calculos_quadro!$B$304=0,"—",calculos_quadro!$M$43)</f>
        <v>0</v>
      </c>
      <c r="K17" s="327"/>
      <c r="L17" s="327"/>
      <c r="M17" s="330" t="str">
        <f>IF(calculos_quadro!$B$304=0,"—",calculos_quadro!$M$44)</f>
        <v/>
      </c>
      <c r="N17" s="329"/>
      <c r="O17" s="332">
        <f>IF(calculos_quadro!$B$304=0,"—",calculos_quadro!$M$45)</f>
        <v>0</v>
      </c>
      <c r="P17" s="331"/>
      <c r="Q17" s="331"/>
      <c r="R17" s="332" t="str">
        <f>IF(calculos_quadro!$B$304=0,"—",calculos_quadro!$M$46)</f>
        <v/>
      </c>
      <c r="S17" s="331"/>
      <c r="T17" s="334" t="str">
        <f>IF(calculos_quadro!$B$304=0,"—",calculos_quadro!$M$47)</f>
        <v/>
      </c>
      <c r="U17" s="333"/>
      <c r="V17" s="333"/>
      <c r="W17" s="336" t="str">
        <f>IF(calculos_quadro!$B$304=0,"—",calculos_quadro!$M$49)</f>
        <v/>
      </c>
      <c r="X17" s="335"/>
      <c r="Y17" s="338" t="str">
        <f>IF(calculos_quadro!$B$304=0,"—",calculos_quadro!$M$50)</f>
        <v/>
      </c>
      <c r="Z17" s="339"/>
    </row>
    <row r="18" ht="16" customHeight="1">
      <c r="B18" s="471"/>
      <c r="C18" s="233"/>
      <c r="D18" s="324" t="inlineStr">
        <is>
          <t xml:space="preserve">Pedidos Faturados</t>
        </is>
      </c>
      <c r="E18" s="323"/>
      <c r="F18" s="323"/>
      <c r="G18" s="323"/>
      <c r="H18" s="326" t="str">
        <f>IF(calculos_quadro!$B$305=0,"—",calculos_quadro!$N$48)</f>
        <v/>
      </c>
      <c r="I18" s="325"/>
      <c r="J18" s="328">
        <f>IF(calculos_quadro!$B$305=0,"—",calculos_quadro!$N$43)</f>
        <v>0</v>
      </c>
      <c r="K18" s="327"/>
      <c r="L18" s="327"/>
      <c r="M18" s="330" t="str">
        <f>IF(calculos_quadro!$B$305=0,"—",calculos_quadro!$N$44)</f>
        <v/>
      </c>
      <c r="N18" s="329"/>
      <c r="O18" s="332">
        <f>IF(calculos_quadro!$B$305=0,"—",calculos_quadro!$N$45)</f>
        <v>0</v>
      </c>
      <c r="P18" s="331"/>
      <c r="Q18" s="331"/>
      <c r="R18" s="332" t="str">
        <f>IF(calculos_quadro!$B$305=0,"—",calculos_quadro!$N$46)</f>
        <v/>
      </c>
      <c r="S18" s="331"/>
      <c r="T18" s="334" t="str">
        <f>IF(calculos_quadro!$B$305=0,"—",calculos_quadro!$N$47)</f>
        <v/>
      </c>
      <c r="U18" s="333"/>
      <c r="V18" s="333"/>
      <c r="W18" s="336" t="str">
        <f>IF(calculos_quadro!$B$305=0,"—",calculos_quadro!$N$49)</f>
        <v/>
      </c>
      <c r="X18" s="335"/>
      <c r="Y18" s="338" t="str">
        <f>IF(calculos_quadro!$B$305=0,"—",calculos_quadro!$N$50)</f>
        <v/>
      </c>
      <c r="Z18" s="339"/>
    </row>
    <row r="19" ht="16" customHeight="1">
      <c r="B19" s="471"/>
      <c r="C19" s="233"/>
      <c r="D19" s="324" t="inlineStr">
        <is>
          <t xml:space="preserve">Itens Expedidos</t>
        </is>
      </c>
      <c r="E19" s="323"/>
      <c r="F19" s="323"/>
      <c r="G19" s="323"/>
      <c r="H19" s="326" t="str">
        <f>IF(calculos_quadro!$B$306=0,"—",calculos_quadro!$O$48)</f>
        <v/>
      </c>
      <c r="I19" s="325"/>
      <c r="J19" s="328">
        <f>IF(calculos_quadro!$B$306=0,"—",calculos_quadro!$O$43)</f>
        <v>0</v>
      </c>
      <c r="K19" s="327"/>
      <c r="L19" s="327"/>
      <c r="M19" s="330" t="str">
        <f>IF(calculos_quadro!$B$306=0,"—",calculos_quadro!$O$44)</f>
        <v/>
      </c>
      <c r="N19" s="329"/>
      <c r="O19" s="332">
        <f>IF(calculos_quadro!$B$306=0,"—",calculos_quadro!$O$45)</f>
        <v>0</v>
      </c>
      <c r="P19" s="331"/>
      <c r="Q19" s="331"/>
      <c r="R19" s="332" t="str">
        <f>IF(calculos_quadro!$B$306=0,"—",calculos_quadro!$O$46)</f>
        <v/>
      </c>
      <c r="S19" s="331"/>
      <c r="T19" s="334" t="str">
        <f>IF(calculos_quadro!$B$306=0,"—",calculos_quadro!$O$47)</f>
        <v/>
      </c>
      <c r="U19" s="333"/>
      <c r="V19" s="333"/>
      <c r="W19" s="336" t="str">
        <f>IF(calculos_quadro!$B$306=0,"—",calculos_quadro!$O$49)</f>
        <v/>
      </c>
      <c r="X19" s="335"/>
      <c r="Y19" s="338" t="str">
        <f>IF(calculos_quadro!$B$306=0,"—",calculos_quadro!$O$50)</f>
        <v/>
      </c>
      <c r="Z19" s="339"/>
    </row>
    <row r="20" ht="16" customHeight="1">
      <c r="B20" s="471"/>
      <c r="C20" s="233"/>
      <c r="D20" s="324" t="inlineStr">
        <is>
          <t xml:space="preserve">Peças Movimentadas</t>
        </is>
      </c>
      <c r="E20" s="323"/>
      <c r="F20" s="323"/>
      <c r="G20" s="323"/>
      <c r="H20" s="326" t="str">
        <f>IF(calculos_quadro!$B$307=0,"—",calculos_quadro!$P$48)</f>
        <v/>
      </c>
      <c r="I20" s="325"/>
      <c r="J20" s="328">
        <f>IF(calculos_quadro!$B$307=0,"—",calculos_quadro!$P$43)</f>
        <v>0</v>
      </c>
      <c r="K20" s="327"/>
      <c r="L20" s="327"/>
      <c r="M20" s="330" t="str">
        <f>IF(calculos_quadro!$B$307=0,"—",calculos_quadro!$P$44)</f>
        <v/>
      </c>
      <c r="N20" s="329"/>
      <c r="O20" s="332">
        <f>IF(calculos_quadro!$B$307=0,"—",calculos_quadro!$P$45)</f>
        <v>0</v>
      </c>
      <c r="P20" s="331"/>
      <c r="Q20" s="331"/>
      <c r="R20" s="332" t="str">
        <f>IF(calculos_quadro!$B$307=0,"—",calculos_quadro!$P$46)</f>
        <v/>
      </c>
      <c r="S20" s="331"/>
      <c r="T20" s="334" t="str">
        <f>IF(calculos_quadro!$B$307=0,"—",calculos_quadro!$P$47)</f>
        <v/>
      </c>
      <c r="U20" s="333"/>
      <c r="V20" s="333"/>
      <c r="W20" s="336" t="str">
        <f>IF(calculos_quadro!$B$307=0,"—",calculos_quadro!$P$49)</f>
        <v/>
      </c>
      <c r="X20" s="335"/>
      <c r="Y20" s="338" t="str">
        <f>IF(calculos_quadro!$B$307=0,"—",calculos_quadro!$P$50)</f>
        <v/>
      </c>
      <c r="Z20" s="339"/>
    </row>
    <row r="21" ht="16" customHeight="1">
      <c r="B21" s="471"/>
      <c r="C21" s="233"/>
      <c r="D21" s="324" t="inlineStr">
        <is>
          <t xml:space="preserve">Linhas NF</t>
        </is>
      </c>
      <c r="E21" s="323"/>
      <c r="F21" s="323"/>
      <c r="G21" s="323"/>
      <c r="H21" s="326" t="str">
        <f>IF(calculos_quadro!$B$308=0,"—",calculos_quadro!$Q$48)</f>
        <v/>
      </c>
      <c r="I21" s="325"/>
      <c r="J21" s="328">
        <f>IF(calculos_quadro!$B$308=0,"—",calculos_quadro!$Q$43)</f>
        <v>0</v>
      </c>
      <c r="K21" s="327"/>
      <c r="L21" s="327"/>
      <c r="M21" s="330" t="str">
        <f>IF(calculos_quadro!$B$308=0,"—",calculos_quadro!$Q$44)</f>
        <v/>
      </c>
      <c r="N21" s="329"/>
      <c r="O21" s="332">
        <f>IF(calculos_quadro!$B$308=0,"—",calculos_quadro!$Q$45)</f>
        <v>0</v>
      </c>
      <c r="P21" s="331"/>
      <c r="Q21" s="331"/>
      <c r="R21" s="332" t="str">
        <f>IF(calculos_quadro!$B$308=0,"—",calculos_quadro!$Q$46)</f>
        <v/>
      </c>
      <c r="S21" s="331"/>
      <c r="T21" s="334" t="str">
        <f>IF(calculos_quadro!$B$308=0,"—",calculos_quadro!$Q$47)</f>
        <v/>
      </c>
      <c r="U21" s="333"/>
      <c r="V21" s="333"/>
      <c r="W21" s="336" t="str">
        <f>IF(calculos_quadro!$B$308=0,"—",calculos_quadro!$Q$49)</f>
        <v/>
      </c>
      <c r="X21" s="335"/>
      <c r="Y21" s="338" t="str">
        <f>IF(calculos_quadro!$B$308=0,"—",calculos_quadro!$Q$50)</f>
        <v/>
      </c>
      <c r="Z21" s="339"/>
    </row>
    <row r="22" ht="16" customHeight="1">
      <c r="B22" s="471"/>
      <c r="C22" s="233"/>
      <c r="D22" s="324" t="inlineStr">
        <is>
          <t xml:space="preserve">Caixas Expedidas</t>
        </is>
      </c>
      <c r="E22" s="323"/>
      <c r="F22" s="323"/>
      <c r="G22" s="323"/>
      <c r="H22" s="326" t="str">
        <f>IF(calculos_quadro!$B$309=0,"—",calculos_quadro!$R$48)</f>
        <v/>
      </c>
      <c r="I22" s="325"/>
      <c r="J22" s="328">
        <f>IF(calculos_quadro!$B$309=0,"—",calculos_quadro!$R$43)</f>
        <v>0</v>
      </c>
      <c r="K22" s="327"/>
      <c r="L22" s="327"/>
      <c r="M22" s="330" t="str">
        <f>IF(calculos_quadro!$B$309=0,"—",calculos_quadro!$R$44)</f>
        <v/>
      </c>
      <c r="N22" s="329"/>
      <c r="O22" s="332">
        <f>IF(calculos_quadro!$B$309=0,"—",calculos_quadro!$R$45)</f>
        <v>0</v>
      </c>
      <c r="P22" s="331"/>
      <c r="Q22" s="331"/>
      <c r="R22" s="332" t="str">
        <f>IF(calculos_quadro!$B$309=0,"—",calculos_quadro!$R$46)</f>
        <v/>
      </c>
      <c r="S22" s="331"/>
      <c r="T22" s="334" t="str">
        <f>IF(calculos_quadro!$B$309=0,"—",calculos_quadro!$R$47)</f>
        <v/>
      </c>
      <c r="U22" s="333"/>
      <c r="V22" s="333"/>
      <c r="W22" s="336" t="str">
        <f>IF(calculos_quadro!$B$309=0,"—",calculos_quadro!$R$49)</f>
        <v/>
      </c>
      <c r="X22" s="335"/>
      <c r="Y22" s="338" t="str">
        <f>IF(calculos_quadro!$B$309=0,"—",calculos_quadro!$R$50)</f>
        <v/>
      </c>
      <c r="Z22" s="339"/>
    </row>
    <row r="23" ht="16" customHeight="1">
      <c r="B23" s="471"/>
      <c r="C23" s="233"/>
      <c r="D23" s="324" t="inlineStr">
        <is>
          <t xml:space="preserve">Pallets Movimentados</t>
        </is>
      </c>
      <c r="E23" s="323"/>
      <c r="F23" s="323"/>
      <c r="G23" s="323"/>
      <c r="H23" s="326" t="str">
        <f>IF(calculos_quadro!$B$310=0,"—",calculos_quadro!$S$48)</f>
        <v/>
      </c>
      <c r="I23" s="325"/>
      <c r="J23" s="328">
        <f>IF(calculos_quadro!$B$310=0,"—",calculos_quadro!$S$43)</f>
        <v>0</v>
      </c>
      <c r="K23" s="327"/>
      <c r="L23" s="327"/>
      <c r="M23" s="330" t="str">
        <f>IF(calculos_quadro!$B$310=0,"—",calculos_quadro!$S$44)</f>
        <v/>
      </c>
      <c r="N23" s="329"/>
      <c r="O23" s="332">
        <f>IF(calculos_quadro!$B$310=0,"—",calculos_quadro!$S$45)</f>
        <v>0</v>
      </c>
      <c r="P23" s="331"/>
      <c r="Q23" s="331"/>
      <c r="R23" s="332" t="str">
        <f>IF(calculos_quadro!$B$310=0,"—",calculos_quadro!$S$46)</f>
        <v/>
      </c>
      <c r="S23" s="331"/>
      <c r="T23" s="334" t="str">
        <f>IF(calculos_quadro!$B$310=0,"—",calculos_quadro!$S$47)</f>
        <v/>
      </c>
      <c r="U23" s="333"/>
      <c r="V23" s="333"/>
      <c r="W23" s="336" t="str">
        <f>IF(calculos_quadro!$B$310=0,"—",calculos_quadro!$S$49)</f>
        <v/>
      </c>
      <c r="X23" s="335"/>
      <c r="Y23" s="338" t="str">
        <f>IF(calculos_quadro!$B$310=0,"—",calculos_quadro!$S$50)</f>
        <v/>
      </c>
      <c r="Z23" s="339"/>
    </row>
    <row r="24" ht="16" customHeight="1">
      <c r="B24" s="472"/>
      <c r="C24" s="158"/>
      <c r="D24" s="341" t="inlineStr">
        <is>
          <t xml:space="preserve">Toneladas Movimentadas</t>
        </is>
      </c>
      <c r="E24" s="340"/>
      <c r="F24" s="340"/>
      <c r="G24" s="340"/>
      <c r="H24" s="343" t="str">
        <f>IF(calculos_quadro!$B$311=0,"—",calculos_quadro!$T$48)</f>
        <v/>
      </c>
      <c r="I24" s="342"/>
      <c r="J24" s="345">
        <f>IF(calculos_quadro!$B$311=0,"—",calculos_quadro!$T$43)</f>
        <v>0</v>
      </c>
      <c r="K24" s="344"/>
      <c r="L24" s="344"/>
      <c r="M24" s="347" t="str">
        <f>IF(calculos_quadro!$B$311=0,"—",calculos_quadro!$T$44)</f>
        <v/>
      </c>
      <c r="N24" s="346"/>
      <c r="O24" s="347">
        <f>IF(calculos_quadro!$B$311=0,"—",calculos_quadro!$T$45)</f>
        <v>0</v>
      </c>
      <c r="P24" s="346"/>
      <c r="Q24" s="346"/>
      <c r="R24" s="347" t="str">
        <f>IF(calculos_quadro!$B$311=0,"—",calculos_quadro!$T$46)</f>
        <v/>
      </c>
      <c r="S24" s="346"/>
      <c r="T24" s="349" t="str">
        <f>IF(calculos_quadro!$B$311=0,"—",calculos_quadro!$T$47)</f>
        <v/>
      </c>
      <c r="U24" s="348"/>
      <c r="V24" s="348"/>
      <c r="W24" s="351" t="str">
        <f>IF(calculos_quadro!$B$311=0,"—",calculos_quadro!$T$49)</f>
        <v/>
      </c>
      <c r="X24" s="350"/>
      <c r="Y24" s="353" t="str">
        <f>IF(calculos_quadro!$B$311=0,"—",calculos_quadro!$T$50)</f>
        <v/>
      </c>
      <c r="Z24" s="354"/>
    </row>
    <row r="25" ht="16" customHeight="1">
      <c r="B25" s="473" t="inlineStr">
        <is>
          <t xml:space="preserve">NC</t>
        </is>
      </c>
      <c r="C25" s="164"/>
      <c r="D25" s="356" t="inlineStr">
        <is>
          <t xml:space="preserve">Incidentes</t>
        </is>
      </c>
      <c r="E25" s="355"/>
      <c r="F25" s="355"/>
      <c r="G25" s="355"/>
      <c r="H25" s="358" t="str">
        <f>IF(calculos_quadro!$B$312=0,"—",calculos_quadro!$U$48)</f>
        <v/>
      </c>
      <c r="I25" s="357"/>
      <c r="J25" s="360">
        <f>IF(calculos_quadro!$B$312=0,"—",calculos_quadro!$U$43)</f>
        <v>0</v>
      </c>
      <c r="K25" s="359"/>
      <c r="L25" s="359"/>
      <c r="M25" s="362" t="str">
        <f>IF(calculos_quadro!$B$312=0,"—",calculos_quadro!$U$44)</f>
        <v/>
      </c>
      <c r="N25" s="361"/>
      <c r="O25" s="364">
        <f>IF(calculos_quadro!$B$312=0,"—",calculos_quadro!$U$45)</f>
        <v>0</v>
      </c>
      <c r="P25" s="363"/>
      <c r="Q25" s="363"/>
      <c r="R25" s="364" t="str">
        <f>IF(calculos_quadro!$B$312=0,"—",calculos_quadro!$U$46)</f>
        <v/>
      </c>
      <c r="S25" s="363"/>
      <c r="T25" s="366" t="str">
        <f>IF(calculos_quadro!$B$312=0,"—",calculos_quadro!$U$47)</f>
        <v/>
      </c>
      <c r="U25" s="365"/>
      <c r="V25" s="365"/>
      <c r="W25" s="368" t="str">
        <f>IF(calculos_quadro!$B$312=0,"—",calculos_quadro!$U$49)</f>
        <v/>
      </c>
      <c r="X25" s="367"/>
      <c r="Y25" s="370" t="str">
        <f>IF(calculos_quadro!$B$312=0,"—",calculos_quadro!$U$50)</f>
        <v/>
      </c>
      <c r="Z25" s="371"/>
    </row>
    <row r="26" ht="16" customHeight="1">
      <c r="B26" s="474"/>
      <c r="C26" s="171"/>
      <c r="D26" s="373" t="inlineStr">
        <is>
          <t xml:space="preserve">No show</t>
        </is>
      </c>
      <c r="E26" s="372"/>
      <c r="F26" s="372"/>
      <c r="G26" s="372"/>
      <c r="H26" s="375" t="str">
        <f>IF(calculos_quadro!$B$313=0,"—",calculos_quadro!$V$48)</f>
        <v/>
      </c>
      <c r="I26" s="374"/>
      <c r="J26" s="377">
        <f>IF(calculos_quadro!$B$313=0,"—",calculos_quadro!$V$43)</f>
        <v>0</v>
      </c>
      <c r="K26" s="376"/>
      <c r="L26" s="376"/>
      <c r="M26" s="379" t="str">
        <f>IF(calculos_quadro!$B$313=0,"—",calculos_quadro!$V$44)</f>
        <v/>
      </c>
      <c r="N26" s="378"/>
      <c r="O26" s="381">
        <f>IF(calculos_quadro!$B$313=0,"—",calculos_quadro!$V$45)</f>
        <v>0</v>
      </c>
      <c r="P26" s="380"/>
      <c r="Q26" s="380"/>
      <c r="R26" s="381" t="str">
        <f>IF(calculos_quadro!$B$313=0,"—",calculos_quadro!$V$46)</f>
        <v/>
      </c>
      <c r="S26" s="380"/>
      <c r="T26" s="383" t="str">
        <f>IF(calculos_quadro!$B$313=0,"—",calculos_quadro!$V$47)</f>
        <v/>
      </c>
      <c r="U26" s="382"/>
      <c r="V26" s="382"/>
      <c r="W26" s="385" t="str">
        <f>IF(calculos_quadro!$B$313=0,"—",calculos_quadro!$V$49)</f>
        <v/>
      </c>
      <c r="X26" s="384"/>
      <c r="Y26" s="387" t="str">
        <f>IF(calculos_quadro!$B$313=0,"—",calculos_quadro!$V$50)</f>
        <v/>
      </c>
      <c r="Z26" s="388"/>
    </row>
    <row r="27" ht="16" customHeight="1">
      <c r="B27" s="475"/>
      <c r="C27" s="178"/>
      <c r="D27" s="390" t="inlineStr">
        <is>
          <t xml:space="preserve">Backlog</t>
        </is>
      </c>
      <c r="E27" s="389"/>
      <c r="F27" s="389"/>
      <c r="G27" s="389"/>
      <c r="H27" s="392" t="str">
        <f>IF(calculos_quadro!$B$314=0,"—",calculos_quadro!$W$48)</f>
        <v/>
      </c>
      <c r="I27" s="391"/>
      <c r="J27" s="394" t="str">
        <f>IF(calculos_quadro!$B$314=0,"—",calculos_quadro!$W$43)</f>
        <v/>
      </c>
      <c r="K27" s="393"/>
      <c r="L27" s="393"/>
      <c r="M27" s="396" t="str">
        <f>IF(calculos_quadro!$B$314=0,"—",calculos_quadro!$W$44)</f>
        <v/>
      </c>
      <c r="N27" s="395"/>
      <c r="O27" s="398" t="str">
        <f>IF(calculos_quadro!$B$314=0,"—",calculos_quadro!$W$45)</f>
        <v/>
      </c>
      <c r="P27" s="397"/>
      <c r="Q27" s="397"/>
      <c r="R27" s="398" t="str">
        <f>IF(calculos_quadro!$B$314=0,"—",calculos_quadro!$W$46)</f>
        <v/>
      </c>
      <c r="S27" s="397"/>
      <c r="T27" s="400" t="str">
        <f>IF(calculos_quadro!$B$314=0,"—",calculos_quadro!$W$47)</f>
        <v/>
      </c>
      <c r="U27" s="399"/>
      <c r="V27" s="399"/>
      <c r="W27" s="402" t="str">
        <f>IF(calculos_quadro!$B$314=0,"—",calculos_quadro!$W$49)</f>
        <v/>
      </c>
      <c r="X27" s="401"/>
      <c r="Y27" s="404" t="str">
        <f>IF(calculos_quadro!$B$314=0,"—",calculos_quadro!$W$50)</f>
        <v/>
      </c>
      <c r="Z27" s="405"/>
    </row>
    <row r="28" ht="16" customHeight="1">
      <c r="B28" s="467" t="inlineStr">
        <is>
          <t xml:space="preserve">OCUPAÇÃO (P.P)</t>
        </is>
      </c>
      <c r="C28" s="138"/>
      <c r="D28" s="254" t="inlineStr">
        <is>
          <t xml:space="preserve">Posições Disponíveis</t>
        </is>
      </c>
      <c r="E28" s="253"/>
      <c r="F28" s="253"/>
      <c r="G28" s="253"/>
      <c r="H28" s="256" t="str">
        <f>IF(calculos_quadro!$B$315=0,"—",calculos_quadro!$X$48)</f>
        <v/>
      </c>
      <c r="I28" s="255"/>
      <c r="J28" s="407" t="str">
        <f>IF(calculos_quadro!$B$315=0,"—",calculos_quadro!$X$43)</f>
        <v/>
      </c>
      <c r="K28" s="406"/>
      <c r="L28" s="406"/>
      <c r="M28" s="260"/>
      <c r="N28" s="259"/>
      <c r="O28" s="409" t="str">
        <f>IF(calculos_quadro!$B$315=0,"—",calculos_quadro!$X$45)</f>
        <v/>
      </c>
      <c r="P28" s="408"/>
      <c r="Q28" s="408"/>
      <c r="R28" s="409" t="str">
        <f>IF(calculos_quadro!$B$315=0,"—",calculos_quadro!$X$46)</f>
        <v/>
      </c>
      <c r="S28" s="408"/>
      <c r="T28" s="264" t="str">
        <f>IF(calculos_quadro!$B$315=0,"—",calculos_quadro!$X$47)</f>
        <v/>
      </c>
      <c r="U28" s="263"/>
      <c r="V28" s="263"/>
      <c r="W28" s="266" t="str">
        <f>IF(calculos_quadro!$B$315=0,"—",calculos_quadro!$X$49)</f>
        <v/>
      </c>
      <c r="X28" s="265"/>
      <c r="Y28" s="268" t="str">
        <f>IF(calculos_quadro!$B$315=0,"—",calculos_quadro!$X$50)</f>
        <v/>
      </c>
      <c r="Z28" s="269"/>
    </row>
    <row r="29" ht="16" customHeight="1">
      <c r="B29" s="468"/>
      <c r="C29" s="184"/>
      <c r="D29" s="271" t="inlineStr">
        <is>
          <t xml:space="preserve">Posições Ocupadas</t>
        </is>
      </c>
      <c r="E29" s="270"/>
      <c r="F29" s="270"/>
      <c r="G29" s="270"/>
      <c r="H29" s="273" t="str">
        <f>IF(calculos_quadro!$B$316=0,"—",calculos_quadro!$Y$48)</f>
        <v/>
      </c>
      <c r="I29" s="272"/>
      <c r="J29" s="275" t="str">
        <f>IF(calculos_quadro!$B$316=0,"—",calculos_quadro!$Y$43)</f>
        <v/>
      </c>
      <c r="K29" s="274"/>
      <c r="L29" s="274"/>
      <c r="M29" s="277" t="str">
        <f>IF(calculos_quadro!$B$316=0,"—",calculos_quadro!$Y$44)</f>
        <v/>
      </c>
      <c r="N29" s="276"/>
      <c r="O29" s="279" t="str">
        <f>IF(calculos_quadro!$B$316=0,"—",calculos_quadro!$Y$45)</f>
        <v/>
      </c>
      <c r="P29" s="278"/>
      <c r="Q29" s="278"/>
      <c r="R29" s="279" t="str">
        <f>IF(calculos_quadro!$B$316=0,"—",calculos_quadro!$Y$46)</f>
        <v/>
      </c>
      <c r="S29" s="278"/>
      <c r="T29" s="281" t="str">
        <f>IF(calculos_quadro!$B$316=0,"—",calculos_quadro!$Y$47)</f>
        <v/>
      </c>
      <c r="U29" s="280"/>
      <c r="V29" s="280"/>
      <c r="W29" s="283" t="str">
        <f>IF(calculos_quadro!$B$316=0,"—",calculos_quadro!$Y$49)</f>
        <v/>
      </c>
      <c r="X29" s="282"/>
      <c r="Y29" s="285" t="str">
        <f>IF(calculos_quadro!$B$316=0,"—",calculos_quadro!$Y$50)</f>
        <v/>
      </c>
      <c r="Z29" s="286"/>
    </row>
    <row r="30" ht="16" customHeight="1">
      <c r="B30" s="469"/>
      <c r="C30" s="145"/>
      <c r="D30" s="290" t="inlineStr">
        <is>
          <t xml:space="preserve">Taxa de Ocupação</t>
        </is>
      </c>
      <c r="E30" s="289"/>
      <c r="F30" s="289"/>
      <c r="G30" s="289"/>
      <c r="H30" s="411" t="str">
        <f>IF(calculos_quadro!$B$317=0,"—",calculos_quadro!$Z$48)</f>
        <v/>
      </c>
      <c r="I30" s="410"/>
      <c r="J30" s="413" t="str">
        <f>IF(calculos_quadro!$B$317=0,"—",calculos_quadro!$Z$43)</f>
        <v/>
      </c>
      <c r="K30" s="412"/>
      <c r="L30" s="412"/>
      <c r="M30" s="415" t="str">
        <f>IF(calculos_quadro!$B$317=0,"—",calculos_quadro!$Z$44)</f>
        <v/>
      </c>
      <c r="N30" s="414"/>
      <c r="O30" s="415" t="str">
        <f>IF(calculos_quadro!$B$317=0,"—",calculos_quadro!$Z$45)</f>
        <v/>
      </c>
      <c r="P30" s="414"/>
      <c r="Q30" s="414"/>
      <c r="R30" s="415" t="str">
        <f>IF(calculos_quadro!$B$317=0,"—",calculos_quadro!$Z$46)</f>
        <v/>
      </c>
      <c r="S30" s="414"/>
      <c r="T30" s="300" t="str">
        <f>IF(calculos_quadro!$B$317=0,"—",calculos_quadro!$Z$47)</f>
        <v/>
      </c>
      <c r="U30" s="299"/>
      <c r="V30" s="299"/>
      <c r="W30" s="302" t="str">
        <f>IF(calculos_quadro!$B$317=0,"—",calculos_quadro!$Z$49)</f>
        <v/>
      </c>
      <c r="X30" s="301"/>
      <c r="Y30" s="304" t="str">
        <f>IF(calculos_quadro!$B$317=0,"—",calculos_quadro!$Z$50)</f>
        <v/>
      </c>
      <c r="Z30" s="305"/>
    </row>
    <row r="31" ht="16" customHeight="1">
      <c r="B31" s="476" t="inlineStr">
        <is>
          <t xml:space="preserve">GENTE</t>
        </is>
      </c>
      <c r="C31" s="195"/>
      <c r="D31" s="417" t="inlineStr">
        <is>
          <t xml:space="preserve">Efetivo Op.</t>
        </is>
      </c>
      <c r="E31" s="416"/>
      <c r="F31" s="416"/>
      <c r="G31" s="416"/>
      <c r="H31" s="419" t="str">
        <f>IF(calculos_quadro!$B$318=0,"—",calculos_quadro!$AA$48)</f>
        <v/>
      </c>
      <c r="I31" s="418"/>
      <c r="J31" s="421" t="str">
        <f>IF(calculos_quadro!$B$318=0,"—",calculos_quadro!$AA$43)</f>
        <v/>
      </c>
      <c r="K31" s="420"/>
      <c r="L31" s="420"/>
      <c r="M31" s="423" t="str">
        <f>IF(calculos_quadro!$B$318=0,"—",calculos_quadro!$AA$44)</f>
        <v/>
      </c>
      <c r="N31" s="422"/>
      <c r="O31" s="425" t="str">
        <f>IF(calculos_quadro!$B$318=0,"—",calculos_quadro!$AA$45)</f>
        <v/>
      </c>
      <c r="P31" s="424"/>
      <c r="Q31" s="424"/>
      <c r="R31" s="425" t="str">
        <f>IF(calculos_quadro!$B$318=0,"—",calculos_quadro!$AA$46)</f>
        <v/>
      </c>
      <c r="S31" s="424"/>
      <c r="T31" s="427" t="str">
        <f>IF(calculos_quadro!$B$318=0,"—",calculos_quadro!$AA$47)</f>
        <v/>
      </c>
      <c r="U31" s="426"/>
      <c r="V31" s="426"/>
      <c r="W31" s="429" t="str">
        <f>IF(calculos_quadro!$B$318=0,"—",calculos_quadro!$AA$49)</f>
        <v/>
      </c>
      <c r="X31" s="428"/>
      <c r="Y31" s="431" t="str">
        <f>IF(calculos_quadro!$B$318=0,"—",calculos_quadro!$AA$50)</f>
        <v/>
      </c>
      <c r="Z31" s="432"/>
    </row>
    <row r="32" ht="16" customHeight="1">
      <c r="B32" s="477"/>
      <c r="C32" s="202"/>
      <c r="D32" s="434" t="inlineStr">
        <is>
          <t xml:space="preserve">Falta</t>
        </is>
      </c>
      <c r="E32" s="433"/>
      <c r="F32" s="433"/>
      <c r="G32" s="433"/>
      <c r="H32" s="436" t="str">
        <f>IF(calculos_quadro!$B$319=0,"—",calculos_quadro!$AB$48)</f>
        <v/>
      </c>
      <c r="I32" s="435"/>
      <c r="J32" s="438">
        <f>IF(calculos_quadro!$B$319=0,"—",calculos_quadro!$AB$43)</f>
        <v>0</v>
      </c>
      <c r="K32" s="437"/>
      <c r="L32" s="437"/>
      <c r="M32" s="440" t="str">
        <f>IF(calculos_quadro!$B$319=0,"—",calculos_quadro!$AB$44)</f>
        <v/>
      </c>
      <c r="N32" s="439"/>
      <c r="O32" s="442">
        <f>IF(calculos_quadro!$B$319=0,"—",calculos_quadro!$AB$45)</f>
        <v>0</v>
      </c>
      <c r="P32" s="441"/>
      <c r="Q32" s="441"/>
      <c r="R32" s="442" t="str">
        <f>IF(calculos_quadro!$B$319=0,"—",calculos_quadro!$AB$46)</f>
        <v/>
      </c>
      <c r="S32" s="441"/>
      <c r="T32" s="444" t="str">
        <f>IF(calculos_quadro!$B$319=0,"—",calculos_quadro!$AB$47)</f>
        <v/>
      </c>
      <c r="U32" s="443"/>
      <c r="V32" s="443"/>
      <c r="W32" s="446" t="str">
        <f>IF(calculos_quadro!$B$319=0,"—",calculos_quadro!$AB$49)</f>
        <v/>
      </c>
      <c r="X32" s="445"/>
      <c r="Y32" s="448" t="str">
        <f>IF(calculos_quadro!$B$319=0,"—",calculos_quadro!$AB$50)</f>
        <v/>
      </c>
      <c r="Z32" s="449"/>
    </row>
    <row r="33" ht="16" customHeight="1">
      <c r="B33" s="477"/>
      <c r="C33" s="202"/>
      <c r="D33" s="434" t="inlineStr">
        <is>
          <t xml:space="preserve">Folga</t>
        </is>
      </c>
      <c r="E33" s="433"/>
      <c r="F33" s="433"/>
      <c r="G33" s="433"/>
      <c r="H33" s="436" t="str">
        <f>IF(calculos_quadro!$B$320=0,"—",calculos_quadro!$AC$48)</f>
        <v/>
      </c>
      <c r="I33" s="435"/>
      <c r="J33" s="438">
        <f>IF(calculos_quadro!$B$320=0,"—",calculos_quadro!$AC$43)</f>
        <v>0</v>
      </c>
      <c r="K33" s="437"/>
      <c r="L33" s="437"/>
      <c r="M33" s="440" t="str">
        <f>IF(calculos_quadro!$B$320=0,"—",calculos_quadro!$AC$44)</f>
        <v/>
      </c>
      <c r="N33" s="439"/>
      <c r="O33" s="442">
        <f>IF(calculos_quadro!$B$320=0,"—",calculos_quadro!$AC$45)</f>
        <v>0</v>
      </c>
      <c r="P33" s="441"/>
      <c r="Q33" s="441"/>
      <c r="R33" s="442" t="str">
        <f>IF(calculos_quadro!$B$320=0,"—",calculos_quadro!$AC$46)</f>
        <v/>
      </c>
      <c r="S33" s="441"/>
      <c r="T33" s="444" t="str">
        <f>IF(calculos_quadro!$B$320=0,"—",calculos_quadro!$AC$47)</f>
        <v/>
      </c>
      <c r="U33" s="443"/>
      <c r="V33" s="443"/>
      <c r="W33" s="446" t="str">
        <f>IF(calculos_quadro!$B$320=0,"—",calculos_quadro!$AC$49)</f>
        <v/>
      </c>
      <c r="X33" s="445"/>
      <c r="Y33" s="448" t="str">
        <f>IF(calculos_quadro!$B$320=0,"—",calculos_quadro!$AC$50)</f>
        <v/>
      </c>
      <c r="Z33" s="449"/>
    </row>
    <row r="34" ht="16" customHeight="1">
      <c r="B34" s="477"/>
      <c r="C34" s="202"/>
      <c r="D34" s="434" t="inlineStr">
        <is>
          <t xml:space="preserve">Férias</t>
        </is>
      </c>
      <c r="E34" s="433"/>
      <c r="F34" s="433"/>
      <c r="G34" s="433"/>
      <c r="H34" s="436" t="str">
        <f>IF(calculos_quadro!$B$321=0,"—",calculos_quadro!$AD$48)</f>
        <v/>
      </c>
      <c r="I34" s="435"/>
      <c r="J34" s="438">
        <f>IF(calculos_quadro!$B$321=0,"—",calculos_quadro!$AD$43)</f>
        <v>0</v>
      </c>
      <c r="K34" s="437"/>
      <c r="L34" s="437"/>
      <c r="M34" s="440" t="str">
        <f>IF(calculos_quadro!$B$321=0,"—",calculos_quadro!$AD$44)</f>
        <v/>
      </c>
      <c r="N34" s="439"/>
      <c r="O34" s="442">
        <f>IF(calculos_quadro!$B$321=0,"—",calculos_quadro!$AD$45)</f>
        <v>0</v>
      </c>
      <c r="P34" s="441"/>
      <c r="Q34" s="441"/>
      <c r="R34" s="442" t="str">
        <f>IF(calculos_quadro!$B$321=0,"—",calculos_quadro!$AD$46)</f>
        <v/>
      </c>
      <c r="S34" s="441"/>
      <c r="T34" s="444" t="str">
        <f>IF(calculos_quadro!$B$321=0,"—",calculos_quadro!$AD$47)</f>
        <v/>
      </c>
      <c r="U34" s="443"/>
      <c r="V34" s="443"/>
      <c r="W34" s="446" t="str">
        <f>IF(calculos_quadro!$B$321=0,"—",calculos_quadro!$AD$49)</f>
        <v/>
      </c>
      <c r="X34" s="445"/>
      <c r="Y34" s="448" t="str">
        <f>IF(calculos_quadro!$B$321=0,"—",calculos_quadro!$AD$50)</f>
        <v/>
      </c>
      <c r="Z34" s="449"/>
    </row>
    <row r="35" ht="16" customHeight="1">
      <c r="B35" s="477"/>
      <c r="C35" s="202"/>
      <c r="D35" s="434" t="inlineStr">
        <is>
          <t xml:space="preserve">Desligamento</t>
        </is>
      </c>
      <c r="E35" s="433"/>
      <c r="F35" s="433"/>
      <c r="G35" s="433"/>
      <c r="H35" s="436" t="str">
        <f>IF(calculos_quadro!$B$322=0,"—",calculos_quadro!$AE$48)</f>
        <v/>
      </c>
      <c r="I35" s="435"/>
      <c r="J35" s="438">
        <f>IF(calculos_quadro!$B$322=0,"—",calculos_quadro!$AE$43)</f>
        <v>0</v>
      </c>
      <c r="K35" s="437"/>
      <c r="L35" s="437"/>
      <c r="M35" s="440" t="str">
        <f>IF(calculos_quadro!$B$322=0,"—",calculos_quadro!$AE$44)</f>
        <v/>
      </c>
      <c r="N35" s="439"/>
      <c r="O35" s="442">
        <f>IF(calculos_quadro!$B$322=0,"—",calculos_quadro!$AE$45)</f>
        <v>0</v>
      </c>
      <c r="P35" s="441"/>
      <c r="Q35" s="441"/>
      <c r="R35" s="442" t="str">
        <f>IF(calculos_quadro!$B$322=0,"—",calculos_quadro!$AE$46)</f>
        <v/>
      </c>
      <c r="S35" s="441"/>
      <c r="T35" s="444" t="str">
        <f>IF(calculos_quadro!$B$322=0,"—",calculos_quadro!$AE$47)</f>
        <v/>
      </c>
      <c r="U35" s="443"/>
      <c r="V35" s="443"/>
      <c r="W35" s="446" t="str">
        <f>IF(calculos_quadro!$B$322=0,"—",calculos_quadro!$AE$49)</f>
        <v/>
      </c>
      <c r="X35" s="445"/>
      <c r="Y35" s="448" t="str">
        <f>IF(calculos_quadro!$B$322=0,"—",calculos_quadro!$AE$50)</f>
        <v/>
      </c>
      <c r="Z35" s="449"/>
    </row>
    <row r="36" ht="16" customHeight="1">
      <c r="B36" s="477"/>
      <c r="C36" s="202"/>
      <c r="D36" s="434" t="inlineStr">
        <is>
          <t xml:space="preserve">Desvios Comportamentais</t>
        </is>
      </c>
      <c r="E36" s="433"/>
      <c r="F36" s="433"/>
      <c r="G36" s="433"/>
      <c r="H36" s="436" t="str">
        <f>IF(calculos_quadro!$B$323=0,"—",calculos_quadro!$AF$48)</f>
        <v/>
      </c>
      <c r="I36" s="435"/>
      <c r="J36" s="438">
        <f>IF(calculos_quadro!$B$323=0,"—",calculos_quadro!$AF$43)</f>
        <v>0</v>
      </c>
      <c r="K36" s="437"/>
      <c r="L36" s="437"/>
      <c r="M36" s="440" t="str">
        <f>IF(calculos_quadro!$B$323=0,"—",calculos_quadro!$AF$44)</f>
        <v/>
      </c>
      <c r="N36" s="439"/>
      <c r="O36" s="442">
        <f>IF(calculos_quadro!$B$323=0,"—",calculos_quadro!$AF$45)</f>
        <v>0</v>
      </c>
      <c r="P36" s="441"/>
      <c r="Q36" s="441"/>
      <c r="R36" s="442" t="str">
        <f>IF(calculos_quadro!$B$323=0,"—",calculos_quadro!$AF$46)</f>
        <v/>
      </c>
      <c r="S36" s="441"/>
      <c r="T36" s="444" t="str">
        <f>IF(calculos_quadro!$B$323=0,"—",calculos_quadro!$AF$47)</f>
        <v/>
      </c>
      <c r="U36" s="443"/>
      <c r="V36" s="443"/>
      <c r="W36" s="446" t="str">
        <f>IF(calculos_quadro!$B$323=0,"—",calculos_quadro!$AF$49)</f>
        <v/>
      </c>
      <c r="X36" s="445"/>
      <c r="Y36" s="448" t="str">
        <f>IF(calculos_quadro!$B$323=0,"—",calculos_quadro!$AF$50)</f>
        <v/>
      </c>
      <c r="Z36" s="449"/>
    </row>
    <row r="37" ht="16" customHeight="1">
      <c r="B37" s="477"/>
      <c r="C37" s="202"/>
      <c r="D37" s="434" t="inlineStr">
        <is>
          <t xml:space="preserve">Acidentes CAF</t>
        </is>
      </c>
      <c r="E37" s="433"/>
      <c r="F37" s="433"/>
      <c r="G37" s="433"/>
      <c r="H37" s="436" t="str">
        <f>IF(calculos_quadro!$B$324=0,"—",calculos_quadro!$AG$48)</f>
        <v/>
      </c>
      <c r="I37" s="435"/>
      <c r="J37" s="438">
        <f>IF(calculos_quadro!$B$324=0,"—",calculos_quadro!$AG$43)</f>
        <v>0</v>
      </c>
      <c r="K37" s="437"/>
      <c r="L37" s="437"/>
      <c r="M37" s="440" t="str">
        <f>IF(calculos_quadro!$B$324=0,"—",calculos_quadro!$AG$44)</f>
        <v/>
      </c>
      <c r="N37" s="439"/>
      <c r="O37" s="442">
        <f>IF(calculos_quadro!$B$324=0,"—",calculos_quadro!$AG$45)</f>
        <v>0</v>
      </c>
      <c r="P37" s="441"/>
      <c r="Q37" s="441"/>
      <c r="R37" s="442" t="str">
        <f>IF(calculos_quadro!$B$324=0,"—",calculos_quadro!$AG$46)</f>
        <v/>
      </c>
      <c r="S37" s="441"/>
      <c r="T37" s="444" t="str">
        <f>IF(calculos_quadro!$B$324=0,"—",calculos_quadro!$AG$47)</f>
        <v/>
      </c>
      <c r="U37" s="443"/>
      <c r="V37" s="443"/>
      <c r="W37" s="446" t="str">
        <f>IF(calculos_quadro!$B$324=0,"—",calculos_quadro!$AG$49)</f>
        <v/>
      </c>
      <c r="X37" s="445"/>
      <c r="Y37" s="448" t="str">
        <f>IF(calculos_quadro!$B$324=0,"—",calculos_quadro!$AG$50)</f>
        <v/>
      </c>
      <c r="Z37" s="449"/>
    </row>
    <row r="38" ht="16" customHeight="1">
      <c r="B38" s="478"/>
      <c r="C38" s="209"/>
      <c r="D38" s="451" t="inlineStr">
        <is>
          <t xml:space="preserve">Acidentes SAF</t>
        </is>
      </c>
      <c r="E38" s="450"/>
      <c r="F38" s="450"/>
      <c r="G38" s="450"/>
      <c r="H38" s="453" t="str">
        <f>IF(calculos_quadro!$B$325=0,"—",calculos_quadro!$AH$48)</f>
        <v/>
      </c>
      <c r="I38" s="452"/>
      <c r="J38" s="455">
        <f>IF(calculos_quadro!$B$325=0,"—",calculos_quadro!$AH$43)</f>
        <v>0</v>
      </c>
      <c r="K38" s="454"/>
      <c r="L38" s="454"/>
      <c r="M38" s="457" t="str">
        <f>IF(calculos_quadro!$B$325=0,"—",calculos_quadro!$AH$44)</f>
        <v/>
      </c>
      <c r="N38" s="456"/>
      <c r="O38" s="459">
        <f>IF(calculos_quadro!$B$325=0,"—",calculos_quadro!$AH$45)</f>
        <v>0</v>
      </c>
      <c r="P38" s="458"/>
      <c r="Q38" s="458"/>
      <c r="R38" s="459" t="str">
        <f>IF(calculos_quadro!$B$325=0,"—",calculos_quadro!$AH$46)</f>
        <v/>
      </c>
      <c r="S38" s="458"/>
      <c r="T38" s="461" t="str">
        <f>IF(calculos_quadro!$B$325=0,"—",calculos_quadro!$AH$47)</f>
        <v/>
      </c>
      <c r="U38" s="460"/>
      <c r="V38" s="460"/>
      <c r="W38" s="463" t="str">
        <f>IF(calculos_quadro!$B$325=0,"—",calculos_quadro!$AH$49)</f>
        <v/>
      </c>
      <c r="X38" s="462"/>
      <c r="Y38" s="465" t="str">
        <f>IF(calculos_quadro!$B$325=0,"—",calculos_quadro!$AH$50)</f>
        <v/>
      </c>
      <c r="Z38" s="466"/>
    </row>
    <row r="39">
      <c r="B39" s="31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41" ht="20" customHeight="1">
      <c r="B41" s="246" t="inlineStr">
        <is>
          <t xml:space="preserve">RESUMO POR CLIENTE · mês inteiro · segue o filtro desta aba</t>
        </is>
      </c>
      <c r="C41" s="246"/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</row>
    <row r="42" ht="30" customHeight="1">
      <c r="B42" s="479" t="inlineStr">
        <is>
          <t xml:space="preserve">GRUPO</t>
        </is>
      </c>
      <c r="C42" s="480"/>
      <c r="D42" s="479" t="inlineStr">
        <is>
          <t xml:space="preserve">INDICADOR</t>
        </is>
      </c>
      <c r="E42" s="481"/>
      <c r="F42" s="481"/>
      <c r="G42" s="480"/>
      <c r="H42" s="482" t="str">
        <f>calculos_quadro!$G$282&amp;""</f>
        <v>Alpargatas</v>
      </c>
      <c r="I42" s="482" t="str">
        <f>calculos_quadro!$G$283&amp;""</f>
        <v>Basf</v>
      </c>
      <c r="J42" s="483" t="str">
        <f>calculos_quadro!$G$284&amp;""</f>
        <v>Beautybiz</v>
      </c>
      <c r="K42" s="484"/>
      <c r="L42" s="482" t="str">
        <f>calculos_quadro!$G$285&amp;""</f>
        <v>Boticário</v>
      </c>
      <c r="M42" s="482" t="str">
        <f>calculos_quadro!$G$286&amp;""</f>
        <v>GE Vernova</v>
      </c>
      <c r="N42" s="482" t="str">
        <f>calculos_quadro!$G$287&amp;""</f>
        <v>Omnilife</v>
      </c>
      <c r="O42" s="483" t="str">
        <f>calculos_quadro!$G$288&amp;""</f>
        <v>Supply</v>
      </c>
      <c r="P42" s="484"/>
      <c r="Q42" s="482" t="str">
        <f>calculos_quadro!$G$289&amp;""</f>
        <v>Vedacit</v>
      </c>
      <c r="R42" s="482" t="str">
        <f>calculos_quadro!$G$290&amp;""</f>
        <v>Vestas</v>
      </c>
      <c r="S42" s="485" t="str">
        <f>IF(calculos_quadro!$B$2="Todos","TOTAL CD","TOTAL "&amp;UPPER(calculos_quadro!$B$2))</f>
        <v>TOTAL CD</v>
      </c>
    </row>
    <row r="43" ht="15.75" customHeight="1">
      <c r="B43" s="467" t="inlineStr">
        <is>
          <t xml:space="preserve">IN</t>
        </is>
      </c>
      <c r="C43" s="138"/>
      <c r="D43" s="254" t="inlineStr">
        <is>
          <t xml:space="preserve">Veículos Recebidos</t>
        </is>
      </c>
      <c r="E43" s="253"/>
      <c r="F43" s="253"/>
      <c r="G43" s="253"/>
      <c r="H43" s="262">
        <f>IF(calculos_quadro!$G$282="","",IFERROR(INDEX(calculos_quadro!$B$102:$J$102,MATCH(calculos_quadro!$G$282,calculos_quadro!$B$101:$J$101,0)),""))</f>
        <v>0</v>
      </c>
      <c r="I43" s="262">
        <f>IF(calculos_quadro!$G$283="","",IFERROR(INDEX(calculos_quadro!$B$102:$J$102,MATCH(calculos_quadro!$G$283,calculos_quadro!$B$101:$J$101,0)),""))</f>
        <v>0</v>
      </c>
      <c r="J43" s="262">
        <f>IF(calculos_quadro!$G$284="","",IFERROR(INDEX(calculos_quadro!$B$102:$J$102,MATCH(calculos_quadro!$G$284,calculos_quadro!$B$101:$J$101,0)),""))</f>
        <v>0</v>
      </c>
      <c r="K43" s="261"/>
      <c r="L43" s="262">
        <f>IF(calculos_quadro!$G$285="","",IFERROR(INDEX(calculos_quadro!$B$102:$J$102,MATCH(calculos_quadro!$G$285,calculos_quadro!$B$101:$J$101,0)),""))</f>
        <v>0</v>
      </c>
      <c r="M43" s="262">
        <f>IF(calculos_quadro!$G$286="","",IFERROR(INDEX(calculos_quadro!$B$102:$J$102,MATCH(calculos_quadro!$G$286,calculos_quadro!$B$101:$J$101,0)),""))</f>
        <v>0</v>
      </c>
      <c r="N43" s="262">
        <f>IF(calculos_quadro!$G$287="","",IFERROR(INDEX(calculos_quadro!$B$102:$J$102,MATCH(calculos_quadro!$G$287,calculos_quadro!$B$101:$J$101,0)),""))</f>
        <v>0</v>
      </c>
      <c r="O43" s="262">
        <f>IF(calculos_quadro!$G$288="","",IFERROR(INDEX(calculos_quadro!$B$102:$J$102,MATCH(calculos_quadro!$G$288,calculos_quadro!$B$101:$J$101,0)),""))</f>
        <v>0</v>
      </c>
      <c r="P43" s="261"/>
      <c r="Q43" s="262">
        <f>IF(calculos_quadro!$G$289="","",IFERROR(INDEX(calculos_quadro!$B$102:$J$102,MATCH(calculos_quadro!$G$289,calculos_quadro!$B$101:$J$101,0)),""))</f>
        <v>0</v>
      </c>
      <c r="R43" s="262">
        <f>IF(calculos_quadro!$G$290="","",IFERROR(INDEX(calculos_quadro!$B$102:$J$102,MATCH(calculos_quadro!$G$290,calculos_quadro!$B$101:$J$101,0)),""))</f>
        <v>0</v>
      </c>
      <c r="S43" s="486">
        <f>IF(calculos_quadro!$B$2="Todos",calculos_quadro!K102,SUM(H43:R43))</f>
        <v>0</v>
      </c>
    </row>
    <row r="44" ht="15.75" customHeight="1">
      <c r="B44" s="468"/>
      <c r="C44" s="184"/>
      <c r="D44" s="271" t="inlineStr">
        <is>
          <t xml:space="preserve">Pallets Movimentados</t>
        </is>
      </c>
      <c r="E44" s="270"/>
      <c r="F44" s="270"/>
      <c r="G44" s="270"/>
      <c r="H44" s="279" t="str">
        <f>IF(calculos_quadro!$G$282="","",IFERROR(INDEX(calculos_quadro!$B$103:$J$103,MATCH(calculos_quadro!$G$282,calculos_quadro!$B$101:$J$101,0)),""))</f>
        <v>—</v>
      </c>
      <c r="I44" s="279">
        <f>IF(calculos_quadro!$G$283="","",IFERROR(INDEX(calculos_quadro!$B$103:$J$103,MATCH(calculos_quadro!$G$283,calculos_quadro!$B$101:$J$101,0)),""))</f>
        <v>0</v>
      </c>
      <c r="J44" s="279">
        <f>IF(calculos_quadro!$G$284="","",IFERROR(INDEX(calculos_quadro!$B$103:$J$103,MATCH(calculos_quadro!$G$284,calculos_quadro!$B$101:$J$101,0)),""))</f>
        <v>0</v>
      </c>
      <c r="K44" s="278"/>
      <c r="L44" s="279" t="str">
        <f>IF(calculos_quadro!$G$285="","",IFERROR(INDEX(calculos_quadro!$B$103:$J$103,MATCH(calculos_quadro!$G$285,calculos_quadro!$B$101:$J$101,0)),""))</f>
        <v>—</v>
      </c>
      <c r="M44" s="279">
        <f>IF(calculos_quadro!$G$286="","",IFERROR(INDEX(calculos_quadro!$B$103:$J$103,MATCH(calculos_quadro!$G$286,calculos_quadro!$B$101:$J$101,0)),""))</f>
        <v>0</v>
      </c>
      <c r="N44" s="279">
        <f>IF(calculos_quadro!$G$287="","",IFERROR(INDEX(calculos_quadro!$B$103:$J$103,MATCH(calculos_quadro!$G$287,calculos_quadro!$B$101:$J$101,0)),""))</f>
        <v>0</v>
      </c>
      <c r="O44" s="279">
        <f>IF(calculos_quadro!$G$288="","",IFERROR(INDEX(calculos_quadro!$B$103:$J$103,MATCH(calculos_quadro!$G$288,calculos_quadro!$B$101:$J$101,0)),""))</f>
        <v>0</v>
      </c>
      <c r="P44" s="278"/>
      <c r="Q44" s="279">
        <f>IF(calculos_quadro!$G$289="","",IFERROR(INDEX(calculos_quadro!$B$103:$J$103,MATCH(calculos_quadro!$G$289,calculos_quadro!$B$101:$J$101,0)),""))</f>
        <v>0</v>
      </c>
      <c r="R44" s="279" t="str">
        <f>IF(calculos_quadro!$G$290="","",IFERROR(INDEX(calculos_quadro!$B$103:$J$103,MATCH(calculos_quadro!$G$290,calculos_quadro!$B$101:$J$101,0)),""))</f>
        <v>—</v>
      </c>
      <c r="S44" s="487">
        <f>IF(calculos_quadro!$B$2="Todos",calculos_quadro!K103,SUM(H44:R44))</f>
        <v>0</v>
      </c>
    </row>
    <row r="45" ht="15.75" customHeight="1">
      <c r="B45" s="468"/>
      <c r="C45" s="184"/>
      <c r="D45" s="271" t="inlineStr">
        <is>
          <t xml:space="preserve">Toneladas Movimentadas</t>
        </is>
      </c>
      <c r="E45" s="270"/>
      <c r="F45" s="270"/>
      <c r="G45" s="270"/>
      <c r="H45" s="277" t="str">
        <f>IF(calculos_quadro!$G$282="","",IFERROR(INDEX(calculos_quadro!$B$104:$J$104,MATCH(calculos_quadro!$G$282,calculos_quadro!$B$101:$J$101,0)),""))</f>
        <v>—</v>
      </c>
      <c r="I45" s="277">
        <f>IF(calculos_quadro!$G$283="","",IFERROR(INDEX(calculos_quadro!$B$104:$J$104,MATCH(calculos_quadro!$G$283,calculos_quadro!$B$101:$J$101,0)),""))</f>
        <v>0</v>
      </c>
      <c r="J45" s="277" t="str">
        <f>IF(calculos_quadro!$G$284="","",IFERROR(INDEX(calculos_quadro!$B$104:$J$104,MATCH(calculos_quadro!$G$284,calculos_quadro!$B$101:$J$101,0)),""))</f>
        <v>—</v>
      </c>
      <c r="K45" s="276"/>
      <c r="L45" s="277" t="str">
        <f>IF(calculos_quadro!$G$285="","",IFERROR(INDEX(calculos_quadro!$B$104:$J$104,MATCH(calculos_quadro!$G$285,calculos_quadro!$B$101:$J$101,0)),""))</f>
        <v>—</v>
      </c>
      <c r="M45" s="277" t="str">
        <f>IF(calculos_quadro!$G$286="","",IFERROR(INDEX(calculos_quadro!$B$104:$J$104,MATCH(calculos_quadro!$G$286,calculos_quadro!$B$101:$J$101,0)),""))</f>
        <v>—</v>
      </c>
      <c r="N45" s="277" t="str">
        <f>IF(calculos_quadro!$G$287="","",IFERROR(INDEX(calculos_quadro!$B$104:$J$104,MATCH(calculos_quadro!$G$287,calculos_quadro!$B$101:$J$101,0)),""))</f>
        <v>—</v>
      </c>
      <c r="O45" s="277">
        <f>IF(calculos_quadro!$G$288="","",IFERROR(INDEX(calculos_quadro!$B$104:$J$104,MATCH(calculos_quadro!$G$288,calculos_quadro!$B$101:$J$101,0)),""))</f>
        <v>0</v>
      </c>
      <c r="P45" s="276"/>
      <c r="Q45" s="277" t="str">
        <f>IF(calculos_quadro!$G$289="","",IFERROR(INDEX(calculos_quadro!$B$104:$J$104,MATCH(calculos_quadro!$G$289,calculos_quadro!$B$101:$J$101,0)),""))</f>
        <v>—</v>
      </c>
      <c r="R45" s="277" t="str">
        <f>IF(calculos_quadro!$G$290="","",IFERROR(INDEX(calculos_quadro!$B$104:$J$104,MATCH(calculos_quadro!$G$290,calculos_quadro!$B$101:$J$101,0)),""))</f>
        <v>—</v>
      </c>
      <c r="S45" s="489">
        <f>IF(calculos_quadro!$B$2="Todos",calculos_quadro!K104,SUM(H45:R45))</f>
        <v>0</v>
      </c>
    </row>
    <row r="46" ht="15.75" customHeight="1">
      <c r="B46" s="468"/>
      <c r="C46" s="184"/>
      <c r="D46" s="271" t="inlineStr">
        <is>
          <t xml:space="preserve">Linhas NF</t>
        </is>
      </c>
      <c r="E46" s="270"/>
      <c r="F46" s="270"/>
      <c r="G46" s="270"/>
      <c r="H46" s="279" t="str">
        <f>IF(calculos_quadro!$G$282="","",IFERROR(INDEX(calculos_quadro!$B$105:$J$105,MATCH(calculos_quadro!$G$282,calculos_quadro!$B$101:$J$101,0)),""))</f>
        <v>—</v>
      </c>
      <c r="I46" s="279" t="str">
        <f>IF(calculos_quadro!$G$283="","",IFERROR(INDEX(calculos_quadro!$B$105:$J$105,MATCH(calculos_quadro!$G$283,calculos_quadro!$B$101:$J$101,0)),""))</f>
        <v>—</v>
      </c>
      <c r="J46" s="279" t="str">
        <f>IF(calculos_quadro!$G$284="","",IFERROR(INDEX(calculos_quadro!$B$105:$J$105,MATCH(calculos_quadro!$G$284,calculos_quadro!$B$101:$J$101,0)),""))</f>
        <v>—</v>
      </c>
      <c r="K46" s="278"/>
      <c r="L46" s="279" t="str">
        <f>IF(calculos_quadro!$G$285="","",IFERROR(INDEX(calculos_quadro!$B$105:$J$105,MATCH(calculos_quadro!$G$285,calculos_quadro!$B$101:$J$101,0)),""))</f>
        <v>—</v>
      </c>
      <c r="M46" s="279">
        <f>IF(calculos_quadro!$G$286="","",IFERROR(INDEX(calculos_quadro!$B$105:$J$105,MATCH(calculos_quadro!$G$286,calculos_quadro!$B$101:$J$101,0)),""))</f>
        <v>0</v>
      </c>
      <c r="N46" s="279" t="str">
        <f>IF(calculos_quadro!$G$287="","",IFERROR(INDEX(calculos_quadro!$B$105:$J$105,MATCH(calculos_quadro!$G$287,calculos_quadro!$B$101:$J$101,0)),""))</f>
        <v>—</v>
      </c>
      <c r="O46" s="279" t="str">
        <f>IF(calculos_quadro!$G$288="","",IFERROR(INDEX(calculos_quadro!$B$105:$J$105,MATCH(calculos_quadro!$G$288,calculos_quadro!$B$101:$J$101,0)),""))</f>
        <v>—</v>
      </c>
      <c r="P46" s="278"/>
      <c r="Q46" s="279" t="str">
        <f>IF(calculos_quadro!$G$289="","",IFERROR(INDEX(calculos_quadro!$B$105:$J$105,MATCH(calculos_quadro!$G$289,calculos_quadro!$B$101:$J$101,0)),""))</f>
        <v>—</v>
      </c>
      <c r="R46" s="279">
        <f>IF(calculos_quadro!$G$290="","",IFERROR(INDEX(calculos_quadro!$B$105:$J$105,MATCH(calculos_quadro!$G$290,calculos_quadro!$B$101:$J$101,0)),""))</f>
        <v>0</v>
      </c>
      <c r="S46" s="487">
        <f>IF(calculos_quadro!$B$2="Todos",calculos_quadro!K105,SUM(H46:R46))</f>
        <v>0</v>
      </c>
    </row>
    <row r="47" ht="15.75" customHeight="1">
      <c r="B47" s="468"/>
      <c r="C47" s="184"/>
      <c r="D47" s="271" t="inlineStr">
        <is>
          <t xml:space="preserve">Caixas Movimentadas</t>
        </is>
      </c>
      <c r="E47" s="270"/>
      <c r="F47" s="270"/>
      <c r="G47" s="270"/>
      <c r="H47" s="279">
        <f>IF(calculos_quadro!$G$282="","",IFERROR(INDEX(calculos_quadro!$B$106:$J$106,MATCH(calculos_quadro!$G$282,calculos_quadro!$B$101:$J$101,0)),""))</f>
        <v>0</v>
      </c>
      <c r="I47" s="279" t="str">
        <f>IF(calculos_quadro!$G$283="","",IFERROR(INDEX(calculos_quadro!$B$106:$J$106,MATCH(calculos_quadro!$G$283,calculos_quadro!$B$101:$J$101,0)),""))</f>
        <v>—</v>
      </c>
      <c r="J47" s="279">
        <f>IF(calculos_quadro!$G$284="","",IFERROR(INDEX(calculos_quadro!$B$106:$J$106,MATCH(calculos_quadro!$G$284,calculos_quadro!$B$101:$J$101,0)),""))</f>
        <v>0</v>
      </c>
      <c r="K47" s="278"/>
      <c r="L47" s="279" t="str">
        <f>IF(calculos_quadro!$G$285="","",IFERROR(INDEX(calculos_quadro!$B$106:$J$106,MATCH(calculos_quadro!$G$285,calculos_quadro!$B$101:$J$101,0)),""))</f>
        <v>—</v>
      </c>
      <c r="M47" s="279" t="str">
        <f>IF(calculos_quadro!$G$286="","",IFERROR(INDEX(calculos_quadro!$B$106:$J$106,MATCH(calculos_quadro!$G$286,calculos_quadro!$B$101:$J$101,0)),""))</f>
        <v>—</v>
      </c>
      <c r="N47" s="279" t="str">
        <f>IF(calculos_quadro!$G$287="","",IFERROR(INDEX(calculos_quadro!$B$106:$J$106,MATCH(calculos_quadro!$G$287,calculos_quadro!$B$101:$J$101,0)),""))</f>
        <v>—</v>
      </c>
      <c r="O47" s="279" t="str">
        <f>IF(calculos_quadro!$G$288="","",IFERROR(INDEX(calculos_quadro!$B$106:$J$106,MATCH(calculos_quadro!$G$288,calculos_quadro!$B$101:$J$101,0)),""))</f>
        <v>—</v>
      </c>
      <c r="P47" s="278"/>
      <c r="Q47" s="279" t="str">
        <f>IF(calculos_quadro!$G$289="","",IFERROR(INDEX(calculos_quadro!$B$106:$J$106,MATCH(calculos_quadro!$G$289,calculos_quadro!$B$101:$J$101,0)),""))</f>
        <v>—</v>
      </c>
      <c r="R47" s="279" t="str">
        <f>IF(calculos_quadro!$G$290="","",IFERROR(INDEX(calculos_quadro!$B$106:$J$106,MATCH(calculos_quadro!$G$290,calculos_quadro!$B$101:$J$101,0)),""))</f>
        <v>—</v>
      </c>
      <c r="S47" s="487">
        <f>IF(calculos_quadro!$B$2="Todos",calculos_quadro!K106,SUM(H47:R47))</f>
        <v>0</v>
      </c>
    </row>
    <row r="48" ht="15.75" customHeight="1">
      <c r="B48" s="468"/>
      <c r="C48" s="184"/>
      <c r="D48" s="271" t="inlineStr">
        <is>
          <t xml:space="preserve">Peças Movimentadas</t>
        </is>
      </c>
      <c r="E48" s="270"/>
      <c r="F48" s="270"/>
      <c r="G48" s="270"/>
      <c r="H48" s="279" t="str">
        <f>IF(calculos_quadro!$G$282="","",IFERROR(INDEX(calculos_quadro!$B$107:$J$107,MATCH(calculos_quadro!$G$282,calculos_quadro!$B$101:$J$101,0)),""))</f>
        <v>—</v>
      </c>
      <c r="I48" s="279" t="str">
        <f>IF(calculos_quadro!$G$283="","",IFERROR(INDEX(calculos_quadro!$B$107:$J$107,MATCH(calculos_quadro!$G$283,calculos_quadro!$B$101:$J$101,0)),""))</f>
        <v>—</v>
      </c>
      <c r="J48" s="279" t="str">
        <f>IF(calculos_quadro!$G$284="","",IFERROR(INDEX(calculos_quadro!$B$107:$J$107,MATCH(calculos_quadro!$G$284,calculos_quadro!$B$101:$J$101,0)),""))</f>
        <v>—</v>
      </c>
      <c r="K48" s="278"/>
      <c r="L48" s="279" t="str">
        <f>IF(calculos_quadro!$G$285="","",IFERROR(INDEX(calculos_quadro!$B$107:$J$107,MATCH(calculos_quadro!$G$285,calculos_quadro!$B$101:$J$101,0)),""))</f>
        <v>—</v>
      </c>
      <c r="M48" s="279">
        <f>IF(calculos_quadro!$G$286="","",IFERROR(INDEX(calculos_quadro!$B$107:$J$107,MATCH(calculos_quadro!$G$286,calculos_quadro!$B$101:$J$101,0)),""))</f>
        <v>0</v>
      </c>
      <c r="N48" s="279" t="str">
        <f>IF(calculos_quadro!$G$287="","",IFERROR(INDEX(calculos_quadro!$B$107:$J$107,MATCH(calculos_quadro!$G$287,calculos_quadro!$B$101:$J$101,0)),""))</f>
        <v>—</v>
      </c>
      <c r="O48" s="279" t="str">
        <f>IF(calculos_quadro!$G$288="","",IFERROR(INDEX(calculos_quadro!$B$107:$J$107,MATCH(calculos_quadro!$G$288,calculos_quadro!$B$101:$J$101,0)),""))</f>
        <v>—</v>
      </c>
      <c r="P48" s="278"/>
      <c r="Q48" s="279" t="str">
        <f>IF(calculos_quadro!$G$289="","",IFERROR(INDEX(calculos_quadro!$B$107:$J$107,MATCH(calculos_quadro!$G$289,calculos_quadro!$B$101:$J$101,0)),""))</f>
        <v>—</v>
      </c>
      <c r="R48" s="279" t="str">
        <f>IF(calculos_quadro!$G$290="","",IFERROR(INDEX(calculos_quadro!$B$107:$J$107,MATCH(calculos_quadro!$G$290,calculos_quadro!$B$101:$J$101,0)),""))</f>
        <v>—</v>
      </c>
      <c r="S48" s="487">
        <f>IF(calculos_quadro!$B$2="Todos",calculos_quadro!K107,SUM(H48:R48))</f>
        <v>0</v>
      </c>
    </row>
    <row r="49" ht="15.75" customHeight="1">
      <c r="B49" s="468"/>
      <c r="C49" s="184"/>
      <c r="D49" s="271" t="inlineStr">
        <is>
          <t xml:space="preserve">Itens Recebidos CX Mista</t>
        </is>
      </c>
      <c r="E49" s="270"/>
      <c r="F49" s="270"/>
      <c r="G49" s="270"/>
      <c r="H49" s="279" t="str">
        <f>IF(calculos_quadro!$G$282="","",IFERROR(INDEX(calculos_quadro!$B$108:$J$108,MATCH(calculos_quadro!$G$282,calculos_quadro!$B$101:$J$101,0)),""))</f>
        <v>—</v>
      </c>
      <c r="I49" s="279" t="str">
        <f>IF(calculos_quadro!$G$283="","",IFERROR(INDEX(calculos_quadro!$B$108:$J$108,MATCH(calculos_quadro!$G$283,calculos_quadro!$B$101:$J$101,0)),""))</f>
        <v>—</v>
      </c>
      <c r="J49" s="279" t="str">
        <f>IF(calculos_quadro!$G$284="","",IFERROR(INDEX(calculos_quadro!$B$108:$J$108,MATCH(calculos_quadro!$G$284,calculos_quadro!$B$101:$J$101,0)),""))</f>
        <v>—</v>
      </c>
      <c r="K49" s="278"/>
      <c r="L49" s="279">
        <f>IF(calculos_quadro!$G$285="","",IFERROR(INDEX(calculos_quadro!$B$108:$J$108,MATCH(calculos_quadro!$G$285,calculos_quadro!$B$101:$J$101,0)),""))</f>
        <v>0</v>
      </c>
      <c r="M49" s="279" t="str">
        <f>IF(calculos_quadro!$G$286="","",IFERROR(INDEX(calculos_quadro!$B$108:$J$108,MATCH(calculos_quadro!$G$286,calculos_quadro!$B$101:$J$101,0)),""))</f>
        <v>—</v>
      </c>
      <c r="N49" s="279" t="str">
        <f>IF(calculos_quadro!$G$287="","",IFERROR(INDEX(calculos_quadro!$B$108:$J$108,MATCH(calculos_quadro!$G$287,calculos_quadro!$B$101:$J$101,0)),""))</f>
        <v>—</v>
      </c>
      <c r="O49" s="279" t="str">
        <f>IF(calculos_quadro!$G$288="","",IFERROR(INDEX(calculos_quadro!$B$108:$J$108,MATCH(calculos_quadro!$G$288,calculos_quadro!$B$101:$J$101,0)),""))</f>
        <v>—</v>
      </c>
      <c r="P49" s="278"/>
      <c r="Q49" s="279" t="str">
        <f>IF(calculos_quadro!$G$289="","",IFERROR(INDEX(calculos_quadro!$B$108:$J$108,MATCH(calculos_quadro!$G$289,calculos_quadro!$B$101:$J$101,0)),""))</f>
        <v>—</v>
      </c>
      <c r="R49" s="279" t="str">
        <f>IF(calculos_quadro!$G$290="","",IFERROR(INDEX(calculos_quadro!$B$108:$J$108,MATCH(calculos_quadro!$G$290,calculos_quadro!$B$101:$J$101,0)),""))</f>
        <v>—</v>
      </c>
      <c r="S49" s="487">
        <f>IF(calculos_quadro!$B$2="Todos",calculos_quadro!K108,SUM(H49:R49))</f>
        <v>0</v>
      </c>
    </row>
    <row r="50" ht="15.75" customHeight="1">
      <c r="B50" s="468"/>
      <c r="C50" s="184"/>
      <c r="D50" s="271" t="inlineStr">
        <is>
          <t xml:space="preserve">Caixas Fechadas</t>
        </is>
      </c>
      <c r="E50" s="270"/>
      <c r="F50" s="270"/>
      <c r="G50" s="270"/>
      <c r="H50" s="279" t="str">
        <f>IF(calculos_quadro!$G$282="","",IFERROR(INDEX(calculos_quadro!$B$109:$J$109,MATCH(calculos_quadro!$G$282,calculos_quadro!$B$101:$J$101,0)),""))</f>
        <v>—</v>
      </c>
      <c r="I50" s="279" t="str">
        <f>IF(calculos_quadro!$G$283="","",IFERROR(INDEX(calculos_quadro!$B$109:$J$109,MATCH(calculos_quadro!$G$283,calculos_quadro!$B$101:$J$101,0)),""))</f>
        <v>—</v>
      </c>
      <c r="J50" s="279" t="str">
        <f>IF(calculos_quadro!$G$284="","",IFERROR(INDEX(calculos_quadro!$B$109:$J$109,MATCH(calculos_quadro!$G$284,calculos_quadro!$B$101:$J$101,0)),""))</f>
        <v>—</v>
      </c>
      <c r="K50" s="278"/>
      <c r="L50" s="279">
        <f>IF(calculos_quadro!$G$285="","",IFERROR(INDEX(calculos_quadro!$B$109:$J$109,MATCH(calculos_quadro!$G$285,calculos_quadro!$B$101:$J$101,0)),""))</f>
        <v>0</v>
      </c>
      <c r="M50" s="279" t="str">
        <f>IF(calculos_quadro!$G$286="","",IFERROR(INDEX(calculos_quadro!$B$109:$J$109,MATCH(calculos_quadro!$G$286,calculos_quadro!$B$101:$J$101,0)),""))</f>
        <v>—</v>
      </c>
      <c r="N50" s="279" t="str">
        <f>IF(calculos_quadro!$G$287="","",IFERROR(INDEX(calculos_quadro!$B$109:$J$109,MATCH(calculos_quadro!$G$287,calculos_quadro!$B$101:$J$101,0)),""))</f>
        <v>—</v>
      </c>
      <c r="O50" s="279" t="str">
        <f>IF(calculos_quadro!$G$288="","",IFERROR(INDEX(calculos_quadro!$B$109:$J$109,MATCH(calculos_quadro!$G$288,calculos_quadro!$B$101:$J$101,0)),""))</f>
        <v>—</v>
      </c>
      <c r="P50" s="278"/>
      <c r="Q50" s="279" t="str">
        <f>IF(calculos_quadro!$G$289="","",IFERROR(INDEX(calculos_quadro!$B$109:$J$109,MATCH(calculos_quadro!$G$289,calculos_quadro!$B$101:$J$101,0)),""))</f>
        <v>—</v>
      </c>
      <c r="R50" s="279" t="str">
        <f>IF(calculos_quadro!$G$290="","",IFERROR(INDEX(calculos_quadro!$B$109:$J$109,MATCH(calculos_quadro!$G$290,calculos_quadro!$B$101:$J$101,0)),""))</f>
        <v>—</v>
      </c>
      <c r="S50" s="487">
        <f>IF(calculos_quadro!$B$2="Todos",calculos_quadro!K109,SUM(H50:R50))</f>
        <v>0</v>
      </c>
    </row>
    <row r="51" ht="15.75" customHeight="1">
      <c r="B51" s="469"/>
      <c r="C51" s="145"/>
      <c r="D51" s="290" t="inlineStr">
        <is>
          <t xml:space="preserve">Caixas Mistas Recebidas</t>
        </is>
      </c>
      <c r="E51" s="289"/>
      <c r="F51" s="289"/>
      <c r="G51" s="289"/>
      <c r="H51" s="298" t="str">
        <f>IF(calculos_quadro!$G$282="","",IFERROR(INDEX(calculos_quadro!$B$110:$J$110,MATCH(calculos_quadro!$G$282,calculos_quadro!$B$101:$J$101,0)),""))</f>
        <v>—</v>
      </c>
      <c r="I51" s="298" t="str">
        <f>IF(calculos_quadro!$G$283="","",IFERROR(INDEX(calculos_quadro!$B$110:$J$110,MATCH(calculos_quadro!$G$283,calculos_quadro!$B$101:$J$101,0)),""))</f>
        <v>—</v>
      </c>
      <c r="J51" s="298" t="str">
        <f>IF(calculos_quadro!$G$284="","",IFERROR(INDEX(calculos_quadro!$B$110:$J$110,MATCH(calculos_quadro!$G$284,calculos_quadro!$B$101:$J$101,0)),""))</f>
        <v>—</v>
      </c>
      <c r="K51" s="297"/>
      <c r="L51" s="298">
        <f>IF(calculos_quadro!$G$285="","",IFERROR(INDEX(calculos_quadro!$B$110:$J$110,MATCH(calculos_quadro!$G$285,calculos_quadro!$B$101:$J$101,0)),""))</f>
        <v>0</v>
      </c>
      <c r="M51" s="298" t="str">
        <f>IF(calculos_quadro!$G$286="","",IFERROR(INDEX(calculos_quadro!$B$110:$J$110,MATCH(calculos_quadro!$G$286,calculos_quadro!$B$101:$J$101,0)),""))</f>
        <v>—</v>
      </c>
      <c r="N51" s="298" t="str">
        <f>IF(calculos_quadro!$G$287="","",IFERROR(INDEX(calculos_quadro!$B$110:$J$110,MATCH(calculos_quadro!$G$287,calculos_quadro!$B$101:$J$101,0)),""))</f>
        <v>—</v>
      </c>
      <c r="O51" s="298" t="str">
        <f>IF(calculos_quadro!$G$288="","",IFERROR(INDEX(calculos_quadro!$B$110:$J$110,MATCH(calculos_quadro!$G$288,calculos_quadro!$B$101:$J$101,0)),""))</f>
        <v>—</v>
      </c>
      <c r="P51" s="297"/>
      <c r="Q51" s="298" t="str">
        <f>IF(calculos_quadro!$G$289="","",IFERROR(INDEX(calculos_quadro!$B$110:$J$110,MATCH(calculos_quadro!$G$289,calculos_quadro!$B$101:$J$101,0)),""))</f>
        <v>—</v>
      </c>
      <c r="R51" s="298" t="str">
        <f>IF(calculos_quadro!$G$290="","",IFERROR(INDEX(calculos_quadro!$B$110:$J$110,MATCH(calculos_quadro!$G$290,calculos_quadro!$B$101:$J$101,0)),""))</f>
        <v>—</v>
      </c>
      <c r="S51" s="490">
        <f>IF(calculos_quadro!$B$2="Todos",calculos_quadro!K110,SUM(H51:R51))</f>
        <v>0</v>
      </c>
    </row>
    <row r="52" ht="15.75" customHeight="1">
      <c r="B52" s="470" t="inlineStr">
        <is>
          <t xml:space="preserve">OUT</t>
        </is>
      </c>
      <c r="C52" s="151"/>
      <c r="D52" s="307" t="inlineStr">
        <is>
          <t xml:space="preserve">Veículos Expedidos</t>
        </is>
      </c>
      <c r="E52" s="306"/>
      <c r="F52" s="306"/>
      <c r="G52" s="306"/>
      <c r="H52" s="315">
        <f>IF(calculos_quadro!$G$282="","",IFERROR(INDEX(calculos_quadro!$B$111:$J$111,MATCH(calculos_quadro!$G$282,calculos_quadro!$B$101:$J$101,0)),""))</f>
        <v>0</v>
      </c>
      <c r="I52" s="315">
        <f>IF(calculos_quadro!$G$283="","",IFERROR(INDEX(calculos_quadro!$B$111:$J$111,MATCH(calculos_quadro!$G$283,calculos_quadro!$B$101:$J$101,0)),""))</f>
        <v>0</v>
      </c>
      <c r="J52" s="315">
        <f>IF(calculos_quadro!$G$284="","",IFERROR(INDEX(calculos_quadro!$B$111:$J$111,MATCH(calculos_quadro!$G$284,calculos_quadro!$B$101:$J$101,0)),""))</f>
        <v>0</v>
      </c>
      <c r="K52" s="314"/>
      <c r="L52" s="315">
        <f>IF(calculos_quadro!$G$285="","",IFERROR(INDEX(calculos_quadro!$B$111:$J$111,MATCH(calculos_quadro!$G$285,calculos_quadro!$B$101:$J$101,0)),""))</f>
        <v>0</v>
      </c>
      <c r="M52" s="315">
        <f>IF(calculos_quadro!$G$286="","",IFERROR(INDEX(calculos_quadro!$B$111:$J$111,MATCH(calculos_quadro!$G$286,calculos_quadro!$B$101:$J$101,0)),""))</f>
        <v>0</v>
      </c>
      <c r="N52" s="315">
        <f>IF(calculos_quadro!$G$287="","",IFERROR(INDEX(calculos_quadro!$B$111:$J$111,MATCH(calculos_quadro!$G$287,calculos_quadro!$B$101:$J$101,0)),""))</f>
        <v>0</v>
      </c>
      <c r="O52" s="315">
        <f>IF(calculos_quadro!$G$288="","",IFERROR(INDEX(calculos_quadro!$B$111:$J$111,MATCH(calculos_quadro!$G$288,calculos_quadro!$B$101:$J$101,0)),""))</f>
        <v>0</v>
      </c>
      <c r="P52" s="314"/>
      <c r="Q52" s="315">
        <f>IF(calculos_quadro!$G$289="","",IFERROR(INDEX(calculos_quadro!$B$111:$J$111,MATCH(calculos_quadro!$G$289,calculos_quadro!$B$101:$J$101,0)),""))</f>
        <v>0</v>
      </c>
      <c r="R52" s="315">
        <f>IF(calculos_quadro!$G$290="","",IFERROR(INDEX(calculos_quadro!$B$111:$J$111,MATCH(calculos_quadro!$G$290,calculos_quadro!$B$101:$J$101,0)),""))</f>
        <v>0</v>
      </c>
      <c r="S52" s="491">
        <f>IF(calculos_quadro!$B$2="Todos",calculos_quadro!K111,SUM(H52:R52))</f>
        <v>0</v>
      </c>
    </row>
    <row r="53" ht="15.75" customHeight="1">
      <c r="B53" s="471"/>
      <c r="C53" s="233"/>
      <c r="D53" s="324" t="inlineStr">
        <is>
          <t xml:space="preserve">Pedidos Expedidos</t>
        </is>
      </c>
      <c r="E53" s="323"/>
      <c r="F53" s="323"/>
      <c r="G53" s="323"/>
      <c r="H53" s="332" t="str">
        <f>IF(calculos_quadro!$G$282="","",IFERROR(INDEX(calculos_quadro!$B$112:$J$112,MATCH(calculos_quadro!$G$282,calculos_quadro!$B$101:$J$101,0)),""))</f>
        <v>—</v>
      </c>
      <c r="I53" s="332" t="str">
        <f>IF(calculos_quadro!$G$283="","",IFERROR(INDEX(calculos_quadro!$B$112:$J$112,MATCH(calculos_quadro!$G$283,calculos_quadro!$B$101:$J$101,0)),""))</f>
        <v>—</v>
      </c>
      <c r="J53" s="332">
        <f>IF(calculos_quadro!$G$284="","",IFERROR(INDEX(calculos_quadro!$B$112:$J$112,MATCH(calculos_quadro!$G$284,calculos_quadro!$B$101:$J$101,0)),""))</f>
        <v>0</v>
      </c>
      <c r="K53" s="331"/>
      <c r="L53" s="332" t="str">
        <f>IF(calculos_quadro!$G$285="","",IFERROR(INDEX(calculos_quadro!$B$112:$J$112,MATCH(calculos_quadro!$G$285,calculos_quadro!$B$101:$J$101,0)),""))</f>
        <v>—</v>
      </c>
      <c r="M53" s="332" t="str">
        <f>IF(calculos_quadro!$G$286="","",IFERROR(INDEX(calculos_quadro!$B$112:$J$112,MATCH(calculos_quadro!$G$286,calculos_quadro!$B$101:$J$101,0)),""))</f>
        <v>—</v>
      </c>
      <c r="N53" s="332" t="str">
        <f>IF(calculos_quadro!$G$287="","",IFERROR(INDEX(calculos_quadro!$B$112:$J$112,MATCH(calculos_quadro!$G$287,calculos_quadro!$B$101:$J$101,0)),""))</f>
        <v>—</v>
      </c>
      <c r="O53" s="332" t="str">
        <f>IF(calculos_quadro!$G$288="","",IFERROR(INDEX(calculos_quadro!$B$112:$J$112,MATCH(calculos_quadro!$G$288,calculos_quadro!$B$101:$J$101,0)),""))</f>
        <v>—</v>
      </c>
      <c r="P53" s="331"/>
      <c r="Q53" s="332" t="str">
        <f>IF(calculos_quadro!$G$289="","",IFERROR(INDEX(calculos_quadro!$B$112:$J$112,MATCH(calculos_quadro!$G$289,calculos_quadro!$B$101:$J$101,0)),""))</f>
        <v>—</v>
      </c>
      <c r="R53" s="332" t="str">
        <f>IF(calculos_quadro!$G$290="","",IFERROR(INDEX(calculos_quadro!$B$112:$J$112,MATCH(calculos_quadro!$G$290,calculos_quadro!$B$101:$J$101,0)),""))</f>
        <v>—</v>
      </c>
      <c r="S53" s="492">
        <f>IF(calculos_quadro!$B$2="Todos",calculos_quadro!K112,SUM(H53:R53))</f>
        <v>0</v>
      </c>
    </row>
    <row r="54" ht="15.75" customHeight="1">
      <c r="B54" s="471"/>
      <c r="C54" s="233"/>
      <c r="D54" s="324" t="inlineStr">
        <is>
          <t xml:space="preserve">Pedidos Faturados</t>
        </is>
      </c>
      <c r="E54" s="323"/>
      <c r="F54" s="323"/>
      <c r="G54" s="323"/>
      <c r="H54" s="332" t="str">
        <f>IF(calculos_quadro!$G$282="","",IFERROR(INDEX(calculos_quadro!$B$113:$J$113,MATCH(calculos_quadro!$G$282,calculos_quadro!$B$101:$J$101,0)),""))</f>
        <v>—</v>
      </c>
      <c r="I54" s="332" t="str">
        <f>IF(calculos_quadro!$G$283="","",IFERROR(INDEX(calculos_quadro!$B$113:$J$113,MATCH(calculos_quadro!$G$283,calculos_quadro!$B$101:$J$101,0)),""))</f>
        <v>—</v>
      </c>
      <c r="J54" s="332" t="str">
        <f>IF(calculos_quadro!$G$284="","",IFERROR(INDEX(calculos_quadro!$B$113:$J$113,MATCH(calculos_quadro!$G$284,calculos_quadro!$B$101:$J$101,0)),""))</f>
        <v>—</v>
      </c>
      <c r="K54" s="331"/>
      <c r="L54" s="332">
        <f>IF(calculos_quadro!$G$285="","",IFERROR(INDEX(calculos_quadro!$B$113:$J$113,MATCH(calculos_quadro!$G$285,calculos_quadro!$B$101:$J$101,0)),""))</f>
        <v>0</v>
      </c>
      <c r="M54" s="332" t="str">
        <f>IF(calculos_quadro!$G$286="","",IFERROR(INDEX(calculos_quadro!$B$113:$J$113,MATCH(calculos_quadro!$G$286,calculos_quadro!$B$101:$J$101,0)),""))</f>
        <v>—</v>
      </c>
      <c r="N54" s="332" t="str">
        <f>IF(calculos_quadro!$G$287="","",IFERROR(INDEX(calculos_quadro!$B$113:$J$113,MATCH(calculos_quadro!$G$287,calculos_quadro!$B$101:$J$101,0)),""))</f>
        <v>—</v>
      </c>
      <c r="O54" s="332" t="str">
        <f>IF(calculos_quadro!$G$288="","",IFERROR(INDEX(calculos_quadro!$B$113:$J$113,MATCH(calculos_quadro!$G$288,calculos_quadro!$B$101:$J$101,0)),""))</f>
        <v>—</v>
      </c>
      <c r="P54" s="331"/>
      <c r="Q54" s="332" t="str">
        <f>IF(calculos_quadro!$G$289="","",IFERROR(INDEX(calculos_quadro!$B$113:$J$113,MATCH(calculos_quadro!$G$289,calculos_quadro!$B$101:$J$101,0)),""))</f>
        <v>—</v>
      </c>
      <c r="R54" s="332" t="str">
        <f>IF(calculos_quadro!$G$290="","",IFERROR(INDEX(calculos_quadro!$B$113:$J$113,MATCH(calculos_quadro!$G$290,calculos_quadro!$B$101:$J$101,0)),""))</f>
        <v>—</v>
      </c>
      <c r="S54" s="492">
        <f>IF(calculos_quadro!$B$2="Todos",calculos_quadro!K113,SUM(H54:R54))</f>
        <v>0</v>
      </c>
    </row>
    <row r="55" ht="15.75" customHeight="1">
      <c r="B55" s="471"/>
      <c r="C55" s="233"/>
      <c r="D55" s="324" t="inlineStr">
        <is>
          <t xml:space="preserve">Itens Expedidos</t>
        </is>
      </c>
      <c r="E55" s="323"/>
      <c r="F55" s="323"/>
      <c r="G55" s="323"/>
      <c r="H55" s="332" t="str">
        <f>IF(calculos_quadro!$G$282="","",IFERROR(INDEX(calculos_quadro!$B$114:$J$114,MATCH(calculos_quadro!$G$282,calculos_quadro!$B$101:$J$101,0)),""))</f>
        <v>—</v>
      </c>
      <c r="I55" s="332" t="str">
        <f>IF(calculos_quadro!$G$283="","",IFERROR(INDEX(calculos_quadro!$B$114:$J$114,MATCH(calculos_quadro!$G$283,calculos_quadro!$B$101:$J$101,0)),""))</f>
        <v>—</v>
      </c>
      <c r="J55" s="332" t="str">
        <f>IF(calculos_quadro!$G$284="","",IFERROR(INDEX(calculos_quadro!$B$114:$J$114,MATCH(calculos_quadro!$G$284,calculos_quadro!$B$101:$J$101,0)),""))</f>
        <v>—</v>
      </c>
      <c r="K55" s="331"/>
      <c r="L55" s="332">
        <f>IF(calculos_quadro!$G$285="","",IFERROR(INDEX(calculos_quadro!$B$114:$J$114,MATCH(calculos_quadro!$G$285,calculos_quadro!$B$101:$J$101,0)),""))</f>
        <v>0</v>
      </c>
      <c r="M55" s="332" t="str">
        <f>IF(calculos_quadro!$G$286="","",IFERROR(INDEX(calculos_quadro!$B$114:$J$114,MATCH(calculos_quadro!$G$286,calculos_quadro!$B$101:$J$101,0)),""))</f>
        <v>—</v>
      </c>
      <c r="N55" s="332" t="str">
        <f>IF(calculos_quadro!$G$287="","",IFERROR(INDEX(calculos_quadro!$B$114:$J$114,MATCH(calculos_quadro!$G$287,calculos_quadro!$B$101:$J$101,0)),""))</f>
        <v>—</v>
      </c>
      <c r="O55" s="332" t="str">
        <f>IF(calculos_quadro!$G$288="","",IFERROR(INDEX(calculos_quadro!$B$114:$J$114,MATCH(calculos_quadro!$G$288,calculos_quadro!$B$101:$J$101,0)),""))</f>
        <v>—</v>
      </c>
      <c r="P55" s="331"/>
      <c r="Q55" s="332" t="str">
        <f>IF(calculos_quadro!$G$289="","",IFERROR(INDEX(calculos_quadro!$B$114:$J$114,MATCH(calculos_quadro!$G$289,calculos_quadro!$B$101:$J$101,0)),""))</f>
        <v>—</v>
      </c>
      <c r="R55" s="332" t="str">
        <f>IF(calculos_quadro!$G$290="","",IFERROR(INDEX(calculos_quadro!$B$114:$J$114,MATCH(calculos_quadro!$G$290,calculos_quadro!$B$101:$J$101,0)),""))</f>
        <v>—</v>
      </c>
      <c r="S55" s="492">
        <f>IF(calculos_quadro!$B$2="Todos",calculos_quadro!K114,SUM(H55:R55))</f>
        <v>0</v>
      </c>
    </row>
    <row r="56" ht="15.75" customHeight="1">
      <c r="B56" s="471"/>
      <c r="C56" s="233"/>
      <c r="D56" s="324" t="inlineStr">
        <is>
          <t xml:space="preserve">Peças Movimentadas</t>
        </is>
      </c>
      <c r="E56" s="323"/>
      <c r="F56" s="323"/>
      <c r="G56" s="323"/>
      <c r="H56" s="332" t="str">
        <f>IF(calculos_quadro!$G$282="","",IFERROR(INDEX(calculos_quadro!$B$115:$J$115,MATCH(calculos_quadro!$G$282,calculos_quadro!$B$101:$J$101,0)),""))</f>
        <v>—</v>
      </c>
      <c r="I56" s="332" t="str">
        <f>IF(calculos_quadro!$G$283="","",IFERROR(INDEX(calculos_quadro!$B$115:$J$115,MATCH(calculos_quadro!$G$283,calculos_quadro!$B$101:$J$101,0)),""))</f>
        <v>—</v>
      </c>
      <c r="J56" s="332" t="str">
        <f>IF(calculos_quadro!$G$284="","",IFERROR(INDEX(calculos_quadro!$B$115:$J$115,MATCH(calculos_quadro!$G$284,calculos_quadro!$B$101:$J$101,0)),""))</f>
        <v>—</v>
      </c>
      <c r="K56" s="331"/>
      <c r="L56" s="332" t="str">
        <f>IF(calculos_quadro!$G$285="","",IFERROR(INDEX(calculos_quadro!$B$115:$J$115,MATCH(calculos_quadro!$G$285,calculos_quadro!$B$101:$J$101,0)),""))</f>
        <v>—</v>
      </c>
      <c r="M56" s="332">
        <f>IF(calculos_quadro!$G$286="","",IFERROR(INDEX(calculos_quadro!$B$115:$J$115,MATCH(calculos_quadro!$G$286,calculos_quadro!$B$101:$J$101,0)),""))</f>
        <v>0</v>
      </c>
      <c r="N56" s="332" t="str">
        <f>IF(calculos_quadro!$G$287="","",IFERROR(INDEX(calculos_quadro!$B$115:$J$115,MATCH(calculos_quadro!$G$287,calculos_quadro!$B$101:$J$101,0)),""))</f>
        <v>—</v>
      </c>
      <c r="O56" s="332" t="str">
        <f>IF(calculos_quadro!$G$288="","",IFERROR(INDEX(calculos_quadro!$B$115:$J$115,MATCH(calculos_quadro!$G$288,calculos_quadro!$B$101:$J$101,0)),""))</f>
        <v>—</v>
      </c>
      <c r="P56" s="331"/>
      <c r="Q56" s="332" t="str">
        <f>IF(calculos_quadro!$G$289="","",IFERROR(INDEX(calculos_quadro!$B$115:$J$115,MATCH(calculos_quadro!$G$289,calculos_quadro!$B$101:$J$101,0)),""))</f>
        <v>—</v>
      </c>
      <c r="R56" s="332" t="str">
        <f>IF(calculos_quadro!$G$290="","",IFERROR(INDEX(calculos_quadro!$B$115:$J$115,MATCH(calculos_quadro!$G$290,calculos_quadro!$B$101:$J$101,0)),""))</f>
        <v>—</v>
      </c>
      <c r="S56" s="492">
        <f>IF(calculos_quadro!$B$2="Todos",calculos_quadro!K115,SUM(H56:R56))</f>
        <v>0</v>
      </c>
    </row>
    <row r="57" ht="15.75" customHeight="1">
      <c r="B57" s="471"/>
      <c r="C57" s="233"/>
      <c r="D57" s="324" t="inlineStr">
        <is>
          <t xml:space="preserve">Linhas NF</t>
        </is>
      </c>
      <c r="E57" s="323"/>
      <c r="F57" s="323"/>
      <c r="G57" s="323"/>
      <c r="H57" s="332" t="str">
        <f>IF(calculos_quadro!$G$282="","",IFERROR(INDEX(calculos_quadro!$B$116:$J$116,MATCH(calculos_quadro!$G$282,calculos_quadro!$B$101:$J$101,0)),""))</f>
        <v>—</v>
      </c>
      <c r="I57" s="332" t="str">
        <f>IF(calculos_quadro!$G$283="","",IFERROR(INDEX(calculos_quadro!$B$116:$J$116,MATCH(calculos_quadro!$G$283,calculos_quadro!$B$101:$J$101,0)),""))</f>
        <v>—</v>
      </c>
      <c r="J57" s="332" t="str">
        <f>IF(calculos_quadro!$G$284="","",IFERROR(INDEX(calculos_quadro!$B$116:$J$116,MATCH(calculos_quadro!$G$284,calculos_quadro!$B$101:$J$101,0)),""))</f>
        <v>—</v>
      </c>
      <c r="K57" s="331"/>
      <c r="L57" s="332" t="str">
        <f>IF(calculos_quadro!$G$285="","",IFERROR(INDEX(calculos_quadro!$B$116:$J$116,MATCH(calculos_quadro!$G$285,calculos_quadro!$B$101:$J$101,0)),""))</f>
        <v>—</v>
      </c>
      <c r="M57" s="332">
        <f>IF(calculos_quadro!$G$286="","",IFERROR(INDEX(calculos_quadro!$B$116:$J$116,MATCH(calculos_quadro!$G$286,calculos_quadro!$B$101:$J$101,0)),""))</f>
        <v>0</v>
      </c>
      <c r="N57" s="332" t="str">
        <f>IF(calculos_quadro!$G$287="","",IFERROR(INDEX(calculos_quadro!$B$116:$J$116,MATCH(calculos_quadro!$G$287,calculos_quadro!$B$101:$J$101,0)),""))</f>
        <v>—</v>
      </c>
      <c r="O57" s="332" t="str">
        <f>IF(calculos_quadro!$G$288="","",IFERROR(INDEX(calculos_quadro!$B$116:$J$116,MATCH(calculos_quadro!$G$288,calculos_quadro!$B$101:$J$101,0)),""))</f>
        <v>—</v>
      </c>
      <c r="P57" s="331"/>
      <c r="Q57" s="332" t="str">
        <f>IF(calculos_quadro!$G$289="","",IFERROR(INDEX(calculos_quadro!$B$116:$J$116,MATCH(calculos_quadro!$G$289,calculos_quadro!$B$101:$J$101,0)),""))</f>
        <v>—</v>
      </c>
      <c r="R57" s="332">
        <f>IF(calculos_quadro!$G$290="","",IFERROR(INDEX(calculos_quadro!$B$116:$J$116,MATCH(calculos_quadro!$G$290,calculos_quadro!$B$101:$J$101,0)),""))</f>
        <v>0</v>
      </c>
      <c r="S57" s="492">
        <f>IF(calculos_quadro!$B$2="Todos",calculos_quadro!K116,SUM(H57:R57))</f>
        <v>0</v>
      </c>
    </row>
    <row r="58" ht="15.75" customHeight="1">
      <c r="B58" s="471"/>
      <c r="C58" s="233"/>
      <c r="D58" s="324" t="inlineStr">
        <is>
          <t xml:space="preserve">Caixas Expedidas</t>
        </is>
      </c>
      <c r="E58" s="323"/>
      <c r="F58" s="323"/>
      <c r="G58" s="323"/>
      <c r="H58" s="332">
        <f>IF(calculos_quadro!$G$282="","",IFERROR(INDEX(calculos_quadro!$B$117:$J$117,MATCH(calculos_quadro!$G$282,calculos_quadro!$B$101:$J$101,0)),""))</f>
        <v>0</v>
      </c>
      <c r="I58" s="332" t="str">
        <f>IF(calculos_quadro!$G$283="","",IFERROR(INDEX(calculos_quadro!$B$117:$J$117,MATCH(calculos_quadro!$G$283,calculos_quadro!$B$101:$J$101,0)),""))</f>
        <v>—</v>
      </c>
      <c r="J58" s="332" t="str">
        <f>IF(calculos_quadro!$G$284="","",IFERROR(INDEX(calculos_quadro!$B$117:$J$117,MATCH(calculos_quadro!$G$284,calculos_quadro!$B$101:$J$101,0)),""))</f>
        <v>—</v>
      </c>
      <c r="K58" s="331"/>
      <c r="L58" s="332" t="str">
        <f>IF(calculos_quadro!$G$285="","",IFERROR(INDEX(calculos_quadro!$B$117:$J$117,MATCH(calculos_quadro!$G$285,calculos_quadro!$B$101:$J$101,0)),""))</f>
        <v>—</v>
      </c>
      <c r="M58" s="332" t="str">
        <f>IF(calculos_quadro!$G$286="","",IFERROR(INDEX(calculos_quadro!$B$117:$J$117,MATCH(calculos_quadro!$G$286,calculos_quadro!$B$101:$J$101,0)),""))</f>
        <v>—</v>
      </c>
      <c r="N58" s="332" t="str">
        <f>IF(calculos_quadro!$G$287="","",IFERROR(INDEX(calculos_quadro!$B$117:$J$117,MATCH(calculos_quadro!$G$287,calculos_quadro!$B$101:$J$101,0)),""))</f>
        <v>—</v>
      </c>
      <c r="O58" s="332" t="str">
        <f>IF(calculos_quadro!$G$288="","",IFERROR(INDEX(calculos_quadro!$B$117:$J$117,MATCH(calculos_quadro!$G$288,calculos_quadro!$B$101:$J$101,0)),""))</f>
        <v>—</v>
      </c>
      <c r="P58" s="331"/>
      <c r="Q58" s="332" t="str">
        <f>IF(calculos_quadro!$G$289="","",IFERROR(INDEX(calculos_quadro!$B$117:$J$117,MATCH(calculos_quadro!$G$289,calculos_quadro!$B$101:$J$101,0)),""))</f>
        <v>—</v>
      </c>
      <c r="R58" s="332" t="str">
        <f>IF(calculos_quadro!$G$290="","",IFERROR(INDEX(calculos_quadro!$B$117:$J$117,MATCH(calculos_quadro!$G$290,calculos_quadro!$B$101:$J$101,0)),""))</f>
        <v>—</v>
      </c>
      <c r="S58" s="492">
        <f>IF(calculos_quadro!$B$2="Todos",calculos_quadro!K117,SUM(H58:R58))</f>
        <v>0</v>
      </c>
    </row>
    <row r="59" ht="15.75" customHeight="1">
      <c r="B59" s="471"/>
      <c r="C59" s="233"/>
      <c r="D59" s="324" t="inlineStr">
        <is>
          <t xml:space="preserve">Pallets Movimentados</t>
        </is>
      </c>
      <c r="E59" s="323"/>
      <c r="F59" s="323"/>
      <c r="G59" s="323"/>
      <c r="H59" s="332" t="str">
        <f>IF(calculos_quadro!$G$282="","",IFERROR(INDEX(calculos_quadro!$B$118:$J$118,MATCH(calculos_quadro!$G$282,calculos_quadro!$B$101:$J$101,0)),""))</f>
        <v>—</v>
      </c>
      <c r="I59" s="332">
        <f>IF(calculos_quadro!$G$283="","",IFERROR(INDEX(calculos_quadro!$B$118:$J$118,MATCH(calculos_quadro!$G$283,calculos_quadro!$B$101:$J$101,0)),""))</f>
        <v>0</v>
      </c>
      <c r="J59" s="332">
        <f>IF(calculos_quadro!$G$284="","",IFERROR(INDEX(calculos_quadro!$B$118:$J$118,MATCH(calculos_quadro!$G$284,calculos_quadro!$B$101:$J$101,0)),""))</f>
        <v>0</v>
      </c>
      <c r="K59" s="331"/>
      <c r="L59" s="332">
        <f>IF(calculos_quadro!$G$285="","",IFERROR(INDEX(calculos_quadro!$B$118:$J$118,MATCH(calculos_quadro!$G$285,calculos_quadro!$B$101:$J$101,0)),""))</f>
        <v>0</v>
      </c>
      <c r="M59" s="332">
        <f>IF(calculos_quadro!$G$286="","",IFERROR(INDEX(calculos_quadro!$B$118:$J$118,MATCH(calculos_quadro!$G$286,calculos_quadro!$B$101:$J$101,0)),""))</f>
        <v>0</v>
      </c>
      <c r="N59" s="332">
        <f>IF(calculos_quadro!$G$287="","",IFERROR(INDEX(calculos_quadro!$B$118:$J$118,MATCH(calculos_quadro!$G$287,calculos_quadro!$B$101:$J$101,0)),""))</f>
        <v>0</v>
      </c>
      <c r="O59" s="332">
        <f>IF(calculos_quadro!$G$288="","",IFERROR(INDEX(calculos_quadro!$B$118:$J$118,MATCH(calculos_quadro!$G$288,calculos_quadro!$B$101:$J$101,0)),""))</f>
        <v>0</v>
      </c>
      <c r="P59" s="331"/>
      <c r="Q59" s="332">
        <f>IF(calculos_quadro!$G$289="","",IFERROR(INDEX(calculos_quadro!$B$118:$J$118,MATCH(calculos_quadro!$G$289,calculos_quadro!$B$101:$J$101,0)),""))</f>
        <v>0</v>
      </c>
      <c r="R59" s="332" t="str">
        <f>IF(calculos_quadro!$G$290="","",IFERROR(INDEX(calculos_quadro!$B$118:$J$118,MATCH(calculos_quadro!$G$290,calculos_quadro!$B$101:$J$101,0)),""))</f>
        <v>—</v>
      </c>
      <c r="S59" s="492">
        <f>IF(calculos_quadro!$B$2="Todos",calculos_quadro!K118,SUM(H59:R59))</f>
        <v>0</v>
      </c>
    </row>
    <row r="60" ht="15.75" customHeight="1">
      <c r="B60" s="472"/>
      <c r="C60" s="158"/>
      <c r="D60" s="341" t="inlineStr">
        <is>
          <t xml:space="preserve">Toneladas Movimentadas</t>
        </is>
      </c>
      <c r="E60" s="340"/>
      <c r="F60" s="340"/>
      <c r="G60" s="340"/>
      <c r="H60" s="347" t="str">
        <f>IF(calculos_quadro!$G$282="","",IFERROR(INDEX(calculos_quadro!$B$119:$J$119,MATCH(calculos_quadro!$G$282,calculos_quadro!$B$101:$J$101,0)),""))</f>
        <v>—</v>
      </c>
      <c r="I60" s="347">
        <f>IF(calculos_quadro!$G$283="","",IFERROR(INDEX(calculos_quadro!$B$119:$J$119,MATCH(calculos_quadro!$G$283,calculos_quadro!$B$101:$J$101,0)),""))</f>
        <v>0</v>
      </c>
      <c r="J60" s="347" t="str">
        <f>IF(calculos_quadro!$G$284="","",IFERROR(INDEX(calculos_quadro!$B$119:$J$119,MATCH(calculos_quadro!$G$284,calculos_quadro!$B$101:$J$101,0)),""))</f>
        <v>—</v>
      </c>
      <c r="K60" s="346"/>
      <c r="L60" s="347" t="str">
        <f>IF(calculos_quadro!$G$285="","",IFERROR(INDEX(calculos_quadro!$B$119:$J$119,MATCH(calculos_quadro!$G$285,calculos_quadro!$B$101:$J$101,0)),""))</f>
        <v>—</v>
      </c>
      <c r="M60" s="347" t="str">
        <f>IF(calculos_quadro!$G$286="","",IFERROR(INDEX(calculos_quadro!$B$119:$J$119,MATCH(calculos_quadro!$G$286,calculos_quadro!$B$101:$J$101,0)),""))</f>
        <v>—</v>
      </c>
      <c r="N60" s="347" t="str">
        <f>IF(calculos_quadro!$G$287="","",IFERROR(INDEX(calculos_quadro!$B$119:$J$119,MATCH(calculos_quadro!$G$287,calculos_quadro!$B$101:$J$101,0)),""))</f>
        <v>—</v>
      </c>
      <c r="O60" s="347">
        <f>IF(calculos_quadro!$G$288="","",IFERROR(INDEX(calculos_quadro!$B$119:$J$119,MATCH(calculos_quadro!$G$288,calculos_quadro!$B$101:$J$101,0)),""))</f>
        <v>0</v>
      </c>
      <c r="P60" s="346"/>
      <c r="Q60" s="347" t="str">
        <f>IF(calculos_quadro!$G$289="","",IFERROR(INDEX(calculos_quadro!$B$119:$J$119,MATCH(calculos_quadro!$G$289,calculos_quadro!$B$101:$J$101,0)),""))</f>
        <v>—</v>
      </c>
      <c r="R60" s="347" t="str">
        <f>IF(calculos_quadro!$G$290="","",IFERROR(INDEX(calculos_quadro!$B$119:$J$119,MATCH(calculos_quadro!$G$290,calculos_quadro!$B$101:$J$101,0)),""))</f>
        <v>—</v>
      </c>
      <c r="S60" s="494">
        <f>IF(calculos_quadro!$B$2="Todos",calculos_quadro!K119,SUM(H60:R60))</f>
        <v>0</v>
      </c>
    </row>
    <row r="61" ht="15.75" customHeight="1">
      <c r="B61" s="473" t="inlineStr">
        <is>
          <t xml:space="preserve">NC</t>
        </is>
      </c>
      <c r="C61" s="164"/>
      <c r="D61" s="356" t="inlineStr">
        <is>
          <t xml:space="preserve">Incidentes</t>
        </is>
      </c>
      <c r="E61" s="355"/>
      <c r="F61" s="355"/>
      <c r="G61" s="355"/>
      <c r="H61" s="364">
        <f>IF(calculos_quadro!$G$282="","",IFERROR(INDEX(calculos_quadro!$B$120:$J$120,MATCH(calculos_quadro!$G$282,calculos_quadro!$B$101:$J$101,0)),""))</f>
        <v>0</v>
      </c>
      <c r="I61" s="364">
        <f>IF(calculos_quadro!$G$283="","",IFERROR(INDEX(calculos_quadro!$B$120:$J$120,MATCH(calculos_quadro!$G$283,calculos_quadro!$B$101:$J$101,0)),""))</f>
        <v>0</v>
      </c>
      <c r="J61" s="364">
        <f>IF(calculos_quadro!$G$284="","",IFERROR(INDEX(calculos_quadro!$B$120:$J$120,MATCH(calculos_quadro!$G$284,calculos_quadro!$B$101:$J$101,0)),""))</f>
        <v>0</v>
      </c>
      <c r="K61" s="363"/>
      <c r="L61" s="364">
        <f>IF(calculos_quadro!$G$285="","",IFERROR(INDEX(calculos_quadro!$B$120:$J$120,MATCH(calculos_quadro!$G$285,calculos_quadro!$B$101:$J$101,0)),""))</f>
        <v>0</v>
      </c>
      <c r="M61" s="364">
        <f>IF(calculos_quadro!$G$286="","",IFERROR(INDEX(calculos_quadro!$B$120:$J$120,MATCH(calculos_quadro!$G$286,calculos_quadro!$B$101:$J$101,0)),""))</f>
        <v>0</v>
      </c>
      <c r="N61" s="364">
        <f>IF(calculos_quadro!$G$287="","",IFERROR(INDEX(calculos_quadro!$B$120:$J$120,MATCH(calculos_quadro!$G$287,calculos_quadro!$B$101:$J$101,0)),""))</f>
        <v>0</v>
      </c>
      <c r="O61" s="364">
        <f>IF(calculos_quadro!$G$288="","",IFERROR(INDEX(calculos_quadro!$B$120:$J$120,MATCH(calculos_quadro!$G$288,calculos_quadro!$B$101:$J$101,0)),""))</f>
        <v>0</v>
      </c>
      <c r="P61" s="363"/>
      <c r="Q61" s="364">
        <f>IF(calculos_quadro!$G$289="","",IFERROR(INDEX(calculos_quadro!$B$120:$J$120,MATCH(calculos_quadro!$G$289,calculos_quadro!$B$101:$J$101,0)),""))</f>
        <v>0</v>
      </c>
      <c r="R61" s="364">
        <f>IF(calculos_quadro!$G$290="","",IFERROR(INDEX(calculos_quadro!$B$120:$J$120,MATCH(calculos_quadro!$G$290,calculos_quadro!$B$101:$J$101,0)),""))</f>
        <v>0</v>
      </c>
      <c r="S61" s="495">
        <f>IF(calculos_quadro!$B$2="Todos",calculos_quadro!K120,SUM(H61:R61))</f>
        <v>0</v>
      </c>
    </row>
    <row r="62" ht="15.75" customHeight="1">
      <c r="B62" s="474"/>
      <c r="C62" s="171"/>
      <c r="D62" s="373" t="inlineStr">
        <is>
          <t xml:space="preserve">No show</t>
        </is>
      </c>
      <c r="E62" s="372"/>
      <c r="F62" s="372"/>
      <c r="G62" s="372"/>
      <c r="H62" s="381">
        <f>IF(calculos_quadro!$G$282="","",IFERROR(INDEX(calculos_quadro!$B$121:$J$121,MATCH(calculos_quadro!$G$282,calculos_quadro!$B$101:$J$101,0)),""))</f>
        <v>0</v>
      </c>
      <c r="I62" s="381">
        <f>IF(calculos_quadro!$G$283="","",IFERROR(INDEX(calculos_quadro!$B$121:$J$121,MATCH(calculos_quadro!$G$283,calculos_quadro!$B$101:$J$101,0)),""))</f>
        <v>0</v>
      </c>
      <c r="J62" s="381">
        <f>IF(calculos_quadro!$G$284="","",IFERROR(INDEX(calculos_quadro!$B$121:$J$121,MATCH(calculos_quadro!$G$284,calculos_quadro!$B$101:$J$101,0)),""))</f>
        <v>0</v>
      </c>
      <c r="K62" s="380"/>
      <c r="L62" s="381">
        <f>IF(calculos_quadro!$G$285="","",IFERROR(INDEX(calculos_quadro!$B$121:$J$121,MATCH(calculos_quadro!$G$285,calculos_quadro!$B$101:$J$101,0)),""))</f>
        <v>0</v>
      </c>
      <c r="M62" s="381">
        <f>IF(calculos_quadro!$G$286="","",IFERROR(INDEX(calculos_quadro!$B$121:$J$121,MATCH(calculos_quadro!$G$286,calculos_quadro!$B$101:$J$101,0)),""))</f>
        <v>0</v>
      </c>
      <c r="N62" s="381">
        <f>IF(calculos_quadro!$G$287="","",IFERROR(INDEX(calculos_quadro!$B$121:$J$121,MATCH(calculos_quadro!$G$287,calculos_quadro!$B$101:$J$101,0)),""))</f>
        <v>0</v>
      </c>
      <c r="O62" s="381">
        <f>IF(calculos_quadro!$G$288="","",IFERROR(INDEX(calculos_quadro!$B$121:$J$121,MATCH(calculos_quadro!$G$288,calculos_quadro!$B$101:$J$101,0)),""))</f>
        <v>0</v>
      </c>
      <c r="P62" s="380"/>
      <c r="Q62" s="381">
        <f>IF(calculos_quadro!$G$289="","",IFERROR(INDEX(calculos_quadro!$B$121:$J$121,MATCH(calculos_quadro!$G$289,calculos_quadro!$B$101:$J$101,0)),""))</f>
        <v>0</v>
      </c>
      <c r="R62" s="381">
        <f>IF(calculos_quadro!$G$290="","",IFERROR(INDEX(calculos_quadro!$B$121:$J$121,MATCH(calculos_quadro!$G$290,calculos_quadro!$B$101:$J$101,0)),""))</f>
        <v>0</v>
      </c>
      <c r="S62" s="496">
        <f>IF(calculos_quadro!$B$2="Todos",calculos_quadro!K121,SUM(H62:R62))</f>
        <v>0</v>
      </c>
    </row>
    <row r="63" ht="15.75" customHeight="1">
      <c r="B63" s="475"/>
      <c r="C63" s="178"/>
      <c r="D63" s="390" t="inlineStr">
        <is>
          <t xml:space="preserve">Backlog</t>
        </is>
      </c>
      <c r="E63" s="389"/>
      <c r="F63" s="389"/>
      <c r="G63" s="389"/>
      <c r="H63" s="398" t="str">
        <f>IF(calculos_quadro!$G$282="","",IFERROR(INDEX(calculos_quadro!$B$122:$J$122,MATCH(calculos_quadro!$G$282,calculos_quadro!$B$101:$J$101,0)),""))</f>
        <v/>
      </c>
      <c r="I63" s="398" t="str">
        <f>IF(calculos_quadro!$G$283="","",IFERROR(INDEX(calculos_quadro!$B$122:$J$122,MATCH(calculos_quadro!$G$283,calculos_quadro!$B$101:$J$101,0)),""))</f>
        <v/>
      </c>
      <c r="J63" s="398" t="str">
        <f>IF(calculos_quadro!$G$284="","",IFERROR(INDEX(calculos_quadro!$B$122:$J$122,MATCH(calculos_quadro!$G$284,calculos_quadro!$B$101:$J$101,0)),""))</f>
        <v/>
      </c>
      <c r="K63" s="397"/>
      <c r="L63" s="398" t="str">
        <f>IF(calculos_quadro!$G$285="","",IFERROR(INDEX(calculos_quadro!$B$122:$J$122,MATCH(calculos_quadro!$G$285,calculos_quadro!$B$101:$J$101,0)),""))</f>
        <v/>
      </c>
      <c r="M63" s="398" t="str">
        <f>IF(calculos_quadro!$G$286="","",IFERROR(INDEX(calculos_quadro!$B$122:$J$122,MATCH(calculos_quadro!$G$286,calculos_quadro!$B$101:$J$101,0)),""))</f>
        <v/>
      </c>
      <c r="N63" s="398" t="str">
        <f>IF(calculos_quadro!$G$287="","",IFERROR(INDEX(calculos_quadro!$B$122:$J$122,MATCH(calculos_quadro!$G$287,calculos_quadro!$B$101:$J$101,0)),""))</f>
        <v/>
      </c>
      <c r="O63" s="398" t="str">
        <f>IF(calculos_quadro!$G$288="","",IFERROR(INDEX(calculos_quadro!$B$122:$J$122,MATCH(calculos_quadro!$G$288,calculos_quadro!$B$101:$J$101,0)),""))</f>
        <v/>
      </c>
      <c r="P63" s="397"/>
      <c r="Q63" s="398" t="str">
        <f>IF(calculos_quadro!$G$289="","",IFERROR(INDEX(calculos_quadro!$B$122:$J$122,MATCH(calculos_quadro!$G$289,calculos_quadro!$B$101:$J$101,0)),""))</f>
        <v/>
      </c>
      <c r="R63" s="398" t="str">
        <f>IF(calculos_quadro!$G$290="","",IFERROR(INDEX(calculos_quadro!$B$122:$J$122,MATCH(calculos_quadro!$G$290,calculos_quadro!$B$101:$J$101,0)),""))</f>
        <v/>
      </c>
      <c r="S63" s="497">
        <f>IF(calculos_quadro!$B$2="Todos",calculos_quadro!K122,SUM(H63:R63))</f>
        <v>0</v>
      </c>
    </row>
    <row r="64" ht="15.75" customHeight="1">
      <c r="B64" s="467" t="inlineStr">
        <is>
          <t xml:space="preserve">OCUPAÇÃO (P.P)</t>
        </is>
      </c>
      <c r="C64" s="138"/>
      <c r="D64" s="254" t="inlineStr">
        <is>
          <t xml:space="preserve">Posições Disponíveis</t>
        </is>
      </c>
      <c r="E64" s="253"/>
      <c r="F64" s="253"/>
      <c r="G64" s="253"/>
      <c r="H64" s="262" t="str">
        <f>IF(calculos_quadro!$G$282="","",IFERROR(INDEX(calculos_quadro!$B$123:$J$123,MATCH(calculos_quadro!$G$282,calculos_quadro!$B$101:$J$101,0)),""))</f>
        <v/>
      </c>
      <c r="I64" s="262" t="str">
        <f>IF(calculos_quadro!$G$283="","",IFERROR(INDEX(calculos_quadro!$B$123:$J$123,MATCH(calculos_quadro!$G$283,calculos_quadro!$B$101:$J$101,0)),""))</f>
        <v/>
      </c>
      <c r="J64" s="262" t="str">
        <f>IF(calculos_quadro!$G$284="","",IFERROR(INDEX(calculos_quadro!$B$123:$J$123,MATCH(calculos_quadro!$G$284,calculos_quadro!$B$101:$J$101,0)),""))</f>
        <v/>
      </c>
      <c r="K64" s="261"/>
      <c r="L64" s="262" t="str">
        <f>IF(calculos_quadro!$G$285="","",IFERROR(INDEX(calculos_quadro!$B$123:$J$123,MATCH(calculos_quadro!$G$285,calculos_quadro!$B$101:$J$101,0)),""))</f>
        <v/>
      </c>
      <c r="M64" s="262" t="str">
        <f>IF(calculos_quadro!$G$286="","",IFERROR(INDEX(calculos_quadro!$B$123:$J$123,MATCH(calculos_quadro!$G$286,calculos_quadro!$B$101:$J$101,0)),""))</f>
        <v/>
      </c>
      <c r="N64" s="262" t="str">
        <f>IF(calculos_quadro!$G$287="","",IFERROR(INDEX(calculos_quadro!$B$123:$J$123,MATCH(calculos_quadro!$G$287,calculos_quadro!$B$101:$J$101,0)),""))</f>
        <v/>
      </c>
      <c r="O64" s="262" t="str">
        <f>IF(calculos_quadro!$G$288="","",IFERROR(INDEX(calculos_quadro!$B$123:$J$123,MATCH(calculos_quadro!$G$288,calculos_quadro!$B$101:$J$101,0)),""))</f>
        <v/>
      </c>
      <c r="P64" s="261"/>
      <c r="Q64" s="262" t="str">
        <f>IF(calculos_quadro!$G$289="","",IFERROR(INDEX(calculos_quadro!$B$123:$J$123,MATCH(calculos_quadro!$G$289,calculos_quadro!$B$101:$J$101,0)),""))</f>
        <v/>
      </c>
      <c r="R64" s="262" t="str">
        <f>IF(calculos_quadro!$G$290="","",IFERROR(INDEX(calculos_quadro!$B$123:$J$123,MATCH(calculos_quadro!$G$290,calculos_quadro!$B$101:$J$101,0)),""))</f>
        <v/>
      </c>
      <c r="S64" s="486">
        <f>IF(calculos_quadro!$B$2="Todos",calculos_quadro!K123,SUM(H64:R64))</f>
        <v>0</v>
      </c>
    </row>
    <row r="65" ht="15.75" customHeight="1">
      <c r="B65" s="468"/>
      <c r="C65" s="184"/>
      <c r="D65" s="271" t="inlineStr">
        <is>
          <t xml:space="preserve">Posições Ocupadas</t>
        </is>
      </c>
      <c r="E65" s="270"/>
      <c r="F65" s="270"/>
      <c r="G65" s="270"/>
      <c r="H65" s="279" t="str">
        <f>IF(calculos_quadro!$G$282="","",IFERROR(INDEX(calculos_quadro!$B$124:$J$124,MATCH(calculos_quadro!$G$282,calculos_quadro!$B$101:$J$101,0)),""))</f>
        <v/>
      </c>
      <c r="I65" s="279" t="str">
        <f>IF(calculos_quadro!$G$283="","",IFERROR(INDEX(calculos_quadro!$B$124:$J$124,MATCH(calculos_quadro!$G$283,calculos_quadro!$B$101:$J$101,0)),""))</f>
        <v/>
      </c>
      <c r="J65" s="279" t="str">
        <f>IF(calculos_quadro!$G$284="","",IFERROR(INDEX(calculos_quadro!$B$124:$J$124,MATCH(calculos_quadro!$G$284,calculos_quadro!$B$101:$J$101,0)),""))</f>
        <v/>
      </c>
      <c r="K65" s="278"/>
      <c r="L65" s="279" t="str">
        <f>IF(calculos_quadro!$G$285="","",IFERROR(INDEX(calculos_quadro!$B$124:$J$124,MATCH(calculos_quadro!$G$285,calculos_quadro!$B$101:$J$101,0)),""))</f>
        <v/>
      </c>
      <c r="M65" s="279" t="str">
        <f>IF(calculos_quadro!$G$286="","",IFERROR(INDEX(calculos_quadro!$B$124:$J$124,MATCH(calculos_quadro!$G$286,calculos_quadro!$B$101:$J$101,0)),""))</f>
        <v/>
      </c>
      <c r="N65" s="279" t="str">
        <f>IF(calculos_quadro!$G$287="","",IFERROR(INDEX(calculos_quadro!$B$124:$J$124,MATCH(calculos_quadro!$G$287,calculos_quadro!$B$101:$J$101,0)),""))</f>
        <v/>
      </c>
      <c r="O65" s="279" t="str">
        <f>IF(calculos_quadro!$G$288="","",IFERROR(INDEX(calculos_quadro!$B$124:$J$124,MATCH(calculos_quadro!$G$288,calculos_quadro!$B$101:$J$101,0)),""))</f>
        <v/>
      </c>
      <c r="P65" s="278"/>
      <c r="Q65" s="279" t="str">
        <f>IF(calculos_quadro!$G$289="","",IFERROR(INDEX(calculos_quadro!$B$124:$J$124,MATCH(calculos_quadro!$G$289,calculos_quadro!$B$101:$J$101,0)),""))</f>
        <v/>
      </c>
      <c r="R65" s="279" t="str">
        <f>IF(calculos_quadro!$G$290="","",IFERROR(INDEX(calculos_quadro!$B$124:$J$124,MATCH(calculos_quadro!$G$290,calculos_quadro!$B$101:$J$101,0)),""))</f>
        <v/>
      </c>
      <c r="S65" s="487">
        <f>IF(calculos_quadro!$B$2="Todos",calculos_quadro!K124,SUM(H65:R65))</f>
        <v>0</v>
      </c>
    </row>
    <row r="66" ht="15.75" customHeight="1">
      <c r="B66" s="469"/>
      <c r="C66" s="145"/>
      <c r="D66" s="290" t="inlineStr">
        <is>
          <t xml:space="preserve">Taxa de Ocupação</t>
        </is>
      </c>
      <c r="E66" s="289"/>
      <c r="F66" s="289"/>
      <c r="G66" s="289"/>
      <c r="H66" s="302" t="str">
        <f>IF(calculos_quadro!$G$282="","",IFERROR(INDEX(calculos_quadro!$B$125:$J$125,MATCH(calculos_quadro!$G$282,calculos_quadro!$B$101:$J$101,0)),""))</f>
        <v/>
      </c>
      <c r="I66" s="302" t="str">
        <f>IF(calculos_quadro!$G$283="","",IFERROR(INDEX(calculos_quadro!$B$125:$J$125,MATCH(calculos_quadro!$G$283,calculos_quadro!$B$101:$J$101,0)),""))</f>
        <v/>
      </c>
      <c r="J66" s="302" t="str">
        <f>IF(calculos_quadro!$G$284="","",IFERROR(INDEX(calculos_quadro!$B$125:$J$125,MATCH(calculos_quadro!$G$284,calculos_quadro!$B$101:$J$101,0)),""))</f>
        <v/>
      </c>
      <c r="K66" s="301"/>
      <c r="L66" s="302" t="str">
        <f>IF(calculos_quadro!$G$285="","",IFERROR(INDEX(calculos_quadro!$B$125:$J$125,MATCH(calculos_quadro!$G$285,calculos_quadro!$B$101:$J$101,0)),""))</f>
        <v/>
      </c>
      <c r="M66" s="302" t="str">
        <f>IF(calculos_quadro!$G$286="","",IFERROR(INDEX(calculos_quadro!$B$125:$J$125,MATCH(calculos_quadro!$G$286,calculos_quadro!$B$101:$J$101,0)),""))</f>
        <v/>
      </c>
      <c r="N66" s="302" t="str">
        <f>IF(calculos_quadro!$G$287="","",IFERROR(INDEX(calculos_quadro!$B$125:$J$125,MATCH(calculos_quadro!$G$287,calculos_quadro!$B$101:$J$101,0)),""))</f>
        <v/>
      </c>
      <c r="O66" s="302" t="str">
        <f>IF(calculos_quadro!$G$288="","",IFERROR(INDEX(calculos_quadro!$B$125:$J$125,MATCH(calculos_quadro!$G$288,calculos_quadro!$B$101:$J$101,0)),""))</f>
        <v/>
      </c>
      <c r="P66" s="301"/>
      <c r="Q66" s="302" t="str">
        <f>IF(calculos_quadro!$G$289="","",IFERROR(INDEX(calculos_quadro!$B$125:$J$125,MATCH(calculos_quadro!$G$289,calculos_quadro!$B$101:$J$101,0)),""))</f>
        <v/>
      </c>
      <c r="R66" s="302" t="str">
        <f>IF(calculos_quadro!$G$290="","",IFERROR(INDEX(calculos_quadro!$B$125:$J$125,MATCH(calculos_quadro!$G$290,calculos_quadro!$B$101:$J$101,0)),""))</f>
        <v/>
      </c>
      <c r="S66" s="498" t="str">
        <f>IF(calculos_quadro!$B$2="Todos",calculos_quadro!K125,IFERROR(S65/S64,""))</f>
        <v/>
      </c>
    </row>
    <row r="67" ht="15.75" customHeight="1">
      <c r="B67" s="476" t="inlineStr">
        <is>
          <t xml:space="preserve">GENTE</t>
        </is>
      </c>
      <c r="C67" s="195"/>
      <c r="D67" s="417" t="inlineStr">
        <is>
          <t xml:space="preserve">Efetivo Op.</t>
        </is>
      </c>
      <c r="E67" s="416"/>
      <c r="F67" s="416"/>
      <c r="G67" s="416"/>
      <c r="H67" s="425" t="str">
        <f>IF(calculos_quadro!$G$282="","",IFERROR(INDEX(calculos_quadro!$B$126:$J$126,MATCH(calculos_quadro!$G$282,calculos_quadro!$B$101:$J$101,0)),""))</f>
        <v/>
      </c>
      <c r="I67" s="425" t="str">
        <f>IF(calculos_quadro!$G$283="","",IFERROR(INDEX(calculos_quadro!$B$126:$J$126,MATCH(calculos_quadro!$G$283,calculos_quadro!$B$101:$J$101,0)),""))</f>
        <v/>
      </c>
      <c r="J67" s="425" t="str">
        <f>IF(calculos_quadro!$G$284="","",IFERROR(INDEX(calculos_quadro!$B$126:$J$126,MATCH(calculos_quadro!$G$284,calculos_quadro!$B$101:$J$101,0)),""))</f>
        <v/>
      </c>
      <c r="K67" s="424"/>
      <c r="L67" s="425" t="str">
        <f>IF(calculos_quadro!$G$285="","",IFERROR(INDEX(calculos_quadro!$B$126:$J$126,MATCH(calculos_quadro!$G$285,calculos_quadro!$B$101:$J$101,0)),""))</f>
        <v/>
      </c>
      <c r="M67" s="425" t="str">
        <f>IF(calculos_quadro!$G$286="","",IFERROR(INDEX(calculos_quadro!$B$126:$J$126,MATCH(calculos_quadro!$G$286,calculos_quadro!$B$101:$J$101,0)),""))</f>
        <v/>
      </c>
      <c r="N67" s="425" t="str">
        <f>IF(calculos_quadro!$G$287="","",IFERROR(INDEX(calculos_quadro!$B$126:$J$126,MATCH(calculos_quadro!$G$287,calculos_quadro!$B$101:$J$101,0)),""))</f>
        <v/>
      </c>
      <c r="O67" s="425" t="str">
        <f>IF(calculos_quadro!$G$288="","",IFERROR(INDEX(calculos_quadro!$B$126:$J$126,MATCH(calculos_quadro!$G$288,calculos_quadro!$B$101:$J$101,0)),""))</f>
        <v/>
      </c>
      <c r="P67" s="424"/>
      <c r="Q67" s="425" t="str">
        <f>IF(calculos_quadro!$G$289="","",IFERROR(INDEX(calculos_quadro!$B$126:$J$126,MATCH(calculos_quadro!$G$289,calculos_quadro!$B$101:$J$101,0)),""))</f>
        <v/>
      </c>
      <c r="R67" s="425" t="str">
        <f>IF(calculos_quadro!$G$290="","",IFERROR(INDEX(calculos_quadro!$B$126:$J$126,MATCH(calculos_quadro!$G$290,calculos_quadro!$B$101:$J$101,0)),""))</f>
        <v/>
      </c>
      <c r="S67" s="499">
        <f>IF(calculos_quadro!$B$2="Todos",calculos_quadro!K126,SUM(H67:R67))</f>
        <v>0</v>
      </c>
    </row>
    <row r="68" ht="15.75" customHeight="1">
      <c r="B68" s="477"/>
      <c r="C68" s="202"/>
      <c r="D68" s="434" t="inlineStr">
        <is>
          <t xml:space="preserve">Falta</t>
        </is>
      </c>
      <c r="E68" s="433"/>
      <c r="F68" s="433"/>
      <c r="G68" s="433"/>
      <c r="H68" s="442">
        <f>IF(calculos_quadro!$G$282="","",IFERROR(INDEX(calculos_quadro!$B$127:$J$127,MATCH(calculos_quadro!$G$282,calculos_quadro!$B$101:$J$101,0)),""))</f>
        <v>0</v>
      </c>
      <c r="I68" s="442">
        <f>IF(calculos_quadro!$G$283="","",IFERROR(INDEX(calculos_quadro!$B$127:$J$127,MATCH(calculos_quadro!$G$283,calculos_quadro!$B$101:$J$101,0)),""))</f>
        <v>0</v>
      </c>
      <c r="J68" s="442">
        <f>IF(calculos_quadro!$G$284="","",IFERROR(INDEX(calculos_quadro!$B$127:$J$127,MATCH(calculos_quadro!$G$284,calculos_quadro!$B$101:$J$101,0)),""))</f>
        <v>0</v>
      </c>
      <c r="K68" s="441"/>
      <c r="L68" s="442">
        <f>IF(calculos_quadro!$G$285="","",IFERROR(INDEX(calculos_quadro!$B$127:$J$127,MATCH(calculos_quadro!$G$285,calculos_quadro!$B$101:$J$101,0)),""))</f>
        <v>0</v>
      </c>
      <c r="M68" s="442">
        <f>IF(calculos_quadro!$G$286="","",IFERROR(INDEX(calculos_quadro!$B$127:$J$127,MATCH(calculos_quadro!$G$286,calculos_quadro!$B$101:$J$101,0)),""))</f>
        <v>0</v>
      </c>
      <c r="N68" s="442">
        <f>IF(calculos_quadro!$G$287="","",IFERROR(INDEX(calculos_quadro!$B$127:$J$127,MATCH(calculos_quadro!$G$287,calculos_quadro!$B$101:$J$101,0)),""))</f>
        <v>0</v>
      </c>
      <c r="O68" s="442">
        <f>IF(calculos_quadro!$G$288="","",IFERROR(INDEX(calculos_quadro!$B$127:$J$127,MATCH(calculos_quadro!$G$288,calculos_quadro!$B$101:$J$101,0)),""))</f>
        <v>0</v>
      </c>
      <c r="P68" s="441"/>
      <c r="Q68" s="442">
        <f>IF(calculos_quadro!$G$289="","",IFERROR(INDEX(calculos_quadro!$B$127:$J$127,MATCH(calculos_quadro!$G$289,calculos_quadro!$B$101:$J$101,0)),""))</f>
        <v>0</v>
      </c>
      <c r="R68" s="442">
        <f>IF(calculos_quadro!$G$290="","",IFERROR(INDEX(calculos_quadro!$B$127:$J$127,MATCH(calculos_quadro!$G$290,calculos_quadro!$B$101:$J$101,0)),""))</f>
        <v>0</v>
      </c>
      <c r="S68" s="500">
        <f>IF(calculos_quadro!$B$2="Todos",calculos_quadro!K127,SUM(H68:R68))</f>
        <v>0</v>
      </c>
    </row>
    <row r="69" ht="15.75" customHeight="1">
      <c r="B69" s="477"/>
      <c r="C69" s="202"/>
      <c r="D69" s="434" t="inlineStr">
        <is>
          <t xml:space="preserve">Folga</t>
        </is>
      </c>
      <c r="E69" s="433"/>
      <c r="F69" s="433"/>
      <c r="G69" s="433"/>
      <c r="H69" s="442">
        <f>IF(calculos_quadro!$G$282="","",IFERROR(INDEX(calculos_quadro!$B$128:$J$128,MATCH(calculos_quadro!$G$282,calculos_quadro!$B$101:$J$101,0)),""))</f>
        <v>0</v>
      </c>
      <c r="I69" s="442">
        <f>IF(calculos_quadro!$G$283="","",IFERROR(INDEX(calculos_quadro!$B$128:$J$128,MATCH(calculos_quadro!$G$283,calculos_quadro!$B$101:$J$101,0)),""))</f>
        <v>0</v>
      </c>
      <c r="J69" s="442">
        <f>IF(calculos_quadro!$G$284="","",IFERROR(INDEX(calculos_quadro!$B$128:$J$128,MATCH(calculos_quadro!$G$284,calculos_quadro!$B$101:$J$101,0)),""))</f>
        <v>0</v>
      </c>
      <c r="K69" s="441"/>
      <c r="L69" s="442">
        <f>IF(calculos_quadro!$G$285="","",IFERROR(INDEX(calculos_quadro!$B$128:$J$128,MATCH(calculos_quadro!$G$285,calculos_quadro!$B$101:$J$101,0)),""))</f>
        <v>0</v>
      </c>
      <c r="M69" s="442">
        <f>IF(calculos_quadro!$G$286="","",IFERROR(INDEX(calculos_quadro!$B$128:$J$128,MATCH(calculos_quadro!$G$286,calculos_quadro!$B$101:$J$101,0)),""))</f>
        <v>0</v>
      </c>
      <c r="N69" s="442">
        <f>IF(calculos_quadro!$G$287="","",IFERROR(INDEX(calculos_quadro!$B$128:$J$128,MATCH(calculos_quadro!$G$287,calculos_quadro!$B$101:$J$101,0)),""))</f>
        <v>0</v>
      </c>
      <c r="O69" s="442">
        <f>IF(calculos_quadro!$G$288="","",IFERROR(INDEX(calculos_quadro!$B$128:$J$128,MATCH(calculos_quadro!$G$288,calculos_quadro!$B$101:$J$101,0)),""))</f>
        <v>0</v>
      </c>
      <c r="P69" s="441"/>
      <c r="Q69" s="442">
        <f>IF(calculos_quadro!$G$289="","",IFERROR(INDEX(calculos_quadro!$B$128:$J$128,MATCH(calculos_quadro!$G$289,calculos_quadro!$B$101:$J$101,0)),""))</f>
        <v>0</v>
      </c>
      <c r="R69" s="442">
        <f>IF(calculos_quadro!$G$290="","",IFERROR(INDEX(calculos_quadro!$B$128:$J$128,MATCH(calculos_quadro!$G$290,calculos_quadro!$B$101:$J$101,0)),""))</f>
        <v>0</v>
      </c>
      <c r="S69" s="500">
        <f>IF(calculos_quadro!$B$2="Todos",calculos_quadro!K128,SUM(H69:R69))</f>
        <v>0</v>
      </c>
    </row>
    <row r="70" ht="15.75" customHeight="1">
      <c r="B70" s="477"/>
      <c r="C70" s="202"/>
      <c r="D70" s="434" t="inlineStr">
        <is>
          <t xml:space="preserve">Férias</t>
        </is>
      </c>
      <c r="E70" s="433"/>
      <c r="F70" s="433"/>
      <c r="G70" s="433"/>
      <c r="H70" s="442">
        <f>IF(calculos_quadro!$G$282="","",IFERROR(INDEX(calculos_quadro!$B$129:$J$129,MATCH(calculos_quadro!$G$282,calculos_quadro!$B$101:$J$101,0)),""))</f>
        <v>0</v>
      </c>
      <c r="I70" s="442">
        <f>IF(calculos_quadro!$G$283="","",IFERROR(INDEX(calculos_quadro!$B$129:$J$129,MATCH(calculos_quadro!$G$283,calculos_quadro!$B$101:$J$101,0)),""))</f>
        <v>0</v>
      </c>
      <c r="J70" s="442">
        <f>IF(calculos_quadro!$G$284="","",IFERROR(INDEX(calculos_quadro!$B$129:$J$129,MATCH(calculos_quadro!$G$284,calculos_quadro!$B$101:$J$101,0)),""))</f>
        <v>0</v>
      </c>
      <c r="K70" s="441"/>
      <c r="L70" s="442">
        <f>IF(calculos_quadro!$G$285="","",IFERROR(INDEX(calculos_quadro!$B$129:$J$129,MATCH(calculos_quadro!$G$285,calculos_quadro!$B$101:$J$101,0)),""))</f>
        <v>0</v>
      </c>
      <c r="M70" s="442">
        <f>IF(calculos_quadro!$G$286="","",IFERROR(INDEX(calculos_quadro!$B$129:$J$129,MATCH(calculos_quadro!$G$286,calculos_quadro!$B$101:$J$101,0)),""))</f>
        <v>0</v>
      </c>
      <c r="N70" s="442">
        <f>IF(calculos_quadro!$G$287="","",IFERROR(INDEX(calculos_quadro!$B$129:$J$129,MATCH(calculos_quadro!$G$287,calculos_quadro!$B$101:$J$101,0)),""))</f>
        <v>0</v>
      </c>
      <c r="O70" s="442">
        <f>IF(calculos_quadro!$G$288="","",IFERROR(INDEX(calculos_quadro!$B$129:$J$129,MATCH(calculos_quadro!$G$288,calculos_quadro!$B$101:$J$101,0)),""))</f>
        <v>0</v>
      </c>
      <c r="P70" s="441"/>
      <c r="Q70" s="442">
        <f>IF(calculos_quadro!$G$289="","",IFERROR(INDEX(calculos_quadro!$B$129:$J$129,MATCH(calculos_quadro!$G$289,calculos_quadro!$B$101:$J$101,0)),""))</f>
        <v>0</v>
      </c>
      <c r="R70" s="442">
        <f>IF(calculos_quadro!$G$290="","",IFERROR(INDEX(calculos_quadro!$B$129:$J$129,MATCH(calculos_quadro!$G$290,calculos_quadro!$B$101:$J$101,0)),""))</f>
        <v>0</v>
      </c>
      <c r="S70" s="500">
        <f>IF(calculos_quadro!$B$2="Todos",calculos_quadro!K129,SUM(H70:R70))</f>
        <v>0</v>
      </c>
    </row>
    <row r="71" ht="15.75" customHeight="1">
      <c r="B71" s="477"/>
      <c r="C71" s="202"/>
      <c r="D71" s="434" t="inlineStr">
        <is>
          <t xml:space="preserve">Desligamento</t>
        </is>
      </c>
      <c r="E71" s="433"/>
      <c r="F71" s="433"/>
      <c r="G71" s="433"/>
      <c r="H71" s="442">
        <f>IF(calculos_quadro!$G$282="","",IFERROR(INDEX(calculos_quadro!$B$130:$J$130,MATCH(calculos_quadro!$G$282,calculos_quadro!$B$101:$J$101,0)),""))</f>
        <v>0</v>
      </c>
      <c r="I71" s="442">
        <f>IF(calculos_quadro!$G$283="","",IFERROR(INDEX(calculos_quadro!$B$130:$J$130,MATCH(calculos_quadro!$G$283,calculos_quadro!$B$101:$J$101,0)),""))</f>
        <v>0</v>
      </c>
      <c r="J71" s="442">
        <f>IF(calculos_quadro!$G$284="","",IFERROR(INDEX(calculos_quadro!$B$130:$J$130,MATCH(calculos_quadro!$G$284,calculos_quadro!$B$101:$J$101,0)),""))</f>
        <v>0</v>
      </c>
      <c r="K71" s="441"/>
      <c r="L71" s="442">
        <f>IF(calculos_quadro!$G$285="","",IFERROR(INDEX(calculos_quadro!$B$130:$J$130,MATCH(calculos_quadro!$G$285,calculos_quadro!$B$101:$J$101,0)),""))</f>
        <v>0</v>
      </c>
      <c r="M71" s="442">
        <f>IF(calculos_quadro!$G$286="","",IFERROR(INDEX(calculos_quadro!$B$130:$J$130,MATCH(calculos_quadro!$G$286,calculos_quadro!$B$101:$J$101,0)),""))</f>
        <v>0</v>
      </c>
      <c r="N71" s="442">
        <f>IF(calculos_quadro!$G$287="","",IFERROR(INDEX(calculos_quadro!$B$130:$J$130,MATCH(calculos_quadro!$G$287,calculos_quadro!$B$101:$J$101,0)),""))</f>
        <v>0</v>
      </c>
      <c r="O71" s="442">
        <f>IF(calculos_quadro!$G$288="","",IFERROR(INDEX(calculos_quadro!$B$130:$J$130,MATCH(calculos_quadro!$G$288,calculos_quadro!$B$101:$J$101,0)),""))</f>
        <v>0</v>
      </c>
      <c r="P71" s="441"/>
      <c r="Q71" s="442">
        <f>IF(calculos_quadro!$G$289="","",IFERROR(INDEX(calculos_quadro!$B$130:$J$130,MATCH(calculos_quadro!$G$289,calculos_quadro!$B$101:$J$101,0)),""))</f>
        <v>0</v>
      </c>
      <c r="R71" s="442">
        <f>IF(calculos_quadro!$G$290="","",IFERROR(INDEX(calculos_quadro!$B$130:$J$130,MATCH(calculos_quadro!$G$290,calculos_quadro!$B$101:$J$101,0)),""))</f>
        <v>0</v>
      </c>
      <c r="S71" s="500">
        <f>IF(calculos_quadro!$B$2="Todos",calculos_quadro!K130,SUM(H71:R71))</f>
        <v>0</v>
      </c>
    </row>
    <row r="72" ht="15.75" customHeight="1">
      <c r="B72" s="477"/>
      <c r="C72" s="202"/>
      <c r="D72" s="434" t="inlineStr">
        <is>
          <t xml:space="preserve">Desvios Comportamentais</t>
        </is>
      </c>
      <c r="E72" s="433"/>
      <c r="F72" s="433"/>
      <c r="G72" s="433"/>
      <c r="H72" s="442">
        <f>IF(calculos_quadro!$G$282="","",IFERROR(INDEX(calculos_quadro!$B$131:$J$131,MATCH(calculos_quadro!$G$282,calculos_quadro!$B$101:$J$101,0)),""))</f>
        <v>0</v>
      </c>
      <c r="I72" s="442">
        <f>IF(calculos_quadro!$G$283="","",IFERROR(INDEX(calculos_quadro!$B$131:$J$131,MATCH(calculos_quadro!$G$283,calculos_quadro!$B$101:$J$101,0)),""))</f>
        <v>0</v>
      </c>
      <c r="J72" s="442">
        <f>IF(calculos_quadro!$G$284="","",IFERROR(INDEX(calculos_quadro!$B$131:$J$131,MATCH(calculos_quadro!$G$284,calculos_quadro!$B$101:$J$101,0)),""))</f>
        <v>0</v>
      </c>
      <c r="K72" s="441"/>
      <c r="L72" s="442">
        <f>IF(calculos_quadro!$G$285="","",IFERROR(INDEX(calculos_quadro!$B$131:$J$131,MATCH(calculos_quadro!$G$285,calculos_quadro!$B$101:$J$101,0)),""))</f>
        <v>0</v>
      </c>
      <c r="M72" s="442">
        <f>IF(calculos_quadro!$G$286="","",IFERROR(INDEX(calculos_quadro!$B$131:$J$131,MATCH(calculos_quadro!$G$286,calculos_quadro!$B$101:$J$101,0)),""))</f>
        <v>0</v>
      </c>
      <c r="N72" s="442">
        <f>IF(calculos_quadro!$G$287="","",IFERROR(INDEX(calculos_quadro!$B$131:$J$131,MATCH(calculos_quadro!$G$287,calculos_quadro!$B$101:$J$101,0)),""))</f>
        <v>0</v>
      </c>
      <c r="O72" s="442">
        <f>IF(calculos_quadro!$G$288="","",IFERROR(INDEX(calculos_quadro!$B$131:$J$131,MATCH(calculos_quadro!$G$288,calculos_quadro!$B$101:$J$101,0)),""))</f>
        <v>0</v>
      </c>
      <c r="P72" s="441"/>
      <c r="Q72" s="442">
        <f>IF(calculos_quadro!$G$289="","",IFERROR(INDEX(calculos_quadro!$B$131:$J$131,MATCH(calculos_quadro!$G$289,calculos_quadro!$B$101:$J$101,0)),""))</f>
        <v>0</v>
      </c>
      <c r="R72" s="442">
        <f>IF(calculos_quadro!$G$290="","",IFERROR(INDEX(calculos_quadro!$B$131:$J$131,MATCH(calculos_quadro!$G$290,calculos_quadro!$B$101:$J$101,0)),""))</f>
        <v>0</v>
      </c>
      <c r="S72" s="500">
        <f>IF(calculos_quadro!$B$2="Todos",calculos_quadro!K131,SUM(H72:R72))</f>
        <v>0</v>
      </c>
    </row>
    <row r="73" ht="15.75" customHeight="1">
      <c r="B73" s="477"/>
      <c r="C73" s="202"/>
      <c r="D73" s="434" t="inlineStr">
        <is>
          <t xml:space="preserve">Acidentes CAF</t>
        </is>
      </c>
      <c r="E73" s="433"/>
      <c r="F73" s="433"/>
      <c r="G73" s="433"/>
      <c r="H73" s="442">
        <f>IF(calculos_quadro!$G$282="","",IFERROR(INDEX(calculos_quadro!$B$132:$J$132,MATCH(calculos_quadro!$G$282,calculos_quadro!$B$101:$J$101,0)),""))</f>
        <v>0</v>
      </c>
      <c r="I73" s="442">
        <f>IF(calculos_quadro!$G$283="","",IFERROR(INDEX(calculos_quadro!$B$132:$J$132,MATCH(calculos_quadro!$G$283,calculos_quadro!$B$101:$J$101,0)),""))</f>
        <v>0</v>
      </c>
      <c r="J73" s="442">
        <f>IF(calculos_quadro!$G$284="","",IFERROR(INDEX(calculos_quadro!$B$132:$J$132,MATCH(calculos_quadro!$G$284,calculos_quadro!$B$101:$J$101,0)),""))</f>
        <v>0</v>
      </c>
      <c r="K73" s="441"/>
      <c r="L73" s="442">
        <f>IF(calculos_quadro!$G$285="","",IFERROR(INDEX(calculos_quadro!$B$132:$J$132,MATCH(calculos_quadro!$G$285,calculos_quadro!$B$101:$J$101,0)),""))</f>
        <v>0</v>
      </c>
      <c r="M73" s="442">
        <f>IF(calculos_quadro!$G$286="","",IFERROR(INDEX(calculos_quadro!$B$132:$J$132,MATCH(calculos_quadro!$G$286,calculos_quadro!$B$101:$J$101,0)),""))</f>
        <v>0</v>
      </c>
      <c r="N73" s="442">
        <f>IF(calculos_quadro!$G$287="","",IFERROR(INDEX(calculos_quadro!$B$132:$J$132,MATCH(calculos_quadro!$G$287,calculos_quadro!$B$101:$J$101,0)),""))</f>
        <v>0</v>
      </c>
      <c r="O73" s="442">
        <f>IF(calculos_quadro!$G$288="","",IFERROR(INDEX(calculos_quadro!$B$132:$J$132,MATCH(calculos_quadro!$G$288,calculos_quadro!$B$101:$J$101,0)),""))</f>
        <v>0</v>
      </c>
      <c r="P73" s="441"/>
      <c r="Q73" s="442">
        <f>IF(calculos_quadro!$G$289="","",IFERROR(INDEX(calculos_quadro!$B$132:$J$132,MATCH(calculos_quadro!$G$289,calculos_quadro!$B$101:$J$101,0)),""))</f>
        <v>0</v>
      </c>
      <c r="R73" s="442">
        <f>IF(calculos_quadro!$G$290="","",IFERROR(INDEX(calculos_quadro!$B$132:$J$132,MATCH(calculos_quadro!$G$290,calculos_quadro!$B$101:$J$101,0)),""))</f>
        <v>0</v>
      </c>
      <c r="S73" s="500">
        <f>IF(calculos_quadro!$B$2="Todos",calculos_quadro!K132,SUM(H73:R73))</f>
        <v>0</v>
      </c>
    </row>
    <row r="74" ht="15.75" customHeight="1">
      <c r="B74" s="478"/>
      <c r="C74" s="209"/>
      <c r="D74" s="451" t="inlineStr">
        <is>
          <t xml:space="preserve">Acidentes SAF</t>
        </is>
      </c>
      <c r="E74" s="450"/>
      <c r="F74" s="450"/>
      <c r="G74" s="450"/>
      <c r="H74" s="459">
        <f>IF(calculos_quadro!$G$282="","",IFERROR(INDEX(calculos_quadro!$B$133:$J$133,MATCH(calculos_quadro!$G$282,calculos_quadro!$B$101:$J$101,0)),""))</f>
        <v>0</v>
      </c>
      <c r="I74" s="459">
        <f>IF(calculos_quadro!$G$283="","",IFERROR(INDEX(calculos_quadro!$B$133:$J$133,MATCH(calculos_quadro!$G$283,calculos_quadro!$B$101:$J$101,0)),""))</f>
        <v>0</v>
      </c>
      <c r="J74" s="459">
        <f>IF(calculos_quadro!$G$284="","",IFERROR(INDEX(calculos_quadro!$B$133:$J$133,MATCH(calculos_quadro!$G$284,calculos_quadro!$B$101:$J$101,0)),""))</f>
        <v>0</v>
      </c>
      <c r="K74" s="458"/>
      <c r="L74" s="459">
        <f>IF(calculos_quadro!$G$285="","",IFERROR(INDEX(calculos_quadro!$B$133:$J$133,MATCH(calculos_quadro!$G$285,calculos_quadro!$B$101:$J$101,0)),""))</f>
        <v>0</v>
      </c>
      <c r="M74" s="459">
        <f>IF(calculos_quadro!$G$286="","",IFERROR(INDEX(calculos_quadro!$B$133:$J$133,MATCH(calculos_quadro!$G$286,calculos_quadro!$B$101:$J$101,0)),""))</f>
        <v>0</v>
      </c>
      <c r="N74" s="459">
        <f>IF(calculos_quadro!$G$287="","",IFERROR(INDEX(calculos_quadro!$B$133:$J$133,MATCH(calculos_quadro!$G$287,calculos_quadro!$B$101:$J$101,0)),""))</f>
        <v>0</v>
      </c>
      <c r="O74" s="459">
        <f>IF(calculos_quadro!$G$288="","",IFERROR(INDEX(calculos_quadro!$B$133:$J$133,MATCH(calculos_quadro!$G$288,calculos_quadro!$B$101:$J$101,0)),""))</f>
        <v>0</v>
      </c>
      <c r="P74" s="458"/>
      <c r="Q74" s="459">
        <f>IF(calculos_quadro!$G$289="","",IFERROR(INDEX(calculos_quadro!$B$133:$J$133,MATCH(calculos_quadro!$G$289,calculos_quadro!$B$101:$J$101,0)),""))</f>
        <v>0</v>
      </c>
      <c r="R74" s="459">
        <f>IF(calculos_quadro!$G$290="","",IFERROR(INDEX(calculos_quadro!$B$133:$J$133,MATCH(calculos_quadro!$G$290,calculos_quadro!$B$101:$J$101,0)),""))</f>
        <v>0</v>
      </c>
      <c r="S74" s="501">
        <f>IF(calculos_quadro!$B$2="Todos",calculos_quadro!K133,SUM(H74:R74))</f>
        <v>0</v>
      </c>
    </row>
    <row r="75">
      <c r="B75" s="31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78" sheet="1" objects="1" scenarios="1"/>
  <mergeCells count="415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D27:G27"/>
    <mergeCell ref="H27:I27"/>
    <mergeCell ref="J27:L27"/>
    <mergeCell ref="M27:N27"/>
    <mergeCell ref="O27:Q27"/>
    <mergeCell ref="R27:S27"/>
    <mergeCell ref="T27:V27"/>
    <mergeCell ref="W27:X27"/>
    <mergeCell ref="Y27:Z27"/>
    <mergeCell ref="D28:G28"/>
    <mergeCell ref="H28:I28"/>
    <mergeCell ref="J28:L28"/>
    <mergeCell ref="M28:N28"/>
    <mergeCell ref="O28:Q28"/>
    <mergeCell ref="R28:S28"/>
    <mergeCell ref="T28:V28"/>
    <mergeCell ref="W28:X28"/>
    <mergeCell ref="Y28:Z28"/>
    <mergeCell ref="D29:G29"/>
    <mergeCell ref="H29:I29"/>
    <mergeCell ref="J29:L29"/>
    <mergeCell ref="M29:N29"/>
    <mergeCell ref="O29:Q29"/>
    <mergeCell ref="R29:S29"/>
    <mergeCell ref="T29:V29"/>
    <mergeCell ref="W29:X29"/>
    <mergeCell ref="Y29:Z29"/>
    <mergeCell ref="D30:G30"/>
    <mergeCell ref="H30:I30"/>
    <mergeCell ref="J30:L30"/>
    <mergeCell ref="M30:N30"/>
    <mergeCell ref="O30:Q30"/>
    <mergeCell ref="R30:S30"/>
    <mergeCell ref="T30:V30"/>
    <mergeCell ref="W30:X30"/>
    <mergeCell ref="Y30:Z30"/>
    <mergeCell ref="D31:G31"/>
    <mergeCell ref="H31:I31"/>
    <mergeCell ref="J31:L31"/>
    <mergeCell ref="M31:N31"/>
    <mergeCell ref="O31:Q31"/>
    <mergeCell ref="R31:S31"/>
    <mergeCell ref="T31:V31"/>
    <mergeCell ref="W31:X31"/>
    <mergeCell ref="Y31:Z31"/>
    <mergeCell ref="D32:G32"/>
    <mergeCell ref="H32:I32"/>
    <mergeCell ref="J32:L32"/>
    <mergeCell ref="M32:N32"/>
    <mergeCell ref="O32:Q32"/>
    <mergeCell ref="R32:S32"/>
    <mergeCell ref="T32:V32"/>
    <mergeCell ref="W32:X32"/>
    <mergeCell ref="Y32:Z32"/>
    <mergeCell ref="D33:G33"/>
    <mergeCell ref="H33:I33"/>
    <mergeCell ref="J33:L33"/>
    <mergeCell ref="M33:N33"/>
    <mergeCell ref="O33:Q33"/>
    <mergeCell ref="R33:S33"/>
    <mergeCell ref="T33:V33"/>
    <mergeCell ref="W33:X33"/>
    <mergeCell ref="Y33:Z33"/>
    <mergeCell ref="D34:G34"/>
    <mergeCell ref="H34:I34"/>
    <mergeCell ref="J34:L34"/>
    <mergeCell ref="M34:N34"/>
    <mergeCell ref="O34:Q34"/>
    <mergeCell ref="R34:S34"/>
    <mergeCell ref="T34:V34"/>
    <mergeCell ref="W34:X34"/>
    <mergeCell ref="Y34:Z34"/>
    <mergeCell ref="D35:G35"/>
    <mergeCell ref="H35:I35"/>
    <mergeCell ref="J35:L35"/>
    <mergeCell ref="M35:N35"/>
    <mergeCell ref="O35:Q35"/>
    <mergeCell ref="R35:S35"/>
    <mergeCell ref="T35:V35"/>
    <mergeCell ref="W35:X35"/>
    <mergeCell ref="Y35:Z35"/>
    <mergeCell ref="D36:G36"/>
    <mergeCell ref="H36:I36"/>
    <mergeCell ref="J36:L36"/>
    <mergeCell ref="M36:N36"/>
    <mergeCell ref="O36:Q36"/>
    <mergeCell ref="R36:S36"/>
    <mergeCell ref="T36:V36"/>
    <mergeCell ref="W36:X36"/>
    <mergeCell ref="Y36:Z36"/>
    <mergeCell ref="D37:G37"/>
    <mergeCell ref="H37:I37"/>
    <mergeCell ref="J37:L37"/>
    <mergeCell ref="M37:N37"/>
    <mergeCell ref="O37:Q37"/>
    <mergeCell ref="R37:S37"/>
    <mergeCell ref="T37:V37"/>
    <mergeCell ref="W37:X37"/>
    <mergeCell ref="Y37:Z37"/>
    <mergeCell ref="D38:G38"/>
    <mergeCell ref="H38:I38"/>
    <mergeCell ref="J38:L38"/>
    <mergeCell ref="M38:N38"/>
    <mergeCell ref="O38:Q38"/>
    <mergeCell ref="R38:S38"/>
    <mergeCell ref="T38:V38"/>
    <mergeCell ref="W38:X38"/>
    <mergeCell ref="Y38:Z38"/>
    <mergeCell ref="B7:C15"/>
    <mergeCell ref="B16:C24"/>
    <mergeCell ref="B25:C27"/>
    <mergeCell ref="B28:C30"/>
    <mergeCell ref="B31:C38"/>
    <mergeCell ref="B41:Z41"/>
    <mergeCell ref="B42:C42"/>
    <mergeCell ref="D42:G42"/>
    <mergeCell ref="J42:K42"/>
    <mergeCell ref="O42:P42"/>
    <mergeCell ref="D43:G43"/>
    <mergeCell ref="J43:K43"/>
    <mergeCell ref="O43:P43"/>
    <mergeCell ref="D44:G44"/>
    <mergeCell ref="J44:K44"/>
    <mergeCell ref="O44:P44"/>
    <mergeCell ref="D45:G45"/>
    <mergeCell ref="J45:K45"/>
    <mergeCell ref="O45:P45"/>
    <mergeCell ref="D46:G46"/>
    <mergeCell ref="J46:K46"/>
    <mergeCell ref="O46:P46"/>
    <mergeCell ref="D47:G47"/>
    <mergeCell ref="J47:K47"/>
    <mergeCell ref="O47:P47"/>
    <mergeCell ref="D48:G48"/>
    <mergeCell ref="J48:K48"/>
    <mergeCell ref="O48:P48"/>
    <mergeCell ref="D49:G49"/>
    <mergeCell ref="J49:K49"/>
    <mergeCell ref="O49:P49"/>
    <mergeCell ref="D50:G50"/>
    <mergeCell ref="J50:K50"/>
    <mergeCell ref="O50:P50"/>
    <mergeCell ref="D51:G51"/>
    <mergeCell ref="J51:K51"/>
    <mergeCell ref="O51:P51"/>
    <mergeCell ref="D52:G52"/>
    <mergeCell ref="J52:K52"/>
    <mergeCell ref="O52:P52"/>
    <mergeCell ref="D53:G53"/>
    <mergeCell ref="J53:K53"/>
    <mergeCell ref="O53:P53"/>
    <mergeCell ref="D54:G54"/>
    <mergeCell ref="J54:K54"/>
    <mergeCell ref="O54:P54"/>
    <mergeCell ref="D55:G55"/>
    <mergeCell ref="J55:K55"/>
    <mergeCell ref="O55:P55"/>
    <mergeCell ref="D56:G56"/>
    <mergeCell ref="J56:K56"/>
    <mergeCell ref="O56:P56"/>
    <mergeCell ref="D57:G57"/>
    <mergeCell ref="J57:K57"/>
    <mergeCell ref="O57:P57"/>
    <mergeCell ref="D58:G58"/>
    <mergeCell ref="J58:K58"/>
    <mergeCell ref="O58:P58"/>
    <mergeCell ref="D59:G59"/>
    <mergeCell ref="J59:K59"/>
    <mergeCell ref="O59:P59"/>
    <mergeCell ref="D60:G60"/>
    <mergeCell ref="J60:K60"/>
    <mergeCell ref="O60:P60"/>
    <mergeCell ref="D61:G61"/>
    <mergeCell ref="J61:K61"/>
    <mergeCell ref="O61:P61"/>
    <mergeCell ref="D62:G62"/>
    <mergeCell ref="J62:K62"/>
    <mergeCell ref="O62:P62"/>
    <mergeCell ref="D63:G63"/>
    <mergeCell ref="J63:K63"/>
    <mergeCell ref="O63:P63"/>
    <mergeCell ref="D64:G64"/>
    <mergeCell ref="J64:K64"/>
    <mergeCell ref="O64:P64"/>
    <mergeCell ref="D65:G65"/>
    <mergeCell ref="J65:K65"/>
    <mergeCell ref="O65:P65"/>
    <mergeCell ref="D66:G66"/>
    <mergeCell ref="J66:K66"/>
    <mergeCell ref="O66:P66"/>
    <mergeCell ref="D67:G67"/>
    <mergeCell ref="J67:K67"/>
    <mergeCell ref="O67:P67"/>
    <mergeCell ref="D68:G68"/>
    <mergeCell ref="J68:K68"/>
    <mergeCell ref="O68:P68"/>
    <mergeCell ref="D69:G69"/>
    <mergeCell ref="J69:K69"/>
    <mergeCell ref="O69:P69"/>
    <mergeCell ref="D70:G70"/>
    <mergeCell ref="J70:K70"/>
    <mergeCell ref="O70:P70"/>
    <mergeCell ref="D71:G71"/>
    <mergeCell ref="J71:K71"/>
    <mergeCell ref="O71:P71"/>
    <mergeCell ref="D72:G72"/>
    <mergeCell ref="J72:K72"/>
    <mergeCell ref="O72:P72"/>
    <mergeCell ref="D73:G73"/>
    <mergeCell ref="J73:K73"/>
    <mergeCell ref="O73:P73"/>
    <mergeCell ref="D74:G74"/>
    <mergeCell ref="J74:K74"/>
    <mergeCell ref="O74:P74"/>
    <mergeCell ref="B43:C51"/>
    <mergeCell ref="B52:C60"/>
    <mergeCell ref="B61:C63"/>
    <mergeCell ref="B64:C66"/>
    <mergeCell ref="B67:C74"/>
  </mergeCells>
  <conditionalFormatting sqref="T7">
    <cfRule type="expression" dxfId="8" priority="1">
      <formula>AND(ISNUMBER(T7),T7&gt;0)</formula>
    </cfRule>
  </conditionalFormatting>
  <conditionalFormatting sqref="T7">
    <cfRule type="expression" dxfId="9" priority="2">
      <formula>AND(ISNUMBER(T7),T7&lt;0)</formula>
    </cfRule>
  </conditionalFormatting>
  <conditionalFormatting sqref="Y7">
    <cfRule type="expression" dxfId="8" priority="3">
      <formula>OR(Y7="meta atingida",Y7="dentro do limite",Y7="ocupação alta",Y7="excede o contratado")</formula>
    </cfRule>
  </conditionalFormatting>
  <conditionalFormatting sqref="Y7">
    <cfRule type="expression" dxfId="10" priority="4">
      <formula>OR(Y7="ocupação média",Y7="abaixo da meta")</formula>
    </cfRule>
  </conditionalFormatting>
  <conditionalFormatting sqref="Y7">
    <cfRule type="expression" dxfId="9" priority="5">
      <formula>OR(Y7="ociosidade alta",Y7="acima do limite")</formula>
    </cfRule>
  </conditionalFormatting>
  <conditionalFormatting sqref="T8">
    <cfRule type="expression" dxfId="8" priority="6">
      <formula>AND(ISNUMBER(T8),T8&gt;0)</formula>
    </cfRule>
  </conditionalFormatting>
  <conditionalFormatting sqref="T8">
    <cfRule type="expression" dxfId="9" priority="7">
      <formula>AND(ISNUMBER(T8),T8&lt;0)</formula>
    </cfRule>
  </conditionalFormatting>
  <conditionalFormatting sqref="Y8">
    <cfRule type="expression" dxfId="8" priority="8">
      <formula>OR(Y8="meta atingida",Y8="dentro do limite",Y8="ocupação alta",Y8="excede o contratado")</formula>
    </cfRule>
  </conditionalFormatting>
  <conditionalFormatting sqref="Y8">
    <cfRule type="expression" dxfId="10" priority="9">
      <formula>OR(Y8="ocupação média",Y8="abaixo da meta")</formula>
    </cfRule>
  </conditionalFormatting>
  <conditionalFormatting sqref="Y8">
    <cfRule type="expression" dxfId="9" priority="10">
      <formula>OR(Y8="ociosidade alta",Y8="acima do limite")</formula>
    </cfRule>
  </conditionalFormatting>
  <conditionalFormatting sqref="T9">
    <cfRule type="expression" dxfId="8" priority="11">
      <formula>AND(ISNUMBER(T9),T9&gt;0)</formula>
    </cfRule>
  </conditionalFormatting>
  <conditionalFormatting sqref="T9">
    <cfRule type="expression" dxfId="9" priority="12">
      <formula>AND(ISNUMBER(T9),T9&lt;0)</formula>
    </cfRule>
  </conditionalFormatting>
  <conditionalFormatting sqref="Y9">
    <cfRule type="expression" dxfId="8" priority="13">
      <formula>OR(Y9="meta atingida",Y9="dentro do limite",Y9="ocupação alta",Y9="excede o contratado")</formula>
    </cfRule>
  </conditionalFormatting>
  <conditionalFormatting sqref="Y9">
    <cfRule type="expression" dxfId="10" priority="14">
      <formula>OR(Y9="ocupação média",Y9="abaixo da meta")</formula>
    </cfRule>
  </conditionalFormatting>
  <conditionalFormatting sqref="Y9">
    <cfRule type="expression" dxfId="9" priority="15">
      <formula>OR(Y9="ociosidade alta",Y9="acima do limite")</formula>
    </cfRule>
  </conditionalFormatting>
  <conditionalFormatting sqref="T10">
    <cfRule type="expression" dxfId="8" priority="16">
      <formula>AND(ISNUMBER(T10),T10&gt;0)</formula>
    </cfRule>
  </conditionalFormatting>
  <conditionalFormatting sqref="T10">
    <cfRule type="expression" dxfId="9" priority="17">
      <formula>AND(ISNUMBER(T10),T10&lt;0)</formula>
    </cfRule>
  </conditionalFormatting>
  <conditionalFormatting sqref="Y10">
    <cfRule type="expression" dxfId="8" priority="18">
      <formula>OR(Y10="meta atingida",Y10="dentro do limite",Y10="ocupação alta",Y10="excede o contratado")</formula>
    </cfRule>
  </conditionalFormatting>
  <conditionalFormatting sqref="Y10">
    <cfRule type="expression" dxfId="10" priority="19">
      <formula>OR(Y10="ocupação média",Y10="abaixo da meta")</formula>
    </cfRule>
  </conditionalFormatting>
  <conditionalFormatting sqref="Y10">
    <cfRule type="expression" dxfId="9" priority="20">
      <formula>OR(Y10="ociosidade alta",Y10="acima do limite")</formula>
    </cfRule>
  </conditionalFormatting>
  <conditionalFormatting sqref="T11">
    <cfRule type="expression" dxfId="8" priority="21">
      <formula>AND(ISNUMBER(T11),T11&gt;0)</formula>
    </cfRule>
  </conditionalFormatting>
  <conditionalFormatting sqref="T11">
    <cfRule type="expression" dxfId="9" priority="22">
      <formula>AND(ISNUMBER(T11),T11&lt;0)</formula>
    </cfRule>
  </conditionalFormatting>
  <conditionalFormatting sqref="Y11">
    <cfRule type="expression" dxfId="8" priority="23">
      <formula>OR(Y11="meta atingida",Y11="dentro do limite",Y11="ocupação alta",Y11="excede o contratado")</formula>
    </cfRule>
  </conditionalFormatting>
  <conditionalFormatting sqref="Y11">
    <cfRule type="expression" dxfId="10" priority="24">
      <formula>OR(Y11="ocupação média",Y11="abaixo da meta")</formula>
    </cfRule>
  </conditionalFormatting>
  <conditionalFormatting sqref="Y11">
    <cfRule type="expression" dxfId="9" priority="25">
      <formula>OR(Y11="ociosidade alta",Y11="acima do limite")</formula>
    </cfRule>
  </conditionalFormatting>
  <conditionalFormatting sqref="T12">
    <cfRule type="expression" dxfId="8" priority="26">
      <formula>AND(ISNUMBER(T12),T12&gt;0)</formula>
    </cfRule>
  </conditionalFormatting>
  <conditionalFormatting sqref="T12">
    <cfRule type="expression" dxfId="9" priority="27">
      <formula>AND(ISNUMBER(T12),T12&lt;0)</formula>
    </cfRule>
  </conditionalFormatting>
  <conditionalFormatting sqref="Y12">
    <cfRule type="expression" dxfId="8" priority="28">
      <formula>OR(Y12="meta atingida",Y12="dentro do limite",Y12="ocupação alta",Y12="excede o contratado")</formula>
    </cfRule>
  </conditionalFormatting>
  <conditionalFormatting sqref="Y12">
    <cfRule type="expression" dxfId="10" priority="29">
      <formula>OR(Y12="ocupação média",Y12="abaixo da meta")</formula>
    </cfRule>
  </conditionalFormatting>
  <conditionalFormatting sqref="Y12">
    <cfRule type="expression" dxfId="9" priority="30">
      <formula>OR(Y12="ociosidade alta",Y12="acima do limite")</formula>
    </cfRule>
  </conditionalFormatting>
  <conditionalFormatting sqref="T13">
    <cfRule type="expression" dxfId="8" priority="31">
      <formula>AND(ISNUMBER(T13),T13&gt;0)</formula>
    </cfRule>
  </conditionalFormatting>
  <conditionalFormatting sqref="T13">
    <cfRule type="expression" dxfId="9" priority="32">
      <formula>AND(ISNUMBER(T13),T13&lt;0)</formula>
    </cfRule>
  </conditionalFormatting>
  <conditionalFormatting sqref="Y13">
    <cfRule type="expression" dxfId="8" priority="33">
      <formula>OR(Y13="meta atingida",Y13="dentro do limite",Y13="ocupação alta",Y13="excede o contratado")</formula>
    </cfRule>
  </conditionalFormatting>
  <conditionalFormatting sqref="Y13">
    <cfRule type="expression" dxfId="10" priority="34">
      <formula>OR(Y13="ocupação média",Y13="abaixo da meta")</formula>
    </cfRule>
  </conditionalFormatting>
  <conditionalFormatting sqref="Y13">
    <cfRule type="expression" dxfId="9" priority="35">
      <formula>OR(Y13="ociosidade alta",Y13="acima do limite")</formula>
    </cfRule>
  </conditionalFormatting>
  <conditionalFormatting sqref="T14">
    <cfRule type="expression" dxfId="8" priority="36">
      <formula>AND(ISNUMBER(T14),T14&gt;0)</formula>
    </cfRule>
  </conditionalFormatting>
  <conditionalFormatting sqref="T14">
    <cfRule type="expression" dxfId="9" priority="37">
      <formula>AND(ISNUMBER(T14),T14&lt;0)</formula>
    </cfRule>
  </conditionalFormatting>
  <conditionalFormatting sqref="Y14">
    <cfRule type="expression" dxfId="8" priority="38">
      <formula>OR(Y14="meta atingida",Y14="dentro do limite",Y14="ocupação alta",Y14="excede o contratado")</formula>
    </cfRule>
  </conditionalFormatting>
  <conditionalFormatting sqref="Y14">
    <cfRule type="expression" dxfId="10" priority="39">
      <formula>OR(Y14="ocupação média",Y14="abaixo da meta")</formula>
    </cfRule>
  </conditionalFormatting>
  <conditionalFormatting sqref="Y14">
    <cfRule type="expression" dxfId="9" priority="40">
      <formula>OR(Y14="ociosidade alta",Y14="acima do limite")</formula>
    </cfRule>
  </conditionalFormatting>
  <conditionalFormatting sqref="T15">
    <cfRule type="expression" dxfId="8" priority="41">
      <formula>AND(ISNUMBER(T15),T15&gt;0)</formula>
    </cfRule>
  </conditionalFormatting>
  <conditionalFormatting sqref="T15">
    <cfRule type="expression" dxfId="9" priority="42">
      <formula>AND(ISNUMBER(T15),T15&lt;0)</formula>
    </cfRule>
  </conditionalFormatting>
  <conditionalFormatting sqref="Y15">
    <cfRule type="expression" dxfId="8" priority="43">
      <formula>OR(Y15="meta atingida",Y15="dentro do limite",Y15="ocupação alta",Y15="excede o contratado")</formula>
    </cfRule>
  </conditionalFormatting>
  <conditionalFormatting sqref="Y15">
    <cfRule type="expression" dxfId="10" priority="44">
      <formula>OR(Y15="ocupação média",Y15="abaixo da meta")</formula>
    </cfRule>
  </conditionalFormatting>
  <conditionalFormatting sqref="Y15">
    <cfRule type="expression" dxfId="9" priority="45">
      <formula>OR(Y15="ociosidade alta",Y15="acima do limite")</formula>
    </cfRule>
  </conditionalFormatting>
  <conditionalFormatting sqref="T16">
    <cfRule type="expression" dxfId="8" priority="46">
      <formula>AND(ISNUMBER(T16),T16&gt;0)</formula>
    </cfRule>
  </conditionalFormatting>
  <conditionalFormatting sqref="T16">
    <cfRule type="expression" dxfId="9" priority="47">
      <formula>AND(ISNUMBER(T16),T16&lt;0)</formula>
    </cfRule>
  </conditionalFormatting>
  <conditionalFormatting sqref="Y16">
    <cfRule type="expression" dxfId="8" priority="48">
      <formula>OR(Y16="meta atingida",Y16="dentro do limite",Y16="ocupação alta",Y16="excede o contratado")</formula>
    </cfRule>
  </conditionalFormatting>
  <conditionalFormatting sqref="Y16">
    <cfRule type="expression" dxfId="10" priority="49">
      <formula>OR(Y16="ocupação média",Y16="abaixo da meta")</formula>
    </cfRule>
  </conditionalFormatting>
  <conditionalFormatting sqref="Y16">
    <cfRule type="expression" dxfId="9" priority="50">
      <formula>OR(Y16="ociosidade alta",Y16="acima do limite")</formula>
    </cfRule>
  </conditionalFormatting>
  <conditionalFormatting sqref="T17">
    <cfRule type="expression" dxfId="8" priority="51">
      <formula>AND(ISNUMBER(T17),T17&gt;0)</formula>
    </cfRule>
  </conditionalFormatting>
  <conditionalFormatting sqref="T17">
    <cfRule type="expression" dxfId="9" priority="52">
      <formula>AND(ISNUMBER(T17),T17&lt;0)</formula>
    </cfRule>
  </conditionalFormatting>
  <conditionalFormatting sqref="Y17">
    <cfRule type="expression" dxfId="8" priority="53">
      <formula>OR(Y17="meta atingida",Y17="dentro do limite",Y17="ocupação alta",Y17="excede o contratado")</formula>
    </cfRule>
  </conditionalFormatting>
  <conditionalFormatting sqref="Y17">
    <cfRule type="expression" dxfId="10" priority="54">
      <formula>OR(Y17="ocupação média",Y17="abaixo da meta")</formula>
    </cfRule>
  </conditionalFormatting>
  <conditionalFormatting sqref="Y17">
    <cfRule type="expression" dxfId="9" priority="55">
      <formula>OR(Y17="ociosidade alta",Y17="acima do limite")</formula>
    </cfRule>
  </conditionalFormatting>
  <conditionalFormatting sqref="T18">
    <cfRule type="expression" dxfId="8" priority="56">
      <formula>AND(ISNUMBER(T18),T18&gt;0)</formula>
    </cfRule>
  </conditionalFormatting>
  <conditionalFormatting sqref="T18">
    <cfRule type="expression" dxfId="9" priority="57">
      <formula>AND(ISNUMBER(T18),T18&lt;0)</formula>
    </cfRule>
  </conditionalFormatting>
  <conditionalFormatting sqref="Y18">
    <cfRule type="expression" dxfId="8" priority="58">
      <formula>OR(Y18="meta atingida",Y18="dentro do limite",Y18="ocupação alta",Y18="excede o contratado")</formula>
    </cfRule>
  </conditionalFormatting>
  <conditionalFormatting sqref="Y18">
    <cfRule type="expression" dxfId="10" priority="59">
      <formula>OR(Y18="ocupação média",Y18="abaixo da meta")</formula>
    </cfRule>
  </conditionalFormatting>
  <conditionalFormatting sqref="Y18">
    <cfRule type="expression" dxfId="9" priority="60">
      <formula>OR(Y18="ociosidade alta",Y18="acima do limite")</formula>
    </cfRule>
  </conditionalFormatting>
  <conditionalFormatting sqref="T19">
    <cfRule type="expression" dxfId="8" priority="61">
      <formula>AND(ISNUMBER(T19),T19&gt;0)</formula>
    </cfRule>
  </conditionalFormatting>
  <conditionalFormatting sqref="T19">
    <cfRule type="expression" dxfId="9" priority="62">
      <formula>AND(ISNUMBER(T19),T19&lt;0)</formula>
    </cfRule>
  </conditionalFormatting>
  <conditionalFormatting sqref="Y19">
    <cfRule type="expression" dxfId="8" priority="63">
      <formula>OR(Y19="meta atingida",Y19="dentro do limite",Y19="ocupação alta",Y19="excede o contratado")</formula>
    </cfRule>
  </conditionalFormatting>
  <conditionalFormatting sqref="Y19">
    <cfRule type="expression" dxfId="10" priority="64">
      <formula>OR(Y19="ocupação média",Y19="abaixo da meta")</formula>
    </cfRule>
  </conditionalFormatting>
  <conditionalFormatting sqref="Y19">
    <cfRule type="expression" dxfId="9" priority="65">
      <formula>OR(Y19="ociosidade alta",Y19="acima do limite")</formula>
    </cfRule>
  </conditionalFormatting>
  <conditionalFormatting sqref="T20">
    <cfRule type="expression" dxfId="8" priority="66">
      <formula>AND(ISNUMBER(T20),T20&gt;0)</formula>
    </cfRule>
  </conditionalFormatting>
  <conditionalFormatting sqref="T20">
    <cfRule type="expression" dxfId="9" priority="67">
      <formula>AND(ISNUMBER(T20),T20&lt;0)</formula>
    </cfRule>
  </conditionalFormatting>
  <conditionalFormatting sqref="Y20">
    <cfRule type="expression" dxfId="8" priority="68">
      <formula>OR(Y20="meta atingida",Y20="dentro do limite",Y20="ocupação alta",Y20="excede o contratado")</formula>
    </cfRule>
  </conditionalFormatting>
  <conditionalFormatting sqref="Y20">
    <cfRule type="expression" dxfId="10" priority="69">
      <formula>OR(Y20="ocupação média",Y20="abaixo da meta")</formula>
    </cfRule>
  </conditionalFormatting>
  <conditionalFormatting sqref="Y20">
    <cfRule type="expression" dxfId="9" priority="70">
      <formula>OR(Y20="ociosidade alta",Y20="acima do limite")</formula>
    </cfRule>
  </conditionalFormatting>
  <conditionalFormatting sqref="T21">
    <cfRule type="expression" dxfId="8" priority="71">
      <formula>AND(ISNUMBER(T21),T21&gt;0)</formula>
    </cfRule>
  </conditionalFormatting>
  <conditionalFormatting sqref="T21">
    <cfRule type="expression" dxfId="9" priority="72">
      <formula>AND(ISNUMBER(T21),T21&lt;0)</formula>
    </cfRule>
  </conditionalFormatting>
  <conditionalFormatting sqref="Y21">
    <cfRule type="expression" dxfId="8" priority="73">
      <formula>OR(Y21="meta atingida",Y21="dentro do limite",Y21="ocupação alta",Y21="excede o contratado")</formula>
    </cfRule>
  </conditionalFormatting>
  <conditionalFormatting sqref="Y21">
    <cfRule type="expression" dxfId="10" priority="74">
      <formula>OR(Y21="ocupação média",Y21="abaixo da meta")</formula>
    </cfRule>
  </conditionalFormatting>
  <conditionalFormatting sqref="Y21">
    <cfRule type="expression" dxfId="9" priority="75">
      <formula>OR(Y21="ociosidade alta",Y21="acima do limite")</formula>
    </cfRule>
  </conditionalFormatting>
  <conditionalFormatting sqref="T22">
    <cfRule type="expression" dxfId="8" priority="76">
      <formula>AND(ISNUMBER(T22),T22&gt;0)</formula>
    </cfRule>
  </conditionalFormatting>
  <conditionalFormatting sqref="T22">
    <cfRule type="expression" dxfId="9" priority="77">
      <formula>AND(ISNUMBER(T22),T22&lt;0)</formula>
    </cfRule>
  </conditionalFormatting>
  <conditionalFormatting sqref="Y22">
    <cfRule type="expression" dxfId="8" priority="78">
      <formula>OR(Y22="meta atingida",Y22="dentro do limite",Y22="ocupação alta",Y22="excede o contratado")</formula>
    </cfRule>
  </conditionalFormatting>
  <conditionalFormatting sqref="Y22">
    <cfRule type="expression" dxfId="10" priority="79">
      <formula>OR(Y22="ocupação média",Y22="abaixo da meta")</formula>
    </cfRule>
  </conditionalFormatting>
  <conditionalFormatting sqref="Y22">
    <cfRule type="expression" dxfId="9" priority="80">
      <formula>OR(Y22="ociosidade alta",Y22="acima do limite")</formula>
    </cfRule>
  </conditionalFormatting>
  <conditionalFormatting sqref="T23">
    <cfRule type="expression" dxfId="8" priority="81">
      <formula>AND(ISNUMBER(T23),T23&gt;0)</formula>
    </cfRule>
  </conditionalFormatting>
  <conditionalFormatting sqref="T23">
    <cfRule type="expression" dxfId="9" priority="82">
      <formula>AND(ISNUMBER(T23),T23&lt;0)</formula>
    </cfRule>
  </conditionalFormatting>
  <conditionalFormatting sqref="Y23">
    <cfRule type="expression" dxfId="8" priority="83">
      <formula>OR(Y23="meta atingida",Y23="dentro do limite",Y23="ocupação alta",Y23="excede o contratado")</formula>
    </cfRule>
  </conditionalFormatting>
  <conditionalFormatting sqref="Y23">
    <cfRule type="expression" dxfId="10" priority="84">
      <formula>OR(Y23="ocupação média",Y23="abaixo da meta")</formula>
    </cfRule>
  </conditionalFormatting>
  <conditionalFormatting sqref="Y23">
    <cfRule type="expression" dxfId="9" priority="85">
      <formula>OR(Y23="ociosidade alta",Y23="acima do limite")</formula>
    </cfRule>
  </conditionalFormatting>
  <conditionalFormatting sqref="T24">
    <cfRule type="expression" dxfId="8" priority="86">
      <formula>AND(ISNUMBER(T24),T24&gt;0)</formula>
    </cfRule>
  </conditionalFormatting>
  <conditionalFormatting sqref="T24">
    <cfRule type="expression" dxfId="9" priority="87">
      <formula>AND(ISNUMBER(T24),T24&lt;0)</formula>
    </cfRule>
  </conditionalFormatting>
  <conditionalFormatting sqref="Y24">
    <cfRule type="expression" dxfId="8" priority="88">
      <formula>OR(Y24="meta atingida",Y24="dentro do limite",Y24="ocupação alta",Y24="excede o contratado")</formula>
    </cfRule>
  </conditionalFormatting>
  <conditionalFormatting sqref="Y24">
    <cfRule type="expression" dxfId="10" priority="89">
      <formula>OR(Y24="ocupação média",Y24="abaixo da meta")</formula>
    </cfRule>
  </conditionalFormatting>
  <conditionalFormatting sqref="Y24">
    <cfRule type="expression" dxfId="9" priority="90">
      <formula>OR(Y24="ociosidade alta",Y24="acima do limite")</formula>
    </cfRule>
  </conditionalFormatting>
  <conditionalFormatting sqref="T25">
    <cfRule type="expression" dxfId="8" priority="91">
      <formula>AND(ISNUMBER(T25),T25&lt;0)</formula>
    </cfRule>
  </conditionalFormatting>
  <conditionalFormatting sqref="T25">
    <cfRule type="expression" dxfId="9" priority="92">
      <formula>AND(ISNUMBER(T25),T25&gt;0)</formula>
    </cfRule>
  </conditionalFormatting>
  <conditionalFormatting sqref="Y25">
    <cfRule type="expression" dxfId="8" priority="93">
      <formula>OR(Y25="meta atingida",Y25="dentro do limite",Y25="ocupação alta",Y25="excede o contratado")</formula>
    </cfRule>
  </conditionalFormatting>
  <conditionalFormatting sqref="Y25">
    <cfRule type="expression" dxfId="10" priority="94">
      <formula>OR(Y25="ocupação média",Y25="abaixo da meta")</formula>
    </cfRule>
  </conditionalFormatting>
  <conditionalFormatting sqref="Y25">
    <cfRule type="expression" dxfId="9" priority="95">
      <formula>OR(Y25="ociosidade alta",Y25="acima do limite")</formula>
    </cfRule>
  </conditionalFormatting>
  <conditionalFormatting sqref="T26">
    <cfRule type="expression" dxfId="8" priority="96">
      <formula>AND(ISNUMBER(T26),T26&lt;0)</formula>
    </cfRule>
  </conditionalFormatting>
  <conditionalFormatting sqref="T26">
    <cfRule type="expression" dxfId="9" priority="97">
      <formula>AND(ISNUMBER(T26),T26&gt;0)</formula>
    </cfRule>
  </conditionalFormatting>
  <conditionalFormatting sqref="Y26">
    <cfRule type="expression" dxfId="8" priority="98">
      <formula>OR(Y26="meta atingida",Y26="dentro do limite",Y26="ocupação alta",Y26="excede o contratado")</formula>
    </cfRule>
  </conditionalFormatting>
  <conditionalFormatting sqref="Y26">
    <cfRule type="expression" dxfId="10" priority="99">
      <formula>OR(Y26="ocupação média",Y26="abaixo da meta")</formula>
    </cfRule>
  </conditionalFormatting>
  <conditionalFormatting sqref="Y26">
    <cfRule type="expression" dxfId="9" priority="100">
      <formula>OR(Y26="ociosidade alta",Y26="acima do limite")</formula>
    </cfRule>
  </conditionalFormatting>
  <conditionalFormatting sqref="T27">
    <cfRule type="expression" dxfId="8" priority="101">
      <formula>AND(ISNUMBER(T27),T27&lt;0)</formula>
    </cfRule>
  </conditionalFormatting>
  <conditionalFormatting sqref="T27">
    <cfRule type="expression" dxfId="9" priority="102">
      <formula>AND(ISNUMBER(T27),T27&gt;0)</formula>
    </cfRule>
  </conditionalFormatting>
  <conditionalFormatting sqref="Y27">
    <cfRule type="expression" dxfId="8" priority="103">
      <formula>OR(Y27="meta atingida",Y27="dentro do limite",Y27="ocupação alta",Y27="excede o contratado")</formula>
    </cfRule>
  </conditionalFormatting>
  <conditionalFormatting sqref="Y27">
    <cfRule type="expression" dxfId="10" priority="104">
      <formula>OR(Y27="ocupação média",Y27="abaixo da meta")</formula>
    </cfRule>
  </conditionalFormatting>
  <conditionalFormatting sqref="Y27">
    <cfRule type="expression" dxfId="9" priority="105">
      <formula>OR(Y27="ociosidade alta",Y27="acima do limite")</formula>
    </cfRule>
  </conditionalFormatting>
  <conditionalFormatting sqref="Y28">
    <cfRule type="expression" dxfId="8" priority="106">
      <formula>OR(Y28="meta atingida",Y28="dentro do limite",Y28="ocupação alta",Y28="excede o contratado")</formula>
    </cfRule>
  </conditionalFormatting>
  <conditionalFormatting sqref="Y28">
    <cfRule type="expression" dxfId="10" priority="107">
      <formula>OR(Y28="ocupação média",Y28="abaixo da meta")</formula>
    </cfRule>
  </conditionalFormatting>
  <conditionalFormatting sqref="Y28">
    <cfRule type="expression" dxfId="9" priority="108">
      <formula>OR(Y28="ociosidade alta",Y28="acima do limite")</formula>
    </cfRule>
  </conditionalFormatting>
  <conditionalFormatting sqref="Y29">
    <cfRule type="expression" dxfId="8" priority="109">
      <formula>OR(Y29="meta atingida",Y29="dentro do limite",Y29="ocupação alta",Y29="excede o contratado")</formula>
    </cfRule>
  </conditionalFormatting>
  <conditionalFormatting sqref="Y29">
    <cfRule type="expression" dxfId="10" priority="110">
      <formula>OR(Y29="ocupação média",Y29="abaixo da meta")</formula>
    </cfRule>
  </conditionalFormatting>
  <conditionalFormatting sqref="Y29">
    <cfRule type="expression" dxfId="9" priority="111">
      <formula>OR(Y29="ociosidade alta",Y29="acima do limite")</formula>
    </cfRule>
  </conditionalFormatting>
  <conditionalFormatting sqref="Y30">
    <cfRule type="expression" dxfId="8" priority="112">
      <formula>OR(Y30="meta atingida",Y30="dentro do limite",Y30="ocupação alta",Y30="excede o contratado")</formula>
    </cfRule>
  </conditionalFormatting>
  <conditionalFormatting sqref="Y30">
    <cfRule type="expression" dxfId="10" priority="113">
      <formula>OR(Y30="ocupação média",Y30="abaixo da meta")</formula>
    </cfRule>
  </conditionalFormatting>
  <conditionalFormatting sqref="Y30">
    <cfRule type="expression" dxfId="9" priority="114">
      <formula>OR(Y30="ociosidade alta",Y30="acima do limite")</formula>
    </cfRule>
  </conditionalFormatting>
  <conditionalFormatting sqref="T31">
    <cfRule type="expression" dxfId="8" priority="115">
      <formula>AND(ISNUMBER(T31),T31&gt;0)</formula>
    </cfRule>
  </conditionalFormatting>
  <conditionalFormatting sqref="T31">
    <cfRule type="expression" dxfId="9" priority="116">
      <formula>AND(ISNUMBER(T31),T31&lt;0)</formula>
    </cfRule>
  </conditionalFormatting>
  <conditionalFormatting sqref="Y31">
    <cfRule type="expression" dxfId="8" priority="117">
      <formula>OR(Y31="meta atingida",Y31="dentro do limite",Y31="ocupação alta",Y31="excede o contratado")</formula>
    </cfRule>
  </conditionalFormatting>
  <conditionalFormatting sqref="Y31">
    <cfRule type="expression" dxfId="10" priority="118">
      <formula>OR(Y31="ocupação média",Y31="abaixo da meta")</formula>
    </cfRule>
  </conditionalFormatting>
  <conditionalFormatting sqref="Y31">
    <cfRule type="expression" dxfId="9" priority="119">
      <formula>OR(Y31="ociosidade alta",Y31="acima do limite")</formula>
    </cfRule>
  </conditionalFormatting>
  <conditionalFormatting sqref="T32">
    <cfRule type="expression" dxfId="8" priority="120">
      <formula>AND(ISNUMBER(T32),T32&lt;0)</formula>
    </cfRule>
  </conditionalFormatting>
  <conditionalFormatting sqref="T32">
    <cfRule type="expression" dxfId="9" priority="121">
      <formula>AND(ISNUMBER(T32),T32&gt;0)</formula>
    </cfRule>
  </conditionalFormatting>
  <conditionalFormatting sqref="Y32">
    <cfRule type="expression" dxfId="8" priority="122">
      <formula>OR(Y32="meta atingida",Y32="dentro do limite",Y32="ocupação alta",Y32="excede o contratado")</formula>
    </cfRule>
  </conditionalFormatting>
  <conditionalFormatting sqref="Y32">
    <cfRule type="expression" dxfId="10" priority="123">
      <formula>OR(Y32="ocupação média",Y32="abaixo da meta")</formula>
    </cfRule>
  </conditionalFormatting>
  <conditionalFormatting sqref="Y32">
    <cfRule type="expression" dxfId="9" priority="124">
      <formula>OR(Y32="ociosidade alta",Y32="acima do limite")</formula>
    </cfRule>
  </conditionalFormatting>
  <conditionalFormatting sqref="Y33">
    <cfRule type="expression" dxfId="8" priority="125">
      <formula>OR(Y33="meta atingida",Y33="dentro do limite",Y33="ocupação alta",Y33="excede o contratado")</formula>
    </cfRule>
  </conditionalFormatting>
  <conditionalFormatting sqref="Y33">
    <cfRule type="expression" dxfId="10" priority="126">
      <formula>OR(Y33="ocupação média",Y33="abaixo da meta")</formula>
    </cfRule>
  </conditionalFormatting>
  <conditionalFormatting sqref="Y33">
    <cfRule type="expression" dxfId="9" priority="127">
      <formula>OR(Y33="ociosidade alta",Y33="acima do limite")</formula>
    </cfRule>
  </conditionalFormatting>
  <conditionalFormatting sqref="Y34">
    <cfRule type="expression" dxfId="8" priority="128">
      <formula>OR(Y34="meta atingida",Y34="dentro do limite",Y34="ocupação alta",Y34="excede o contratado")</formula>
    </cfRule>
  </conditionalFormatting>
  <conditionalFormatting sqref="Y34">
    <cfRule type="expression" dxfId="10" priority="129">
      <formula>OR(Y34="ocupação média",Y34="abaixo da meta")</formula>
    </cfRule>
  </conditionalFormatting>
  <conditionalFormatting sqref="Y34">
    <cfRule type="expression" dxfId="9" priority="130">
      <formula>OR(Y34="ociosidade alta",Y34="acima do limite")</formula>
    </cfRule>
  </conditionalFormatting>
  <conditionalFormatting sqref="T35">
    <cfRule type="expression" dxfId="8" priority="131">
      <formula>AND(ISNUMBER(T35),T35&lt;0)</formula>
    </cfRule>
  </conditionalFormatting>
  <conditionalFormatting sqref="T35">
    <cfRule type="expression" dxfId="9" priority="132">
      <formula>AND(ISNUMBER(T35),T35&gt;0)</formula>
    </cfRule>
  </conditionalFormatting>
  <conditionalFormatting sqref="Y35">
    <cfRule type="expression" dxfId="8" priority="133">
      <formula>OR(Y35="meta atingida",Y35="dentro do limite",Y35="ocupação alta",Y35="excede o contratado")</formula>
    </cfRule>
  </conditionalFormatting>
  <conditionalFormatting sqref="Y35">
    <cfRule type="expression" dxfId="10" priority="134">
      <formula>OR(Y35="ocupação média",Y35="abaixo da meta")</formula>
    </cfRule>
  </conditionalFormatting>
  <conditionalFormatting sqref="Y35">
    <cfRule type="expression" dxfId="9" priority="135">
      <formula>OR(Y35="ociosidade alta",Y35="acima do limite")</formula>
    </cfRule>
  </conditionalFormatting>
  <conditionalFormatting sqref="T36">
    <cfRule type="expression" dxfId="8" priority="136">
      <formula>AND(ISNUMBER(T36),T36&lt;0)</formula>
    </cfRule>
  </conditionalFormatting>
  <conditionalFormatting sqref="T36">
    <cfRule type="expression" dxfId="9" priority="137">
      <formula>AND(ISNUMBER(T36),T36&gt;0)</formula>
    </cfRule>
  </conditionalFormatting>
  <conditionalFormatting sqref="Y36">
    <cfRule type="expression" dxfId="8" priority="138">
      <formula>OR(Y36="meta atingida",Y36="dentro do limite",Y36="ocupação alta",Y36="excede o contratado")</formula>
    </cfRule>
  </conditionalFormatting>
  <conditionalFormatting sqref="Y36">
    <cfRule type="expression" dxfId="10" priority="139">
      <formula>OR(Y36="ocupação média",Y36="abaixo da meta")</formula>
    </cfRule>
  </conditionalFormatting>
  <conditionalFormatting sqref="Y36">
    <cfRule type="expression" dxfId="9" priority="140">
      <formula>OR(Y36="ociosidade alta",Y36="acima do limite")</formula>
    </cfRule>
  </conditionalFormatting>
  <conditionalFormatting sqref="T37">
    <cfRule type="expression" dxfId="8" priority="141">
      <formula>AND(ISNUMBER(T37),T37&lt;0)</formula>
    </cfRule>
  </conditionalFormatting>
  <conditionalFormatting sqref="T37">
    <cfRule type="expression" dxfId="9" priority="142">
      <formula>AND(ISNUMBER(T37),T37&gt;0)</formula>
    </cfRule>
  </conditionalFormatting>
  <conditionalFormatting sqref="Y37">
    <cfRule type="expression" dxfId="8" priority="143">
      <formula>OR(Y37="meta atingida",Y37="dentro do limite",Y37="ocupação alta",Y37="excede o contratado")</formula>
    </cfRule>
  </conditionalFormatting>
  <conditionalFormatting sqref="Y37">
    <cfRule type="expression" dxfId="10" priority="144">
      <formula>OR(Y37="ocupação média",Y37="abaixo da meta")</formula>
    </cfRule>
  </conditionalFormatting>
  <conditionalFormatting sqref="Y37">
    <cfRule type="expression" dxfId="9" priority="145">
      <formula>OR(Y37="ociosidade alta",Y37="acima do limite")</formula>
    </cfRule>
  </conditionalFormatting>
  <conditionalFormatting sqref="T38">
    <cfRule type="expression" dxfId="8" priority="146">
      <formula>AND(ISNUMBER(T38),T38&lt;0)</formula>
    </cfRule>
  </conditionalFormatting>
  <conditionalFormatting sqref="T38">
    <cfRule type="expression" dxfId="9" priority="147">
      <formula>AND(ISNUMBER(T38),T38&gt;0)</formula>
    </cfRule>
  </conditionalFormatting>
  <conditionalFormatting sqref="Y38">
    <cfRule type="expression" dxfId="8" priority="148">
      <formula>OR(Y38="meta atingida",Y38="dentro do limite",Y38="ocupação alta",Y38="excede o contratado")</formula>
    </cfRule>
  </conditionalFormatting>
  <conditionalFormatting sqref="Y38">
    <cfRule type="expression" dxfId="10" priority="149">
      <formula>OR(Y38="ocupação média",Y38="abaixo da meta")</formula>
    </cfRule>
  </conditionalFormatting>
  <conditionalFormatting sqref="Y38">
    <cfRule type="expression" dxfId="9" priority="150">
      <formula>OR(Y38="ociosidade alta",Y38="acima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calculos!$AM$12:$AM$23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calculos!$AO$12:$AO$21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B335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6" max="36" width="10" customWidth="1"/>
    <col min="39" max="39" width="20" customWidth="1"/>
    <col min="41" max="41" width="22" customWidth="1"/>
    <col min="42" max="42" width="12" customWidth="1"/>
    <col min="44" max="44" width="52" customWidth="1"/>
    <col min="47" max="47" width="14" customWidth="1"/>
    <col min="49" max="49" width="20" customWidth="1"/>
    <col min="51" max="51" width="11" customWidth="1"/>
    <col min="52" max="52" width="11" customWidth="1"/>
    <col min="53" max="53" width="11" customWidth="1"/>
    <col min="54" max="54" width="11" customWidth="1"/>
  </cols>
  <sheetData>
    <row r="1">
      <c r="A1" s="26" t="inlineStr">
        <is>
          <t xml:space="preserve">CÁLCULOS — base da aba Dashboard (período digitado; gráficos no mês do dia inicial) · gerado automaticamente</t>
        </is>
      </c>
    </row>
    <row r="2">
      <c r="A2" s="27" t="inlineStr">
        <is>
          <t xml:space="preserve">Cliente selecionado</t>
        </is>
      </c>
      <c r="B2" s="27" t="str">
        <f>IF(OR(Dashboard!$D$3="",Dashboard!$D$3="Todos"),"Todos",Dashboard!$D$3)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IFERROR(INDEX($AP$12:$AP$21,MATCH($B$2,$AO$12:$AO$21,0)),"")</f>
        <v>TPC</v>
      </c>
    </row>
    <row r="3">
      <c r="A3" s="27" t="inlineStr">
        <is>
          <t xml:space="preserve">Capacidade (posições)</t>
        </is>
      </c>
      <c r="B3" s="30">
        <f>SUM($AV$13:$AV$13)</f>
        <v>0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0</v>
      </c>
    </row>
    <row r="5">
      <c r="A5" s="27" t="inlineStr">
        <is>
          <t xml:space="preserve">Faixa de atenção (ocupação)</t>
        </is>
      </c>
      <c r="B5" s="33">
        <v>0.7</v>
      </c>
    </row>
    <row r="6">
      <c r="A6" s="27" t="inlineStr">
        <is>
          <t xml:space="preserve">Faixa crítica (ocupação)</t>
        </is>
      </c>
      <c r="B6" s="33"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  <c r="E7" s="27" t="inlineStr">
        <is>
          <t xml:space="preserve">Período (cards)</t>
        </is>
      </c>
      <c r="F7" s="34">
        <f>IF(ISNUMBER(Dashboard!$Q$3),Dashboard!$Q$3,$C$7)</f>
        <v>46296</v>
      </c>
      <c r="G7" s="34">
        <f>IF(ISNUMBER(Dashboard!$V$3),MAX(Dashboard!$V$3,$F$7),$D$7)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  <c r="E8" s="27" t="inlineStr">
        <is>
          <t xml:space="preserve">Período anterior</t>
        </is>
      </c>
      <c r="F8" s="34">
        <f>$F$7-($G$7-$F$7+1)</f>
        <v>46265</v>
      </c>
      <c r="G8" s="34">
        <f>$F$7-1</f>
        <v>46295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IN Linhas NF</t>
        </is>
      </c>
      <c r="G11" s="37" t="inlineStr">
        <is>
          <t xml:space="preserve">IN Caixas Movimentadas</t>
        </is>
      </c>
      <c r="H11" s="37" t="inlineStr">
        <is>
          <t xml:space="preserve">IN Peças Movimentadas</t>
        </is>
      </c>
      <c r="I11" s="37" t="inlineStr">
        <is>
          <t xml:space="preserve">IN Itens Recebidos CX Mista</t>
        </is>
      </c>
      <c r="J11" s="37" t="inlineStr">
        <is>
          <t xml:space="preserve">IN Caixas Fechadas</t>
        </is>
      </c>
      <c r="K11" s="37" t="inlineStr">
        <is>
          <t xml:space="preserve">IN Caixas Mistas Recebidas</t>
        </is>
      </c>
      <c r="L11" s="37" t="inlineStr">
        <is>
          <t xml:space="preserve">OUT Veículos Expedidos</t>
        </is>
      </c>
      <c r="M11" s="37" t="inlineStr">
        <is>
          <t xml:space="preserve">OUT Pedidos Expedidos</t>
        </is>
      </c>
      <c r="N11" s="37" t="inlineStr">
        <is>
          <t xml:space="preserve">OUT Pedidos Faturados</t>
        </is>
      </c>
      <c r="O11" s="37" t="inlineStr">
        <is>
          <t xml:space="preserve">OUT Itens Expedidos</t>
        </is>
      </c>
      <c r="P11" s="37" t="inlineStr">
        <is>
          <t xml:space="preserve">OUT Peças Movimentadas</t>
        </is>
      </c>
      <c r="Q11" s="37" t="inlineStr">
        <is>
          <t xml:space="preserve">OUT Linhas NF</t>
        </is>
      </c>
      <c r="R11" s="37" t="inlineStr">
        <is>
          <t xml:space="preserve">OUT Caixas Expedidas</t>
        </is>
      </c>
      <c r="S11" s="37" t="inlineStr">
        <is>
          <t xml:space="preserve">OUT Pallets Movimentados</t>
        </is>
      </c>
      <c r="T11" s="37" t="inlineStr">
        <is>
          <t xml:space="preserve">OUT Toneladas Movimentadas</t>
        </is>
      </c>
      <c r="U11" s="37" t="inlineStr">
        <is>
          <t xml:space="preserve">NC Incidentes</t>
        </is>
      </c>
      <c r="V11" s="37" t="inlineStr">
        <is>
          <t xml:space="preserve">NC No show</t>
        </is>
      </c>
      <c r="W11" s="37" t="inlineStr">
        <is>
          <t xml:space="preserve">NC Backlog</t>
        </is>
      </c>
      <c r="X11" s="37" t="inlineStr">
        <is>
          <t xml:space="preserve">OCUPAÇÃO (P.P) Posições Disponíveis</t>
        </is>
      </c>
      <c r="Y11" s="37" t="inlineStr">
        <is>
          <t xml:space="preserve">OCUPAÇÃO (P.P) Posições Ocupadas</t>
        </is>
      </c>
      <c r="Z11" s="37" t="inlineStr">
        <is>
          <t xml:space="preserve">OCUPAÇÃO (P.P) Taxa de Ocupação</t>
        </is>
      </c>
      <c r="AA11" s="37" t="inlineStr">
        <is>
          <t xml:space="preserve">GENTE Efetivo Op.</t>
        </is>
      </c>
      <c r="AB11" s="37" t="inlineStr">
        <is>
          <t xml:space="preserve">GENTE Falta</t>
        </is>
      </c>
      <c r="AC11" s="37" t="inlineStr">
        <is>
          <t xml:space="preserve">GENTE Folga</t>
        </is>
      </c>
      <c r="AD11" s="37" t="inlineStr">
        <is>
          <t xml:space="preserve">GENTE Férias</t>
        </is>
      </c>
      <c r="AE11" s="37" t="inlineStr">
        <is>
          <t xml:space="preserve">GENTE Desligamento</t>
        </is>
      </c>
      <c r="AF11" s="37" t="inlineStr">
        <is>
          <t xml:space="preserve">GENTE Desvios Comportamentais</t>
        </is>
      </c>
      <c r="AG11" s="37" t="inlineStr">
        <is>
          <t xml:space="preserve">GENTE Acidentes CAF</t>
        </is>
      </c>
      <c r="AH11" s="37" t="inlineStr">
        <is>
          <t xml:space="preserve">GENTE Acidentes SAF</t>
        </is>
      </c>
      <c r="AI11" s="37" t="inlineStr">
        <is>
          <t xml:space="preserve">Faixa atenção</t>
        </is>
      </c>
      <c r="AJ11" s="37" t="inlineStr">
        <is>
          <t xml:space="preserve">Faixa crítica</t>
        </is>
      </c>
      <c r="AM11" s="37" t="inlineStr">
        <is>
          <t xml:space="preserve">Meses (filtros das abas)</t>
        </is>
      </c>
      <c r="AO11" s="37" t="inlineStr">
        <is>
          <t xml:space="preserve">Filtro: depósito / cliente</t>
        </is>
      </c>
      <c r="AP11" s="37" t="inlineStr">
        <is>
          <t xml:space="preserve">Depósito</t>
        </is>
      </c>
      <c r="AR11" s="37" t="inlineStr">
        <is>
          <t xml:space="preserve">Títulos dos gráficos (seguem os filtros)</t>
        </is>
      </c>
      <c r="AY11" s="37" t="inlineStr">
        <is>
          <t xml:space="preserve">Gráf A IN (diário)</t>
        </is>
      </c>
      <c r="AZ11" s="37" t="inlineStr">
        <is>
          <t xml:space="preserve">Gráf A OUT (diário)</t>
        </is>
      </c>
      <c r="BA11" s="37" t="inlineStr">
        <is>
          <t xml:space="preserve">Gráf B IN (diário)</t>
        </is>
      </c>
      <c r="BB11" s="37" t="inlineStr">
        <is>
          <t xml:space="preserve">Gráf B OUT (diário)</t>
        </is>
      </c>
    </row>
    <row r="12">
      <c r="A12" s="28">
        <v>1</v>
      </c>
      <c r="B12" s="45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6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32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>
        <f>IF($B12="","",IF($B$2="Todos",SUMIFS(BD!$K$3:$K$5001,BD!$A$3:$A$5001,$B12),SUMIFS(BD!$K$3:$K$5001,BD!$A$3:$A$5001,$B12,BD!$B$3:$B$5001,$D$2)))</f>
        <v>0</v>
      </c>
      <c r="L12" s="32">
        <f>IF($B12="","",IF($B$2="Todos",SUMIFS(BD!$L$3:$L$5001,BD!$A$3:$A$5001,$B12),SUMIFS(BD!$L$3:$L$5001,BD!$A$3:$A$5001,$B12,BD!$B$3:$B$5001,$D$2)))</f>
        <v>0</v>
      </c>
      <c r="M12" s="32">
        <f>IF($B12="","",IF($B$2="Todos",SUMIFS(BD!$M$3:$M$5001,BD!$A$3:$A$5001,$B12),SUMIFS(BD!$M$3:$M$5001,BD!$A$3:$A$5001,$B12,BD!$B$3:$B$5001,$D$2)))</f>
        <v>0</v>
      </c>
      <c r="N12" s="32">
        <f>IF($B12="","",IF($B$2="Todos",SUMIFS(BD!$N$3:$N$5001,BD!$A$3:$A$5001,$B12),SUMIFS(BD!$N$3:$N$5001,BD!$A$3:$A$5001,$B12,BD!$B$3:$B$5001,$D$2)))</f>
        <v>0</v>
      </c>
      <c r="O12" s="32">
        <f>IF($B12="","",IF($B$2="Todos",SUMIFS(BD!$O$3:$O$5001,BD!$A$3:$A$5001,$B12),SUMIFS(BD!$O$3:$O$5001,BD!$A$3:$A$5001,$B12,BD!$B$3:$B$5001,$D$2)))</f>
        <v>0</v>
      </c>
      <c r="P12" s="32">
        <f>IF($B12="","",IF($B$2="Todos",SUMIFS(BD!$P$3:$P$5001,BD!$A$3:$A$5001,$B12),SUMIFS(BD!$P$3:$P$5001,BD!$A$3:$A$5001,$B12,BD!$B$3:$B$5001,$D$2)))</f>
        <v>0</v>
      </c>
      <c r="Q12" s="32">
        <f>IF($B12="","",IF($B$2="Todos",SUMIFS(BD!$Q$3:$Q$5001,BD!$A$3:$A$5001,$B12),SUMIFS(BD!$Q$3:$Q$5001,BD!$A$3:$A$5001,$B12,BD!$B$3:$B$5001,$D$2)))</f>
        <v>0</v>
      </c>
      <c r="R12" s="32">
        <f>IF($B12="","",IF($B$2="Todos",SUMIFS(BD!$R$3:$R$5001,BD!$A$3:$A$5001,$B12),SUMIFS(BD!$R$3:$R$5001,BD!$A$3:$A$5001,$B12,BD!$B$3:$B$5001,$D$2)))</f>
        <v>0</v>
      </c>
      <c r="S12" s="32">
        <f>IF($B12="","",IF($B$2="Todos",SUMIFS(BD!$S$3:$S$5001,BD!$A$3:$A$5001,$B12),SUMIFS(BD!$S$3:$S$5001,BD!$A$3:$A$5001,$B12,BD!$B$3:$B$5001,$D$2)))</f>
        <v>0</v>
      </c>
      <c r="T12" s="46">
        <f>IF($B12="","",IF($B$2="Todos",SUMIFS(BD!$T$3:$T$5001,BD!$A$3:$A$5001,$B12),SUMIFS(BD!$T$3:$T$5001,BD!$A$3:$A$5001,$B12,BD!$B$3:$B$5001,$D$2)))</f>
        <v>0</v>
      </c>
      <c r="U12" s="32">
        <f>IF($B12="","",IF($B$2="Todos",SUMIFS(BD!$U$3:$U$5001,BD!$A$3:$A$5001,$B12),SUMIFS(BD!$U$3:$U$5001,BD!$A$3:$A$5001,$B12,BD!$B$3:$B$5001,$D$2)))</f>
        <v>0</v>
      </c>
      <c r="V12" s="32">
        <f>IF($B12="","",IF($B$2="Todos",SUMIFS(BD!$V$3:$V$5001,BD!$A$3:$A$5001,$B12),SUMIFS(BD!$V$3:$V$5001,BD!$A$3:$A$5001,$B12,BD!$B$3:$B$5001,$D$2)))</f>
        <v>0</v>
      </c>
      <c r="W12" s="32" t="str">
        <f>IF($B$2="Todos",IF(COUNT($C$139:$K$139)=0,"",SUM($C$139:$K$139)),IFERROR(INDEX($C$139:$K$139,MATCH($D$2,$C$138:$K$138,0)),""))</f>
        <v/>
      </c>
      <c r="X12" s="47" t="str">
        <f>IF(Y12="","",IF($B$2="Todos",IF($B$4&gt;0,$B$4,IF($B$2="Todos",IF(COUNT($C$209:$K$209)=0,"",SUM($C$209:$K$209)),IFERROR(INDEX($C$209:$K$209,MATCH($D$2,$C$208:$K$208,0)),""))),IFERROR(INDEX($C$209:$K$209,MATCH($D$2,$C$208:$K$208,0)),"")))</f>
        <v/>
      </c>
      <c r="Y12" s="32" t="str">
        <f>IF($B$2="Todos",IF(COUNT($C$174:$K$174)=0,"",SUM($C$174:$K$174)),IFERROR(INDEX($C$174:$K$174,MATCH($D$2,$C$173:$K$173,0)),""))</f>
        <v/>
      </c>
      <c r="Z12" s="48" t="str">
        <f>IF(AND(ISNUMBER(Y12),ISNUMBER(X12)),IF(X12&gt;0,Y12/X12,""),"")</f>
        <v/>
      </c>
      <c r="AA12" s="32" t="str">
        <f>IF($B$2="Todos",IF(COUNT($C$244:$K$244)=0,"",SUM($C$244:$K$244)),IFERROR(INDEX($C$244:$K$244,MATCH($D$2,$C$243:$K$243,0)),""))</f>
        <v/>
      </c>
      <c r="AB12" s="32">
        <f>IF($B12="","",IF($B$2="Todos",SUMIFS(BD!$AA$3:$AA$5001,BD!$A$3:$A$5001,$B12),SUMIFS(BD!$AA$3:$AA$5001,BD!$A$3:$A$5001,$B12,BD!$B$3:$B$5001,$D$2)))</f>
        <v>0</v>
      </c>
      <c r="AC12" s="32">
        <f>IF($B12="","",IF($B$2="Todos",SUMIFS(BD!$AB$3:$AB$5001,BD!$A$3:$A$5001,$B12),SUMIFS(BD!$AB$3:$AB$5001,BD!$A$3:$A$5001,$B12,BD!$B$3:$B$5001,$D$2)))</f>
        <v>0</v>
      </c>
      <c r="AD12" s="32">
        <f>IF($B12="","",IF($B$2="Todos",SUMIFS(BD!$AC$3:$AC$5001,BD!$A$3:$A$5001,$B12),SUMIFS(BD!$AC$3:$AC$5001,BD!$A$3:$A$5001,$B12,BD!$B$3:$B$5001,$D$2)))</f>
        <v>0</v>
      </c>
      <c r="AE12" s="32">
        <f>IF($B12="","",IF($B$2="Todos",SUMIFS(BD!$AD$3:$AD$5001,BD!$A$3:$A$5001,$B12),SUMIFS(BD!$AD$3:$AD$5001,BD!$A$3:$A$5001,$B12,BD!$B$3:$B$5001,$D$2)))</f>
        <v>0</v>
      </c>
      <c r="AF12" s="32">
        <f>IF($B12="","",IF($B$2="Todos",SUMIFS(BD!$AE$3:$AE$5001,BD!$A$3:$A$5001,$B12),SUMIFS(BD!$AE$3:$AE$5001,BD!$A$3:$A$5001,$B12,BD!$B$3:$B$5001,$D$2)))</f>
        <v>0</v>
      </c>
      <c r="AG12" s="32">
        <f>IF($B12="","",IF($B$2="Todos",SUMIFS(BD!$AF$3:$AF$5001,BD!$A$3:$A$5001,$B12),SUMIFS(BD!$AF$3:$AF$5001,BD!$A$3:$A$5001,$B12,BD!$B$3:$B$5001,$D$2)))</f>
        <v>0</v>
      </c>
      <c r="AH12" s="32">
        <f>IF($B12="","",IF($B$2="Todos",SUMIFS(BD!$AG$3:$AG$5001,BD!$A$3:$A$5001,$B12),SUMIFS(BD!$AG$3:$AG$5001,BD!$A$3:$A$5001,$B12,BD!$B$3:$B$5001,$D$2)))</f>
        <v>0</v>
      </c>
      <c r="AI12" s="49">
        <f>$B$5</f>
        <v>0.7</v>
      </c>
      <c r="AJ12" s="49">
        <f>$B$6</f>
        <v>0.9</v>
      </c>
      <c r="AM12" s="29" t="inlineStr">
        <is>
          <t xml:space="preserve">JANEIRO · 2026</t>
        </is>
      </c>
      <c r="AO12" s="29" t="inlineStr">
        <is>
          <t xml:space="preserve">Todos</t>
        </is>
      </c>
      <c r="AP12" s="28" t="inlineStr">
        <is>
          <t xml:space="preserve">TPC</t>
        </is>
      </c>
      <c r="AR12" s="29" t="str">
        <f>"MOVIMENTAÇÃO FROTA/DIA — "&amp;IF($B$2="Todos","TODOS OS CLIENTES",UPPER($B$2))</f>
        <v>MOVIMENTAÇÃO FROTA/DIA — TODOS OS CLIENTES</v>
      </c>
      <c r="AU12" s="37" t="inlineStr">
        <is>
          <t xml:space="preserve">Capacidade por depósito</t>
        </is>
      </c>
      <c r="AV12" s="37" t="inlineStr">
        <is>
          <t xml:space="preserve">Posições</t>
        </is>
      </c>
      <c r="AY12" s="60">
        <f>IF(OR($B12="",N(VALUE($AH$335))=0),"",IF(INDEX($C12:$AH12,VALUE($AH$335))="","",IF(N(VALUE($AJ$335))=0,INDEX($C12:$AH12,VALUE($AH$335)),IF(N(INDEX($C12:$AH12,N(VALUE($AJ$335))))&gt;0,INDEX($C12:$AH12,VALUE($AH$335))/INDEX($C12:$AH12,N(VALUE($AJ$335))),""))))</f>
        <v>0</v>
      </c>
      <c r="AZ12" s="60">
        <f>IF(OR($B12="",N(VALUE($AI$335))=0),"",IF(INDEX($C12:$AH12,VALUE($AI$335))="","",IF(N(VALUE($AK$335))=0,INDEX($C12:$AH12,VALUE($AI$335)),IF(N(INDEX($C12:$AH12,N(VALUE($AK$335))))&gt;0,INDEX($C12:$AH12,VALUE($AI$335))/INDEX($C12:$AH12,N(VALUE($AK$335))),""))))</f>
        <v>0</v>
      </c>
      <c r="BA12" s="60">
        <f>IF(OR($B12="",N(VALUE($AP$335))=0),"",IF(INDEX($C12:$AH12,VALUE($AP$335))="","",IF(N(VALUE($AR$335))=0,INDEX($C12:$AH12,VALUE($AP$335)),IF(N(INDEX($C12:$AH12,N(VALUE($AR$335))))&gt;0,INDEX($C12:$AH12,VALUE($AP$335))/INDEX($C12:$AH12,N(VALUE($AR$335))),""))))</f>
        <v>0</v>
      </c>
      <c r="BB12" s="60">
        <f>IF(OR($B12="",N(VALUE($AQ$335))=0),"",IF(INDEX($C12:$AH12,VALUE($AQ$335))="","",IF(N(VALUE($AS$335))=0,INDEX($C12:$AH12,VALUE($AQ$335)),IF(N(INDEX($C12:$AH12,N(VALUE($AS$335))))&gt;0,INDEX($C12:$AH12,VALUE($AQ$335))/INDEX($C12:$AH12,N(VALUE($AS$335))),""))))</f>
        <v>0</v>
      </c>
    </row>
    <row r="13">
      <c r="A13" s="28">
        <v>2</v>
      </c>
      <c r="B13" s="45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6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32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>
        <f>IF($B13="","",IF($B$2="Todos",SUMIFS(BD!$K$3:$K$5001,BD!$A$3:$A$5001,$B13),SUMIFS(BD!$K$3:$K$5001,BD!$A$3:$A$5001,$B13,BD!$B$3:$B$5001,$D$2)))</f>
        <v>0</v>
      </c>
      <c r="L13" s="32">
        <f>IF($B13="","",IF($B$2="Todos",SUMIFS(BD!$L$3:$L$5001,BD!$A$3:$A$5001,$B13),SUMIFS(BD!$L$3:$L$5001,BD!$A$3:$A$5001,$B13,BD!$B$3:$B$5001,$D$2)))</f>
        <v>0</v>
      </c>
      <c r="M13" s="32">
        <f>IF($B13="","",IF($B$2="Todos",SUMIFS(BD!$M$3:$M$5001,BD!$A$3:$A$5001,$B13),SUMIFS(BD!$M$3:$M$5001,BD!$A$3:$A$5001,$B13,BD!$B$3:$B$5001,$D$2)))</f>
        <v>0</v>
      </c>
      <c r="N13" s="32">
        <f>IF($B13="","",IF($B$2="Todos",SUMIFS(BD!$N$3:$N$5001,BD!$A$3:$A$5001,$B13),SUMIFS(BD!$N$3:$N$5001,BD!$A$3:$A$5001,$B13,BD!$B$3:$B$5001,$D$2)))</f>
        <v>0</v>
      </c>
      <c r="O13" s="32">
        <f>IF($B13="","",IF($B$2="Todos",SUMIFS(BD!$O$3:$O$5001,BD!$A$3:$A$5001,$B13),SUMIFS(BD!$O$3:$O$5001,BD!$A$3:$A$5001,$B13,BD!$B$3:$B$5001,$D$2)))</f>
        <v>0</v>
      </c>
      <c r="P13" s="32">
        <f>IF($B13="","",IF($B$2="Todos",SUMIFS(BD!$P$3:$P$5001,BD!$A$3:$A$5001,$B13),SUMIFS(BD!$P$3:$P$5001,BD!$A$3:$A$5001,$B13,BD!$B$3:$B$5001,$D$2)))</f>
        <v>0</v>
      </c>
      <c r="Q13" s="32">
        <f>IF($B13="","",IF($B$2="Todos",SUMIFS(BD!$Q$3:$Q$5001,BD!$A$3:$A$5001,$B13),SUMIFS(BD!$Q$3:$Q$5001,BD!$A$3:$A$5001,$B13,BD!$B$3:$B$5001,$D$2)))</f>
        <v>0</v>
      </c>
      <c r="R13" s="32">
        <f>IF($B13="","",IF($B$2="Todos",SUMIFS(BD!$R$3:$R$5001,BD!$A$3:$A$5001,$B13),SUMIFS(BD!$R$3:$R$5001,BD!$A$3:$A$5001,$B13,BD!$B$3:$B$5001,$D$2)))</f>
        <v>0</v>
      </c>
      <c r="S13" s="32">
        <f>IF($B13="","",IF($B$2="Todos",SUMIFS(BD!$S$3:$S$5001,BD!$A$3:$A$5001,$B13),SUMIFS(BD!$S$3:$S$5001,BD!$A$3:$A$5001,$B13,BD!$B$3:$B$5001,$D$2)))</f>
        <v>0</v>
      </c>
      <c r="T13" s="46">
        <f>IF($B13="","",IF($B$2="Todos",SUMIFS(BD!$T$3:$T$5001,BD!$A$3:$A$5001,$B13),SUMIFS(BD!$T$3:$T$5001,BD!$A$3:$A$5001,$B13,BD!$B$3:$B$5001,$D$2)))</f>
        <v>0</v>
      </c>
      <c r="U13" s="32">
        <f>IF($B13="","",IF($B$2="Todos",SUMIFS(BD!$U$3:$U$5001,BD!$A$3:$A$5001,$B13),SUMIFS(BD!$U$3:$U$5001,BD!$A$3:$A$5001,$B13,BD!$B$3:$B$5001,$D$2)))</f>
        <v>0</v>
      </c>
      <c r="V13" s="32">
        <f>IF($B13="","",IF($B$2="Todos",SUMIFS(BD!$V$3:$V$5001,BD!$A$3:$A$5001,$B13),SUMIFS(BD!$V$3:$V$5001,BD!$A$3:$A$5001,$B13,BD!$B$3:$B$5001,$D$2)))</f>
        <v>0</v>
      </c>
      <c r="W13" s="32" t="str">
        <f>IF($B$2="Todos",IF(COUNT($C$140:$K$140)=0,"",SUM($C$140:$K$140)),IFERROR(INDEX($C$140:$K$140,MATCH($D$2,$C$138:$K$138,0)),""))</f>
        <v/>
      </c>
      <c r="X13" s="47" t="str">
        <f>IF(Y13="","",IF($B$2="Todos",IF($B$4&gt;0,$B$4,IF($B$2="Todos",IF(COUNT($C$210:$K$210)=0,"",SUM($C$210:$K$210)),IFERROR(INDEX($C$210:$K$210,MATCH($D$2,$C$208:$K$208,0)),""))),IFERROR(INDEX($C$210:$K$210,MATCH($D$2,$C$208:$K$208,0)),"")))</f>
        <v/>
      </c>
      <c r="Y13" s="32" t="str">
        <f>IF($B$2="Todos",IF(COUNT($C$175:$K$175)=0,"",SUM($C$175:$K$175)),IFERROR(INDEX($C$175:$K$175,MATCH($D$2,$C$173:$K$173,0)),""))</f>
        <v/>
      </c>
      <c r="Z13" s="48" t="str">
        <f>IF(AND(ISNUMBER(Y13),ISNUMBER(X13)),IF(X13&gt;0,Y13/X13,""),"")</f>
        <v/>
      </c>
      <c r="AA13" s="32" t="str">
        <f>IF($B$2="Todos",IF(COUNT($C$245:$K$245)=0,"",SUM($C$245:$K$245)),IFERROR(INDEX($C$245:$K$245,MATCH($D$2,$C$243:$K$243,0)),""))</f>
        <v/>
      </c>
      <c r="AB13" s="32">
        <f>IF($B13="","",IF($B$2="Todos",SUMIFS(BD!$AA$3:$AA$5001,BD!$A$3:$A$5001,$B13),SUMIFS(BD!$AA$3:$AA$5001,BD!$A$3:$A$5001,$B13,BD!$B$3:$B$5001,$D$2)))</f>
        <v>0</v>
      </c>
      <c r="AC13" s="32">
        <f>IF($B13="","",IF($B$2="Todos",SUMIFS(BD!$AB$3:$AB$5001,BD!$A$3:$A$5001,$B13),SUMIFS(BD!$AB$3:$AB$5001,BD!$A$3:$A$5001,$B13,BD!$B$3:$B$5001,$D$2)))</f>
        <v>0</v>
      </c>
      <c r="AD13" s="32">
        <f>IF($B13="","",IF($B$2="Todos",SUMIFS(BD!$AC$3:$AC$5001,BD!$A$3:$A$5001,$B13),SUMIFS(BD!$AC$3:$AC$5001,BD!$A$3:$A$5001,$B13,BD!$B$3:$B$5001,$D$2)))</f>
        <v>0</v>
      </c>
      <c r="AE13" s="32">
        <f>IF($B13="","",IF($B$2="Todos",SUMIFS(BD!$AD$3:$AD$5001,BD!$A$3:$A$5001,$B13),SUMIFS(BD!$AD$3:$AD$5001,BD!$A$3:$A$5001,$B13,BD!$B$3:$B$5001,$D$2)))</f>
        <v>0</v>
      </c>
      <c r="AF13" s="32">
        <f>IF($B13="","",IF($B$2="Todos",SUMIFS(BD!$AE$3:$AE$5001,BD!$A$3:$A$5001,$B13),SUMIFS(BD!$AE$3:$AE$5001,BD!$A$3:$A$5001,$B13,BD!$B$3:$B$5001,$D$2)))</f>
        <v>0</v>
      </c>
      <c r="AG13" s="32">
        <f>IF($B13="","",IF($B$2="Todos",SUMIFS(BD!$AF$3:$AF$5001,BD!$A$3:$A$5001,$B13),SUMIFS(BD!$AF$3:$AF$5001,BD!$A$3:$A$5001,$B13,BD!$B$3:$B$5001,$D$2)))</f>
        <v>0</v>
      </c>
      <c r="AH13" s="32">
        <f>IF($B13="","",IF($B$2="Todos",SUMIFS(BD!$AG$3:$AG$5001,BD!$A$3:$A$5001,$B13),SUMIFS(BD!$AG$3:$AG$5001,BD!$A$3:$A$5001,$B13,BD!$B$3:$B$5001,$D$2)))</f>
        <v>0</v>
      </c>
      <c r="AI13" s="49">
        <f>$B$5</f>
        <v>0.7</v>
      </c>
      <c r="AJ13" s="49">
        <f>$B$6</f>
        <v>0.9</v>
      </c>
      <c r="AM13" s="29" t="inlineStr">
        <is>
          <t xml:space="preserve">FEVEREIRO · 2026</t>
        </is>
      </c>
      <c r="AO13" s="29" t="inlineStr">
        <is>
          <t xml:space="preserve">Alpargatas</t>
        </is>
      </c>
      <c r="AP13" s="28" t="inlineStr">
        <is>
          <t xml:space="preserve">TPC</t>
        </is>
      </c>
      <c r="AR13" s="29" t="str">
        <f>IF($AZ$335="Não se aplica","OCUPAÇÃO — NÃO SE APLICA",IF($AZ$335="Só ocupadas","POSIÇÕES OCUPADAS/DIA","OCUPAÇÃO DIÁRIA"))&amp;" — "&amp;IF($B$2="Todos","TODOS OS CLIENTES",UPPER($B$2))</f>
        <v>OCUPAÇÃO DIÁRIA — TODOS OS CLIENTES</v>
      </c>
      <c r="AU13" s="38" t="inlineStr">
        <is>
          <t xml:space="preserve">TPC</t>
        </is>
      </c>
      <c r="AV13" s="39">
        <v>0</v>
      </c>
      <c r="AW13" s="31"/>
      <c r="AY13" s="60">
        <f>IF(OR($B13="",N(VALUE($AH$335))=0),"",IF(INDEX($C13:$AH13,VALUE($AH$335))="","",IF(N(VALUE($AJ$335))=0,INDEX($C13:$AH13,VALUE($AH$335)),IF(N(INDEX($C13:$AH13,N(VALUE($AJ$335))))&gt;0,INDEX($C13:$AH13,VALUE($AH$335))/INDEX($C13:$AH13,N(VALUE($AJ$335))),""))))</f>
        <v>0</v>
      </c>
      <c r="AZ13" s="60">
        <f>IF(OR($B13="",N(VALUE($AI$335))=0),"",IF(INDEX($C13:$AH13,VALUE($AI$335))="","",IF(N(VALUE($AK$335))=0,INDEX($C13:$AH13,VALUE($AI$335)),IF(N(INDEX($C13:$AH13,N(VALUE($AK$335))))&gt;0,INDEX($C13:$AH13,VALUE($AI$335))/INDEX($C13:$AH13,N(VALUE($AK$335))),""))))</f>
        <v>0</v>
      </c>
      <c r="BA13" s="60">
        <f>IF(OR($B13="",N(VALUE($AP$335))=0),"",IF(INDEX($C13:$AH13,VALUE($AP$335))="","",IF(N(VALUE($AR$335))=0,INDEX($C13:$AH13,VALUE($AP$335)),IF(N(INDEX($C13:$AH13,N(VALUE($AR$335))))&gt;0,INDEX($C13:$AH13,VALUE($AP$335))/INDEX($C13:$AH13,N(VALUE($AR$335))),""))))</f>
        <v>0</v>
      </c>
      <c r="BB13" s="60">
        <f>IF(OR($B13="",N(VALUE($AQ$335))=0),"",IF(INDEX($C13:$AH13,VALUE($AQ$335))="","",IF(N(VALUE($AS$335))=0,INDEX($C13:$AH13,VALUE($AQ$335)),IF(N(INDEX($C13:$AH13,N(VALUE($AS$335))))&gt;0,INDEX($C13:$AH13,VALUE($AQ$335))/INDEX($C13:$AH13,N(VALUE($AS$335))),""))))</f>
        <v>0</v>
      </c>
    </row>
    <row r="14">
      <c r="A14" s="28">
        <v>3</v>
      </c>
      <c r="B14" s="45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6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32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>
        <f>IF($B14="","",IF($B$2="Todos",SUMIFS(BD!$K$3:$K$5001,BD!$A$3:$A$5001,$B14),SUMIFS(BD!$K$3:$K$5001,BD!$A$3:$A$5001,$B14,BD!$B$3:$B$5001,$D$2)))</f>
        <v>0</v>
      </c>
      <c r="L14" s="32">
        <f>IF($B14="","",IF($B$2="Todos",SUMIFS(BD!$L$3:$L$5001,BD!$A$3:$A$5001,$B14),SUMIFS(BD!$L$3:$L$5001,BD!$A$3:$A$5001,$B14,BD!$B$3:$B$5001,$D$2)))</f>
        <v>0</v>
      </c>
      <c r="M14" s="32">
        <f>IF($B14="","",IF($B$2="Todos",SUMIFS(BD!$M$3:$M$5001,BD!$A$3:$A$5001,$B14),SUMIFS(BD!$M$3:$M$5001,BD!$A$3:$A$5001,$B14,BD!$B$3:$B$5001,$D$2)))</f>
        <v>0</v>
      </c>
      <c r="N14" s="32">
        <f>IF($B14="","",IF($B$2="Todos",SUMIFS(BD!$N$3:$N$5001,BD!$A$3:$A$5001,$B14),SUMIFS(BD!$N$3:$N$5001,BD!$A$3:$A$5001,$B14,BD!$B$3:$B$5001,$D$2)))</f>
        <v>0</v>
      </c>
      <c r="O14" s="32">
        <f>IF($B14="","",IF($B$2="Todos",SUMIFS(BD!$O$3:$O$5001,BD!$A$3:$A$5001,$B14),SUMIFS(BD!$O$3:$O$5001,BD!$A$3:$A$5001,$B14,BD!$B$3:$B$5001,$D$2)))</f>
        <v>0</v>
      </c>
      <c r="P14" s="32">
        <f>IF($B14="","",IF($B$2="Todos",SUMIFS(BD!$P$3:$P$5001,BD!$A$3:$A$5001,$B14),SUMIFS(BD!$P$3:$P$5001,BD!$A$3:$A$5001,$B14,BD!$B$3:$B$5001,$D$2)))</f>
        <v>0</v>
      </c>
      <c r="Q14" s="32">
        <f>IF($B14="","",IF($B$2="Todos",SUMIFS(BD!$Q$3:$Q$5001,BD!$A$3:$A$5001,$B14),SUMIFS(BD!$Q$3:$Q$5001,BD!$A$3:$A$5001,$B14,BD!$B$3:$B$5001,$D$2)))</f>
        <v>0</v>
      </c>
      <c r="R14" s="32">
        <f>IF($B14="","",IF($B$2="Todos",SUMIFS(BD!$R$3:$R$5001,BD!$A$3:$A$5001,$B14),SUMIFS(BD!$R$3:$R$5001,BD!$A$3:$A$5001,$B14,BD!$B$3:$B$5001,$D$2)))</f>
        <v>0</v>
      </c>
      <c r="S14" s="32">
        <f>IF($B14="","",IF($B$2="Todos",SUMIFS(BD!$S$3:$S$5001,BD!$A$3:$A$5001,$B14),SUMIFS(BD!$S$3:$S$5001,BD!$A$3:$A$5001,$B14,BD!$B$3:$B$5001,$D$2)))</f>
        <v>0</v>
      </c>
      <c r="T14" s="46">
        <f>IF($B14="","",IF($B$2="Todos",SUMIFS(BD!$T$3:$T$5001,BD!$A$3:$A$5001,$B14),SUMIFS(BD!$T$3:$T$5001,BD!$A$3:$A$5001,$B14,BD!$B$3:$B$5001,$D$2)))</f>
        <v>0</v>
      </c>
      <c r="U14" s="32">
        <f>IF($B14="","",IF($B$2="Todos",SUMIFS(BD!$U$3:$U$5001,BD!$A$3:$A$5001,$B14),SUMIFS(BD!$U$3:$U$5001,BD!$A$3:$A$5001,$B14,BD!$B$3:$B$5001,$D$2)))</f>
        <v>0</v>
      </c>
      <c r="V14" s="32">
        <f>IF($B14="","",IF($B$2="Todos",SUMIFS(BD!$V$3:$V$5001,BD!$A$3:$A$5001,$B14),SUMIFS(BD!$V$3:$V$5001,BD!$A$3:$A$5001,$B14,BD!$B$3:$B$5001,$D$2)))</f>
        <v>0</v>
      </c>
      <c r="W14" s="32" t="str">
        <f>IF($B$2="Todos",IF(COUNT($C$141:$K$141)=0,"",SUM($C$141:$K$141)),IFERROR(INDEX($C$141:$K$141,MATCH($D$2,$C$138:$K$138,0)),""))</f>
        <v/>
      </c>
      <c r="X14" s="47" t="str">
        <f>IF(Y14="","",IF($B$2="Todos",IF($B$4&gt;0,$B$4,IF($B$2="Todos",IF(COUNT($C$211:$K$211)=0,"",SUM($C$211:$K$211)),IFERROR(INDEX($C$211:$K$211,MATCH($D$2,$C$208:$K$208,0)),""))),IFERROR(INDEX($C$211:$K$211,MATCH($D$2,$C$208:$K$208,0)),"")))</f>
        <v/>
      </c>
      <c r="Y14" s="32" t="str">
        <f>IF($B$2="Todos",IF(COUNT($C$176:$K$176)=0,"",SUM($C$176:$K$176)),IFERROR(INDEX($C$176:$K$176,MATCH($D$2,$C$173:$K$173,0)),""))</f>
        <v/>
      </c>
      <c r="Z14" s="48" t="str">
        <f>IF(AND(ISNUMBER(Y14),ISNUMBER(X14)),IF(X14&gt;0,Y14/X14,""),"")</f>
        <v/>
      </c>
      <c r="AA14" s="32" t="str">
        <f>IF($B$2="Todos",IF(COUNT($C$246:$K$246)=0,"",SUM($C$246:$K$246)),IFERROR(INDEX($C$246:$K$246,MATCH($D$2,$C$243:$K$243,0)),""))</f>
        <v/>
      </c>
      <c r="AB14" s="32">
        <f>IF($B14="","",IF($B$2="Todos",SUMIFS(BD!$AA$3:$AA$5001,BD!$A$3:$A$5001,$B14),SUMIFS(BD!$AA$3:$AA$5001,BD!$A$3:$A$5001,$B14,BD!$B$3:$B$5001,$D$2)))</f>
        <v>0</v>
      </c>
      <c r="AC14" s="32">
        <f>IF($B14="","",IF($B$2="Todos",SUMIFS(BD!$AB$3:$AB$5001,BD!$A$3:$A$5001,$B14),SUMIFS(BD!$AB$3:$AB$5001,BD!$A$3:$A$5001,$B14,BD!$B$3:$B$5001,$D$2)))</f>
        <v>0</v>
      </c>
      <c r="AD14" s="32">
        <f>IF($B14="","",IF($B$2="Todos",SUMIFS(BD!$AC$3:$AC$5001,BD!$A$3:$A$5001,$B14),SUMIFS(BD!$AC$3:$AC$5001,BD!$A$3:$A$5001,$B14,BD!$B$3:$B$5001,$D$2)))</f>
        <v>0</v>
      </c>
      <c r="AE14" s="32">
        <f>IF($B14="","",IF($B$2="Todos",SUMIFS(BD!$AD$3:$AD$5001,BD!$A$3:$A$5001,$B14),SUMIFS(BD!$AD$3:$AD$5001,BD!$A$3:$A$5001,$B14,BD!$B$3:$B$5001,$D$2)))</f>
        <v>0</v>
      </c>
      <c r="AF14" s="32">
        <f>IF($B14="","",IF($B$2="Todos",SUMIFS(BD!$AE$3:$AE$5001,BD!$A$3:$A$5001,$B14),SUMIFS(BD!$AE$3:$AE$5001,BD!$A$3:$A$5001,$B14,BD!$B$3:$B$5001,$D$2)))</f>
        <v>0</v>
      </c>
      <c r="AG14" s="32">
        <f>IF($B14="","",IF($B$2="Todos",SUMIFS(BD!$AF$3:$AF$5001,BD!$A$3:$A$5001,$B14),SUMIFS(BD!$AF$3:$AF$5001,BD!$A$3:$A$5001,$B14,BD!$B$3:$B$5001,$D$2)))</f>
        <v>0</v>
      </c>
      <c r="AH14" s="32">
        <f>IF($B14="","",IF($B$2="Todos",SUMIFS(BD!$AG$3:$AG$5001,BD!$A$3:$A$5001,$B14),SUMIFS(BD!$AG$3:$AG$5001,BD!$A$3:$A$5001,$B14,BD!$B$3:$B$5001,$D$2)))</f>
        <v>0</v>
      </c>
      <c r="AI14" s="49">
        <f>$B$5</f>
        <v>0.7</v>
      </c>
      <c r="AJ14" s="49">
        <f>$B$6</f>
        <v>0.9</v>
      </c>
      <c r="AM14" s="29" t="inlineStr">
        <is>
          <t xml:space="preserve">MARÇO · 2026</t>
        </is>
      </c>
      <c r="AO14" s="29" t="inlineStr">
        <is>
          <t xml:space="preserve">Basf</t>
        </is>
      </c>
      <c r="AP14" s="28" t="inlineStr">
        <is>
          <t xml:space="preserve">TPC</t>
        </is>
      </c>
      <c r="AR14" s="29" t="str">
        <f>$AL$335&amp;" — "&amp;IF($B$2="Todos","TODOS OS CLIENTES",UPPER($B$2))</f>
        <v>MOVIMENTAÇÃO PALETES/DIA — TODOS OS CLIENTES</v>
      </c>
      <c r="AY14" s="60">
        <f>IF(OR($B14="",N(VALUE($AH$335))=0),"",IF(INDEX($C14:$AH14,VALUE($AH$335))="","",IF(N(VALUE($AJ$335))=0,INDEX($C14:$AH14,VALUE($AH$335)),IF(N(INDEX($C14:$AH14,N(VALUE($AJ$335))))&gt;0,INDEX($C14:$AH14,VALUE($AH$335))/INDEX($C14:$AH14,N(VALUE($AJ$335))),""))))</f>
        <v>0</v>
      </c>
      <c r="AZ14" s="60">
        <f>IF(OR($B14="",N(VALUE($AI$335))=0),"",IF(INDEX($C14:$AH14,VALUE($AI$335))="","",IF(N(VALUE($AK$335))=0,INDEX($C14:$AH14,VALUE($AI$335)),IF(N(INDEX($C14:$AH14,N(VALUE($AK$335))))&gt;0,INDEX($C14:$AH14,VALUE($AI$335))/INDEX($C14:$AH14,N(VALUE($AK$335))),""))))</f>
        <v>0</v>
      </c>
      <c r="BA14" s="60">
        <f>IF(OR($B14="",N(VALUE($AP$335))=0),"",IF(INDEX($C14:$AH14,VALUE($AP$335))="","",IF(N(VALUE($AR$335))=0,INDEX($C14:$AH14,VALUE($AP$335)),IF(N(INDEX($C14:$AH14,N(VALUE($AR$335))))&gt;0,INDEX($C14:$AH14,VALUE($AP$335))/INDEX($C14:$AH14,N(VALUE($AR$335))),""))))</f>
        <v>0</v>
      </c>
      <c r="BB14" s="60">
        <f>IF(OR($B14="",N(VALUE($AQ$335))=0),"",IF(INDEX($C14:$AH14,VALUE($AQ$335))="","",IF(N(VALUE($AS$335))=0,INDEX($C14:$AH14,VALUE($AQ$335)),IF(N(INDEX($C14:$AH14,N(VALUE($AS$335))))&gt;0,INDEX($C14:$AH14,VALUE($AQ$335))/INDEX($C14:$AH14,N(VALUE($AS$335))),""))))</f>
        <v>0</v>
      </c>
    </row>
    <row r="15">
      <c r="A15" s="28">
        <v>4</v>
      </c>
      <c r="B15" s="45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6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32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>
        <f>IF($B15="","",IF($B$2="Todos",SUMIFS(BD!$K$3:$K$5001,BD!$A$3:$A$5001,$B15),SUMIFS(BD!$K$3:$K$5001,BD!$A$3:$A$5001,$B15,BD!$B$3:$B$5001,$D$2)))</f>
        <v>0</v>
      </c>
      <c r="L15" s="32">
        <f>IF($B15="","",IF($B$2="Todos",SUMIFS(BD!$L$3:$L$5001,BD!$A$3:$A$5001,$B15),SUMIFS(BD!$L$3:$L$5001,BD!$A$3:$A$5001,$B15,BD!$B$3:$B$5001,$D$2)))</f>
        <v>0</v>
      </c>
      <c r="M15" s="32">
        <f>IF($B15="","",IF($B$2="Todos",SUMIFS(BD!$M$3:$M$5001,BD!$A$3:$A$5001,$B15),SUMIFS(BD!$M$3:$M$5001,BD!$A$3:$A$5001,$B15,BD!$B$3:$B$5001,$D$2)))</f>
        <v>0</v>
      </c>
      <c r="N15" s="32">
        <f>IF($B15="","",IF($B$2="Todos",SUMIFS(BD!$N$3:$N$5001,BD!$A$3:$A$5001,$B15),SUMIFS(BD!$N$3:$N$5001,BD!$A$3:$A$5001,$B15,BD!$B$3:$B$5001,$D$2)))</f>
        <v>0</v>
      </c>
      <c r="O15" s="32">
        <f>IF($B15="","",IF($B$2="Todos",SUMIFS(BD!$O$3:$O$5001,BD!$A$3:$A$5001,$B15),SUMIFS(BD!$O$3:$O$5001,BD!$A$3:$A$5001,$B15,BD!$B$3:$B$5001,$D$2)))</f>
        <v>0</v>
      </c>
      <c r="P15" s="32">
        <f>IF($B15="","",IF($B$2="Todos",SUMIFS(BD!$P$3:$P$5001,BD!$A$3:$A$5001,$B15),SUMIFS(BD!$P$3:$P$5001,BD!$A$3:$A$5001,$B15,BD!$B$3:$B$5001,$D$2)))</f>
        <v>0</v>
      </c>
      <c r="Q15" s="32">
        <f>IF($B15="","",IF($B$2="Todos",SUMIFS(BD!$Q$3:$Q$5001,BD!$A$3:$A$5001,$B15),SUMIFS(BD!$Q$3:$Q$5001,BD!$A$3:$A$5001,$B15,BD!$B$3:$B$5001,$D$2)))</f>
        <v>0</v>
      </c>
      <c r="R15" s="32">
        <f>IF($B15="","",IF($B$2="Todos",SUMIFS(BD!$R$3:$R$5001,BD!$A$3:$A$5001,$B15),SUMIFS(BD!$R$3:$R$5001,BD!$A$3:$A$5001,$B15,BD!$B$3:$B$5001,$D$2)))</f>
        <v>0</v>
      </c>
      <c r="S15" s="32">
        <f>IF($B15="","",IF($B$2="Todos",SUMIFS(BD!$S$3:$S$5001,BD!$A$3:$A$5001,$B15),SUMIFS(BD!$S$3:$S$5001,BD!$A$3:$A$5001,$B15,BD!$B$3:$B$5001,$D$2)))</f>
        <v>0</v>
      </c>
      <c r="T15" s="46">
        <f>IF($B15="","",IF($B$2="Todos",SUMIFS(BD!$T$3:$T$5001,BD!$A$3:$A$5001,$B15),SUMIFS(BD!$T$3:$T$5001,BD!$A$3:$A$5001,$B15,BD!$B$3:$B$5001,$D$2)))</f>
        <v>0</v>
      </c>
      <c r="U15" s="32">
        <f>IF($B15="","",IF($B$2="Todos",SUMIFS(BD!$U$3:$U$5001,BD!$A$3:$A$5001,$B15),SUMIFS(BD!$U$3:$U$5001,BD!$A$3:$A$5001,$B15,BD!$B$3:$B$5001,$D$2)))</f>
        <v>0</v>
      </c>
      <c r="V15" s="32">
        <f>IF($B15="","",IF($B$2="Todos",SUMIFS(BD!$V$3:$V$5001,BD!$A$3:$A$5001,$B15),SUMIFS(BD!$V$3:$V$5001,BD!$A$3:$A$5001,$B15,BD!$B$3:$B$5001,$D$2)))</f>
        <v>0</v>
      </c>
      <c r="W15" s="32" t="str">
        <f>IF($B$2="Todos",IF(COUNT($C$142:$K$142)=0,"",SUM($C$142:$K$142)),IFERROR(INDEX($C$142:$K$142,MATCH($D$2,$C$138:$K$138,0)),""))</f>
        <v/>
      </c>
      <c r="X15" s="47" t="str">
        <f>IF(Y15="","",IF($B$2="Todos",IF($B$4&gt;0,$B$4,IF($B$2="Todos",IF(COUNT($C$212:$K$212)=0,"",SUM($C$212:$K$212)),IFERROR(INDEX($C$212:$K$212,MATCH($D$2,$C$208:$K$208,0)),""))),IFERROR(INDEX($C$212:$K$212,MATCH($D$2,$C$208:$K$208,0)),"")))</f>
        <v/>
      </c>
      <c r="Y15" s="32" t="str">
        <f>IF($B$2="Todos",IF(COUNT($C$177:$K$177)=0,"",SUM($C$177:$K$177)),IFERROR(INDEX($C$177:$K$177,MATCH($D$2,$C$173:$K$173,0)),""))</f>
        <v/>
      </c>
      <c r="Z15" s="48" t="str">
        <f>IF(AND(ISNUMBER(Y15),ISNUMBER(X15)),IF(X15&gt;0,Y15/X15,""),"")</f>
        <v/>
      </c>
      <c r="AA15" s="32" t="str">
        <f>IF($B$2="Todos",IF(COUNT($C$247:$K$247)=0,"",SUM($C$247:$K$247)),IFERROR(INDEX($C$247:$K$247,MATCH($D$2,$C$243:$K$243,0)),""))</f>
        <v/>
      </c>
      <c r="AB15" s="32">
        <f>IF($B15="","",IF($B$2="Todos",SUMIFS(BD!$AA$3:$AA$5001,BD!$A$3:$A$5001,$B15),SUMIFS(BD!$AA$3:$AA$5001,BD!$A$3:$A$5001,$B15,BD!$B$3:$B$5001,$D$2)))</f>
        <v>0</v>
      </c>
      <c r="AC15" s="32">
        <f>IF($B15="","",IF($B$2="Todos",SUMIFS(BD!$AB$3:$AB$5001,BD!$A$3:$A$5001,$B15),SUMIFS(BD!$AB$3:$AB$5001,BD!$A$3:$A$5001,$B15,BD!$B$3:$B$5001,$D$2)))</f>
        <v>0</v>
      </c>
      <c r="AD15" s="32">
        <f>IF($B15="","",IF($B$2="Todos",SUMIFS(BD!$AC$3:$AC$5001,BD!$A$3:$A$5001,$B15),SUMIFS(BD!$AC$3:$AC$5001,BD!$A$3:$A$5001,$B15,BD!$B$3:$B$5001,$D$2)))</f>
        <v>0</v>
      </c>
      <c r="AE15" s="32">
        <f>IF($B15="","",IF($B$2="Todos",SUMIFS(BD!$AD$3:$AD$5001,BD!$A$3:$A$5001,$B15),SUMIFS(BD!$AD$3:$AD$5001,BD!$A$3:$A$5001,$B15,BD!$B$3:$B$5001,$D$2)))</f>
        <v>0</v>
      </c>
      <c r="AF15" s="32">
        <f>IF($B15="","",IF($B$2="Todos",SUMIFS(BD!$AE$3:$AE$5001,BD!$A$3:$A$5001,$B15),SUMIFS(BD!$AE$3:$AE$5001,BD!$A$3:$A$5001,$B15,BD!$B$3:$B$5001,$D$2)))</f>
        <v>0</v>
      </c>
      <c r="AG15" s="32">
        <f>IF($B15="","",IF($B$2="Todos",SUMIFS(BD!$AF$3:$AF$5001,BD!$A$3:$A$5001,$B15),SUMIFS(BD!$AF$3:$AF$5001,BD!$A$3:$A$5001,$B15,BD!$B$3:$B$5001,$D$2)))</f>
        <v>0</v>
      </c>
      <c r="AH15" s="32">
        <f>IF($B15="","",IF($B$2="Todos",SUMIFS(BD!$AG$3:$AG$5001,BD!$A$3:$A$5001,$B15),SUMIFS(BD!$AG$3:$AG$5001,BD!$A$3:$A$5001,$B15,BD!$B$3:$B$5001,$D$2)))</f>
        <v>0</v>
      </c>
      <c r="AI15" s="49">
        <f>$B$5</f>
        <v>0.7</v>
      </c>
      <c r="AJ15" s="49">
        <f>$B$6</f>
        <v>0.9</v>
      </c>
      <c r="AM15" s="29" t="inlineStr">
        <is>
          <t xml:space="preserve">ABRIL · 2026</t>
        </is>
      </c>
      <c r="AO15" s="29" t="inlineStr">
        <is>
          <t xml:space="preserve">Beautybiz</t>
        </is>
      </c>
      <c r="AP15" s="28" t="inlineStr">
        <is>
          <t xml:space="preserve">TPC</t>
        </is>
      </c>
      <c r="AR15" s="29" t="str">
        <f>$AT$335&amp;" — "&amp;IF($B$2="Todos","TODOS OS CLIENTES",UPPER($B$2))</f>
        <v>MOVIMENTAÇÃO TONS/DIA — TODOS OS CLIENTES</v>
      </c>
      <c r="AY15" s="60">
        <f>IF(OR($B15="",N(VALUE($AH$335))=0),"",IF(INDEX($C15:$AH15,VALUE($AH$335))="","",IF(N(VALUE($AJ$335))=0,INDEX($C15:$AH15,VALUE($AH$335)),IF(N(INDEX($C15:$AH15,N(VALUE($AJ$335))))&gt;0,INDEX($C15:$AH15,VALUE($AH$335))/INDEX($C15:$AH15,N(VALUE($AJ$335))),""))))</f>
        <v>0</v>
      </c>
      <c r="AZ15" s="60">
        <f>IF(OR($B15="",N(VALUE($AI$335))=0),"",IF(INDEX($C15:$AH15,VALUE($AI$335))="","",IF(N(VALUE($AK$335))=0,INDEX($C15:$AH15,VALUE($AI$335)),IF(N(INDEX($C15:$AH15,N(VALUE($AK$335))))&gt;0,INDEX($C15:$AH15,VALUE($AI$335))/INDEX($C15:$AH15,N(VALUE($AK$335))),""))))</f>
        <v>0</v>
      </c>
      <c r="BA15" s="60">
        <f>IF(OR($B15="",N(VALUE($AP$335))=0),"",IF(INDEX($C15:$AH15,VALUE($AP$335))="","",IF(N(VALUE($AR$335))=0,INDEX($C15:$AH15,VALUE($AP$335)),IF(N(INDEX($C15:$AH15,N(VALUE($AR$335))))&gt;0,INDEX($C15:$AH15,VALUE($AP$335))/INDEX($C15:$AH15,N(VALUE($AR$335))),""))))</f>
        <v>0</v>
      </c>
      <c r="BB15" s="60">
        <f>IF(OR($B15="",N(VALUE($AQ$335))=0),"",IF(INDEX($C15:$AH15,VALUE($AQ$335))="","",IF(N(VALUE($AS$335))=0,INDEX($C15:$AH15,VALUE($AQ$335)),IF(N(INDEX($C15:$AH15,N(VALUE($AS$335))))&gt;0,INDEX($C15:$AH15,VALUE($AQ$335))/INDEX($C15:$AH15,N(VALUE($AS$335))),""))))</f>
        <v>0</v>
      </c>
    </row>
    <row r="16">
      <c r="A16" s="28">
        <v>5</v>
      </c>
      <c r="B16" s="45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6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32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>
        <f>IF($B16="","",IF($B$2="Todos",SUMIFS(BD!$K$3:$K$5001,BD!$A$3:$A$5001,$B16),SUMIFS(BD!$K$3:$K$5001,BD!$A$3:$A$5001,$B16,BD!$B$3:$B$5001,$D$2)))</f>
        <v>0</v>
      </c>
      <c r="L16" s="32">
        <f>IF($B16="","",IF($B$2="Todos",SUMIFS(BD!$L$3:$L$5001,BD!$A$3:$A$5001,$B16),SUMIFS(BD!$L$3:$L$5001,BD!$A$3:$A$5001,$B16,BD!$B$3:$B$5001,$D$2)))</f>
        <v>0</v>
      </c>
      <c r="M16" s="32">
        <f>IF($B16="","",IF($B$2="Todos",SUMIFS(BD!$M$3:$M$5001,BD!$A$3:$A$5001,$B16),SUMIFS(BD!$M$3:$M$5001,BD!$A$3:$A$5001,$B16,BD!$B$3:$B$5001,$D$2)))</f>
        <v>0</v>
      </c>
      <c r="N16" s="32">
        <f>IF($B16="","",IF($B$2="Todos",SUMIFS(BD!$N$3:$N$5001,BD!$A$3:$A$5001,$B16),SUMIFS(BD!$N$3:$N$5001,BD!$A$3:$A$5001,$B16,BD!$B$3:$B$5001,$D$2)))</f>
        <v>0</v>
      </c>
      <c r="O16" s="32">
        <f>IF($B16="","",IF($B$2="Todos",SUMIFS(BD!$O$3:$O$5001,BD!$A$3:$A$5001,$B16),SUMIFS(BD!$O$3:$O$5001,BD!$A$3:$A$5001,$B16,BD!$B$3:$B$5001,$D$2)))</f>
        <v>0</v>
      </c>
      <c r="P16" s="32">
        <f>IF($B16="","",IF($B$2="Todos",SUMIFS(BD!$P$3:$P$5001,BD!$A$3:$A$5001,$B16),SUMIFS(BD!$P$3:$P$5001,BD!$A$3:$A$5001,$B16,BD!$B$3:$B$5001,$D$2)))</f>
        <v>0</v>
      </c>
      <c r="Q16" s="32">
        <f>IF($B16="","",IF($B$2="Todos",SUMIFS(BD!$Q$3:$Q$5001,BD!$A$3:$A$5001,$B16),SUMIFS(BD!$Q$3:$Q$5001,BD!$A$3:$A$5001,$B16,BD!$B$3:$B$5001,$D$2)))</f>
        <v>0</v>
      </c>
      <c r="R16" s="32">
        <f>IF($B16="","",IF($B$2="Todos",SUMIFS(BD!$R$3:$R$5001,BD!$A$3:$A$5001,$B16),SUMIFS(BD!$R$3:$R$5001,BD!$A$3:$A$5001,$B16,BD!$B$3:$B$5001,$D$2)))</f>
        <v>0</v>
      </c>
      <c r="S16" s="32">
        <f>IF($B16="","",IF($B$2="Todos",SUMIFS(BD!$S$3:$S$5001,BD!$A$3:$A$5001,$B16),SUMIFS(BD!$S$3:$S$5001,BD!$A$3:$A$5001,$B16,BD!$B$3:$B$5001,$D$2)))</f>
        <v>0</v>
      </c>
      <c r="T16" s="46">
        <f>IF($B16="","",IF($B$2="Todos",SUMIFS(BD!$T$3:$T$5001,BD!$A$3:$A$5001,$B16),SUMIFS(BD!$T$3:$T$5001,BD!$A$3:$A$5001,$B16,BD!$B$3:$B$5001,$D$2)))</f>
        <v>0</v>
      </c>
      <c r="U16" s="32">
        <f>IF($B16="","",IF($B$2="Todos",SUMIFS(BD!$U$3:$U$5001,BD!$A$3:$A$5001,$B16),SUMIFS(BD!$U$3:$U$5001,BD!$A$3:$A$5001,$B16,BD!$B$3:$B$5001,$D$2)))</f>
        <v>0</v>
      </c>
      <c r="V16" s="32">
        <f>IF($B16="","",IF($B$2="Todos",SUMIFS(BD!$V$3:$V$5001,BD!$A$3:$A$5001,$B16),SUMIFS(BD!$V$3:$V$5001,BD!$A$3:$A$5001,$B16,BD!$B$3:$B$5001,$D$2)))</f>
        <v>0</v>
      </c>
      <c r="W16" s="32" t="str">
        <f>IF($B$2="Todos",IF(COUNT($C$143:$K$143)=0,"",SUM($C$143:$K$143)),IFERROR(INDEX($C$143:$K$143,MATCH($D$2,$C$138:$K$138,0)),""))</f>
        <v/>
      </c>
      <c r="X16" s="47" t="str">
        <f>IF(Y16="","",IF($B$2="Todos",IF($B$4&gt;0,$B$4,IF($B$2="Todos",IF(COUNT($C$213:$K$213)=0,"",SUM($C$213:$K$213)),IFERROR(INDEX($C$213:$K$213,MATCH($D$2,$C$208:$K$208,0)),""))),IFERROR(INDEX($C$213:$K$213,MATCH($D$2,$C$208:$K$208,0)),"")))</f>
        <v/>
      </c>
      <c r="Y16" s="32" t="str">
        <f>IF($B$2="Todos",IF(COUNT($C$178:$K$178)=0,"",SUM($C$178:$K$178)),IFERROR(INDEX($C$178:$K$178,MATCH($D$2,$C$173:$K$173,0)),""))</f>
        <v/>
      </c>
      <c r="Z16" s="48" t="str">
        <f>IF(AND(ISNUMBER(Y16),ISNUMBER(X16)),IF(X16&gt;0,Y16/X16,""),"")</f>
        <v/>
      </c>
      <c r="AA16" s="32" t="str">
        <f>IF($B$2="Todos",IF(COUNT($C$248:$K$248)=0,"",SUM($C$248:$K$248)),IFERROR(INDEX($C$248:$K$248,MATCH($D$2,$C$243:$K$243,0)),""))</f>
        <v/>
      </c>
      <c r="AB16" s="32">
        <f>IF($B16="","",IF($B$2="Todos",SUMIFS(BD!$AA$3:$AA$5001,BD!$A$3:$A$5001,$B16),SUMIFS(BD!$AA$3:$AA$5001,BD!$A$3:$A$5001,$B16,BD!$B$3:$B$5001,$D$2)))</f>
        <v>0</v>
      </c>
      <c r="AC16" s="32">
        <f>IF($B16="","",IF($B$2="Todos",SUMIFS(BD!$AB$3:$AB$5001,BD!$A$3:$A$5001,$B16),SUMIFS(BD!$AB$3:$AB$5001,BD!$A$3:$A$5001,$B16,BD!$B$3:$B$5001,$D$2)))</f>
        <v>0</v>
      </c>
      <c r="AD16" s="32">
        <f>IF($B16="","",IF($B$2="Todos",SUMIFS(BD!$AC$3:$AC$5001,BD!$A$3:$A$5001,$B16),SUMIFS(BD!$AC$3:$AC$5001,BD!$A$3:$A$5001,$B16,BD!$B$3:$B$5001,$D$2)))</f>
        <v>0</v>
      </c>
      <c r="AE16" s="32">
        <f>IF($B16="","",IF($B$2="Todos",SUMIFS(BD!$AD$3:$AD$5001,BD!$A$3:$A$5001,$B16),SUMIFS(BD!$AD$3:$AD$5001,BD!$A$3:$A$5001,$B16,BD!$B$3:$B$5001,$D$2)))</f>
        <v>0</v>
      </c>
      <c r="AF16" s="32">
        <f>IF($B16="","",IF($B$2="Todos",SUMIFS(BD!$AE$3:$AE$5001,BD!$A$3:$A$5001,$B16),SUMIFS(BD!$AE$3:$AE$5001,BD!$A$3:$A$5001,$B16,BD!$B$3:$B$5001,$D$2)))</f>
        <v>0</v>
      </c>
      <c r="AG16" s="32">
        <f>IF($B16="","",IF($B$2="Todos",SUMIFS(BD!$AF$3:$AF$5001,BD!$A$3:$A$5001,$B16),SUMIFS(BD!$AF$3:$AF$5001,BD!$A$3:$A$5001,$B16,BD!$B$3:$B$5001,$D$2)))</f>
        <v>0</v>
      </c>
      <c r="AH16" s="32">
        <f>IF($B16="","",IF($B$2="Todos",SUMIFS(BD!$AG$3:$AG$5001,BD!$A$3:$A$5001,$B16),SUMIFS(BD!$AG$3:$AG$5001,BD!$A$3:$A$5001,$B16,BD!$B$3:$B$5001,$D$2)))</f>
        <v>0</v>
      </c>
      <c r="AI16" s="49">
        <f>$B$5</f>
        <v>0.7</v>
      </c>
      <c r="AJ16" s="49">
        <f>$B$6</f>
        <v>0.9</v>
      </c>
      <c r="AM16" s="29" t="inlineStr">
        <is>
          <t xml:space="preserve">MAIO · 2026</t>
        </is>
      </c>
      <c r="AO16" s="29" t="inlineStr">
        <is>
          <t xml:space="preserve">Boticário</t>
        </is>
      </c>
      <c r="AP16" s="28" t="inlineStr">
        <is>
          <t xml:space="preserve">TPC</t>
        </is>
      </c>
      <c r="AR16" s="29" t="str">
        <f>$AM$335&amp;" — "&amp;IF($B$2="Todos","TODOS OS CLIENTES",UPPER($B$2))</f>
        <v>ACUMULADO SEMANAL PALETES — TODOS OS CLIENTES</v>
      </c>
      <c r="AY16" s="60">
        <f>IF(OR($B16="",N(VALUE($AH$335))=0),"",IF(INDEX($C16:$AH16,VALUE($AH$335))="","",IF(N(VALUE($AJ$335))=0,INDEX($C16:$AH16,VALUE($AH$335)),IF(N(INDEX($C16:$AH16,N(VALUE($AJ$335))))&gt;0,INDEX($C16:$AH16,VALUE($AH$335))/INDEX($C16:$AH16,N(VALUE($AJ$335))),""))))</f>
        <v>0</v>
      </c>
      <c r="AZ16" s="60">
        <f>IF(OR($B16="",N(VALUE($AI$335))=0),"",IF(INDEX($C16:$AH16,VALUE($AI$335))="","",IF(N(VALUE($AK$335))=0,INDEX($C16:$AH16,VALUE($AI$335)),IF(N(INDEX($C16:$AH16,N(VALUE($AK$335))))&gt;0,INDEX($C16:$AH16,VALUE($AI$335))/INDEX($C16:$AH16,N(VALUE($AK$335))),""))))</f>
        <v>0</v>
      </c>
      <c r="BA16" s="60">
        <f>IF(OR($B16="",N(VALUE($AP$335))=0),"",IF(INDEX($C16:$AH16,VALUE($AP$335))="","",IF(N(VALUE($AR$335))=0,INDEX($C16:$AH16,VALUE($AP$335)),IF(N(INDEX($C16:$AH16,N(VALUE($AR$335))))&gt;0,INDEX($C16:$AH16,VALUE($AP$335))/INDEX($C16:$AH16,N(VALUE($AR$335))),""))))</f>
        <v>0</v>
      </c>
      <c r="BB16" s="60">
        <f>IF(OR($B16="",N(VALUE($AQ$335))=0),"",IF(INDEX($C16:$AH16,VALUE($AQ$335))="","",IF(N(VALUE($AS$335))=0,INDEX($C16:$AH16,VALUE($AQ$335)),IF(N(INDEX($C16:$AH16,N(VALUE($AS$335))))&gt;0,INDEX($C16:$AH16,VALUE($AQ$335))/INDEX($C16:$AH16,N(VALUE($AS$335))),""))))</f>
        <v>0</v>
      </c>
    </row>
    <row r="17">
      <c r="A17" s="28">
        <v>6</v>
      </c>
      <c r="B17" s="45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6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32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>
        <f>IF($B17="","",IF($B$2="Todos",SUMIFS(BD!$K$3:$K$5001,BD!$A$3:$A$5001,$B17),SUMIFS(BD!$K$3:$K$5001,BD!$A$3:$A$5001,$B17,BD!$B$3:$B$5001,$D$2)))</f>
        <v>0</v>
      </c>
      <c r="L17" s="32">
        <f>IF($B17="","",IF($B$2="Todos",SUMIFS(BD!$L$3:$L$5001,BD!$A$3:$A$5001,$B17),SUMIFS(BD!$L$3:$L$5001,BD!$A$3:$A$5001,$B17,BD!$B$3:$B$5001,$D$2)))</f>
        <v>0</v>
      </c>
      <c r="M17" s="32">
        <f>IF($B17="","",IF($B$2="Todos",SUMIFS(BD!$M$3:$M$5001,BD!$A$3:$A$5001,$B17),SUMIFS(BD!$M$3:$M$5001,BD!$A$3:$A$5001,$B17,BD!$B$3:$B$5001,$D$2)))</f>
        <v>0</v>
      </c>
      <c r="N17" s="32">
        <f>IF($B17="","",IF($B$2="Todos",SUMIFS(BD!$N$3:$N$5001,BD!$A$3:$A$5001,$B17),SUMIFS(BD!$N$3:$N$5001,BD!$A$3:$A$5001,$B17,BD!$B$3:$B$5001,$D$2)))</f>
        <v>0</v>
      </c>
      <c r="O17" s="32">
        <f>IF($B17="","",IF($B$2="Todos",SUMIFS(BD!$O$3:$O$5001,BD!$A$3:$A$5001,$B17),SUMIFS(BD!$O$3:$O$5001,BD!$A$3:$A$5001,$B17,BD!$B$3:$B$5001,$D$2)))</f>
        <v>0</v>
      </c>
      <c r="P17" s="32">
        <f>IF($B17="","",IF($B$2="Todos",SUMIFS(BD!$P$3:$P$5001,BD!$A$3:$A$5001,$B17),SUMIFS(BD!$P$3:$P$5001,BD!$A$3:$A$5001,$B17,BD!$B$3:$B$5001,$D$2)))</f>
        <v>0</v>
      </c>
      <c r="Q17" s="32">
        <f>IF($B17="","",IF($B$2="Todos",SUMIFS(BD!$Q$3:$Q$5001,BD!$A$3:$A$5001,$B17),SUMIFS(BD!$Q$3:$Q$5001,BD!$A$3:$A$5001,$B17,BD!$B$3:$B$5001,$D$2)))</f>
        <v>0</v>
      </c>
      <c r="R17" s="32">
        <f>IF($B17="","",IF($B$2="Todos",SUMIFS(BD!$R$3:$R$5001,BD!$A$3:$A$5001,$B17),SUMIFS(BD!$R$3:$R$5001,BD!$A$3:$A$5001,$B17,BD!$B$3:$B$5001,$D$2)))</f>
        <v>0</v>
      </c>
      <c r="S17" s="32">
        <f>IF($B17="","",IF($B$2="Todos",SUMIFS(BD!$S$3:$S$5001,BD!$A$3:$A$5001,$B17),SUMIFS(BD!$S$3:$S$5001,BD!$A$3:$A$5001,$B17,BD!$B$3:$B$5001,$D$2)))</f>
        <v>0</v>
      </c>
      <c r="T17" s="46">
        <f>IF($B17="","",IF($B$2="Todos",SUMIFS(BD!$T$3:$T$5001,BD!$A$3:$A$5001,$B17),SUMIFS(BD!$T$3:$T$5001,BD!$A$3:$A$5001,$B17,BD!$B$3:$B$5001,$D$2)))</f>
        <v>0</v>
      </c>
      <c r="U17" s="32">
        <f>IF($B17="","",IF($B$2="Todos",SUMIFS(BD!$U$3:$U$5001,BD!$A$3:$A$5001,$B17),SUMIFS(BD!$U$3:$U$5001,BD!$A$3:$A$5001,$B17,BD!$B$3:$B$5001,$D$2)))</f>
        <v>0</v>
      </c>
      <c r="V17" s="32">
        <f>IF($B17="","",IF($B$2="Todos",SUMIFS(BD!$V$3:$V$5001,BD!$A$3:$A$5001,$B17),SUMIFS(BD!$V$3:$V$5001,BD!$A$3:$A$5001,$B17,BD!$B$3:$B$5001,$D$2)))</f>
        <v>0</v>
      </c>
      <c r="W17" s="32" t="str">
        <f>IF($B$2="Todos",IF(COUNT($C$144:$K$144)=0,"",SUM($C$144:$K$144)),IFERROR(INDEX($C$144:$K$144,MATCH($D$2,$C$138:$K$138,0)),""))</f>
        <v/>
      </c>
      <c r="X17" s="47" t="str">
        <f>IF(Y17="","",IF($B$2="Todos",IF($B$4&gt;0,$B$4,IF($B$2="Todos",IF(COUNT($C$214:$K$214)=0,"",SUM($C$214:$K$214)),IFERROR(INDEX($C$214:$K$214,MATCH($D$2,$C$208:$K$208,0)),""))),IFERROR(INDEX($C$214:$K$214,MATCH($D$2,$C$208:$K$208,0)),"")))</f>
        <v/>
      </c>
      <c r="Y17" s="32" t="str">
        <f>IF($B$2="Todos",IF(COUNT($C$179:$K$179)=0,"",SUM($C$179:$K$179)),IFERROR(INDEX($C$179:$K$179,MATCH($D$2,$C$173:$K$173,0)),""))</f>
        <v/>
      </c>
      <c r="Z17" s="48" t="str">
        <f>IF(AND(ISNUMBER(Y17),ISNUMBER(X17)),IF(X17&gt;0,Y17/X17,""),"")</f>
        <v/>
      </c>
      <c r="AA17" s="32" t="str">
        <f>IF($B$2="Todos",IF(COUNT($C$249:$K$249)=0,"",SUM($C$249:$K$249)),IFERROR(INDEX($C$249:$K$249,MATCH($D$2,$C$243:$K$243,0)),""))</f>
        <v/>
      </c>
      <c r="AB17" s="32">
        <f>IF($B17="","",IF($B$2="Todos",SUMIFS(BD!$AA$3:$AA$5001,BD!$A$3:$A$5001,$B17),SUMIFS(BD!$AA$3:$AA$5001,BD!$A$3:$A$5001,$B17,BD!$B$3:$B$5001,$D$2)))</f>
        <v>0</v>
      </c>
      <c r="AC17" s="32">
        <f>IF($B17="","",IF($B$2="Todos",SUMIFS(BD!$AB$3:$AB$5001,BD!$A$3:$A$5001,$B17),SUMIFS(BD!$AB$3:$AB$5001,BD!$A$3:$A$5001,$B17,BD!$B$3:$B$5001,$D$2)))</f>
        <v>0</v>
      </c>
      <c r="AD17" s="32">
        <f>IF($B17="","",IF($B$2="Todos",SUMIFS(BD!$AC$3:$AC$5001,BD!$A$3:$A$5001,$B17),SUMIFS(BD!$AC$3:$AC$5001,BD!$A$3:$A$5001,$B17,BD!$B$3:$B$5001,$D$2)))</f>
        <v>0</v>
      </c>
      <c r="AE17" s="32">
        <f>IF($B17="","",IF($B$2="Todos",SUMIFS(BD!$AD$3:$AD$5001,BD!$A$3:$A$5001,$B17),SUMIFS(BD!$AD$3:$AD$5001,BD!$A$3:$A$5001,$B17,BD!$B$3:$B$5001,$D$2)))</f>
        <v>0</v>
      </c>
      <c r="AF17" s="32">
        <f>IF($B17="","",IF($B$2="Todos",SUMIFS(BD!$AE$3:$AE$5001,BD!$A$3:$A$5001,$B17),SUMIFS(BD!$AE$3:$AE$5001,BD!$A$3:$A$5001,$B17,BD!$B$3:$B$5001,$D$2)))</f>
        <v>0</v>
      </c>
      <c r="AG17" s="32">
        <f>IF($B17="","",IF($B$2="Todos",SUMIFS(BD!$AF$3:$AF$5001,BD!$A$3:$A$5001,$B17),SUMIFS(BD!$AF$3:$AF$5001,BD!$A$3:$A$5001,$B17,BD!$B$3:$B$5001,$D$2)))</f>
        <v>0</v>
      </c>
      <c r="AH17" s="32">
        <f>IF($B17="","",IF($B$2="Todos",SUMIFS(BD!$AG$3:$AG$5001,BD!$A$3:$A$5001,$B17),SUMIFS(BD!$AG$3:$AG$5001,BD!$A$3:$A$5001,$B17,BD!$B$3:$B$5001,$D$2)))</f>
        <v>0</v>
      </c>
      <c r="AI17" s="49">
        <f>$B$5</f>
        <v>0.7</v>
      </c>
      <c r="AJ17" s="49">
        <f>$B$6</f>
        <v>0.9</v>
      </c>
      <c r="AM17" s="29" t="inlineStr">
        <is>
          <t xml:space="preserve">JUNHO · 2026</t>
        </is>
      </c>
      <c r="AO17" s="29" t="inlineStr">
        <is>
          <t xml:space="preserve">GE Vernova</t>
        </is>
      </c>
      <c r="AP17" s="28" t="inlineStr">
        <is>
          <t xml:space="preserve">TPC</t>
        </is>
      </c>
      <c r="AR17" s="29" t="str">
        <f>$AU$335&amp;" — "&amp;IF($B$2="Todos","TODOS OS CLIENTES",UPPER($B$2))</f>
        <v>ACUMULADO SEMANAL TONS — TODOS OS CLIENTES</v>
      </c>
      <c r="AY17" s="60">
        <f>IF(OR($B17="",N(VALUE($AH$335))=0),"",IF(INDEX($C17:$AH17,VALUE($AH$335))="","",IF(N(VALUE($AJ$335))=0,INDEX($C17:$AH17,VALUE($AH$335)),IF(N(INDEX($C17:$AH17,N(VALUE($AJ$335))))&gt;0,INDEX($C17:$AH17,VALUE($AH$335))/INDEX($C17:$AH17,N(VALUE($AJ$335))),""))))</f>
        <v>0</v>
      </c>
      <c r="AZ17" s="60">
        <f>IF(OR($B17="",N(VALUE($AI$335))=0),"",IF(INDEX($C17:$AH17,VALUE($AI$335))="","",IF(N(VALUE($AK$335))=0,INDEX($C17:$AH17,VALUE($AI$335)),IF(N(INDEX($C17:$AH17,N(VALUE($AK$335))))&gt;0,INDEX($C17:$AH17,VALUE($AI$335))/INDEX($C17:$AH17,N(VALUE($AK$335))),""))))</f>
        <v>0</v>
      </c>
      <c r="BA17" s="60">
        <f>IF(OR($B17="",N(VALUE($AP$335))=0),"",IF(INDEX($C17:$AH17,VALUE($AP$335))="","",IF(N(VALUE($AR$335))=0,INDEX($C17:$AH17,VALUE($AP$335)),IF(N(INDEX($C17:$AH17,N(VALUE($AR$335))))&gt;0,INDEX($C17:$AH17,VALUE($AP$335))/INDEX($C17:$AH17,N(VALUE($AR$335))),""))))</f>
        <v>0</v>
      </c>
      <c r="BB17" s="60">
        <f>IF(OR($B17="",N(VALUE($AQ$335))=0),"",IF(INDEX($C17:$AH17,VALUE($AQ$335))="","",IF(N(VALUE($AS$335))=0,INDEX($C17:$AH17,VALUE($AQ$335)),IF(N(INDEX($C17:$AH17,N(VALUE($AS$335))))&gt;0,INDEX($C17:$AH17,VALUE($AQ$335))/INDEX($C17:$AH17,N(VALUE($AS$335))),""))))</f>
        <v>0</v>
      </c>
    </row>
    <row r="18">
      <c r="A18" s="28">
        <v>7</v>
      </c>
      <c r="B18" s="45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6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32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>
        <f>IF($B18="","",IF($B$2="Todos",SUMIFS(BD!$K$3:$K$5001,BD!$A$3:$A$5001,$B18),SUMIFS(BD!$K$3:$K$5001,BD!$A$3:$A$5001,$B18,BD!$B$3:$B$5001,$D$2)))</f>
        <v>0</v>
      </c>
      <c r="L18" s="32">
        <f>IF($B18="","",IF($B$2="Todos",SUMIFS(BD!$L$3:$L$5001,BD!$A$3:$A$5001,$B18),SUMIFS(BD!$L$3:$L$5001,BD!$A$3:$A$5001,$B18,BD!$B$3:$B$5001,$D$2)))</f>
        <v>0</v>
      </c>
      <c r="M18" s="32">
        <f>IF($B18="","",IF($B$2="Todos",SUMIFS(BD!$M$3:$M$5001,BD!$A$3:$A$5001,$B18),SUMIFS(BD!$M$3:$M$5001,BD!$A$3:$A$5001,$B18,BD!$B$3:$B$5001,$D$2)))</f>
        <v>0</v>
      </c>
      <c r="N18" s="32">
        <f>IF($B18="","",IF($B$2="Todos",SUMIFS(BD!$N$3:$N$5001,BD!$A$3:$A$5001,$B18),SUMIFS(BD!$N$3:$N$5001,BD!$A$3:$A$5001,$B18,BD!$B$3:$B$5001,$D$2)))</f>
        <v>0</v>
      </c>
      <c r="O18" s="32">
        <f>IF($B18="","",IF($B$2="Todos",SUMIFS(BD!$O$3:$O$5001,BD!$A$3:$A$5001,$B18),SUMIFS(BD!$O$3:$O$5001,BD!$A$3:$A$5001,$B18,BD!$B$3:$B$5001,$D$2)))</f>
        <v>0</v>
      </c>
      <c r="P18" s="32">
        <f>IF($B18="","",IF($B$2="Todos",SUMIFS(BD!$P$3:$P$5001,BD!$A$3:$A$5001,$B18),SUMIFS(BD!$P$3:$P$5001,BD!$A$3:$A$5001,$B18,BD!$B$3:$B$5001,$D$2)))</f>
        <v>0</v>
      </c>
      <c r="Q18" s="32">
        <f>IF($B18="","",IF($B$2="Todos",SUMIFS(BD!$Q$3:$Q$5001,BD!$A$3:$A$5001,$B18),SUMIFS(BD!$Q$3:$Q$5001,BD!$A$3:$A$5001,$B18,BD!$B$3:$B$5001,$D$2)))</f>
        <v>0</v>
      </c>
      <c r="R18" s="32">
        <f>IF($B18="","",IF($B$2="Todos",SUMIFS(BD!$R$3:$R$5001,BD!$A$3:$A$5001,$B18),SUMIFS(BD!$R$3:$R$5001,BD!$A$3:$A$5001,$B18,BD!$B$3:$B$5001,$D$2)))</f>
        <v>0</v>
      </c>
      <c r="S18" s="32">
        <f>IF($B18="","",IF($B$2="Todos",SUMIFS(BD!$S$3:$S$5001,BD!$A$3:$A$5001,$B18),SUMIFS(BD!$S$3:$S$5001,BD!$A$3:$A$5001,$B18,BD!$B$3:$B$5001,$D$2)))</f>
        <v>0</v>
      </c>
      <c r="T18" s="46">
        <f>IF($B18="","",IF($B$2="Todos",SUMIFS(BD!$T$3:$T$5001,BD!$A$3:$A$5001,$B18),SUMIFS(BD!$T$3:$T$5001,BD!$A$3:$A$5001,$B18,BD!$B$3:$B$5001,$D$2)))</f>
        <v>0</v>
      </c>
      <c r="U18" s="32">
        <f>IF($B18="","",IF($B$2="Todos",SUMIFS(BD!$U$3:$U$5001,BD!$A$3:$A$5001,$B18),SUMIFS(BD!$U$3:$U$5001,BD!$A$3:$A$5001,$B18,BD!$B$3:$B$5001,$D$2)))</f>
        <v>0</v>
      </c>
      <c r="V18" s="32">
        <f>IF($B18="","",IF($B$2="Todos",SUMIFS(BD!$V$3:$V$5001,BD!$A$3:$A$5001,$B18),SUMIFS(BD!$V$3:$V$5001,BD!$A$3:$A$5001,$B18,BD!$B$3:$B$5001,$D$2)))</f>
        <v>0</v>
      </c>
      <c r="W18" s="32" t="str">
        <f>IF($B$2="Todos",IF(COUNT($C$145:$K$145)=0,"",SUM($C$145:$K$145)),IFERROR(INDEX($C$145:$K$145,MATCH($D$2,$C$138:$K$138,0)),""))</f>
        <v/>
      </c>
      <c r="X18" s="47" t="str">
        <f>IF(Y18="","",IF($B$2="Todos",IF($B$4&gt;0,$B$4,IF($B$2="Todos",IF(COUNT($C$215:$K$215)=0,"",SUM($C$215:$K$215)),IFERROR(INDEX($C$215:$K$215,MATCH($D$2,$C$208:$K$208,0)),""))),IFERROR(INDEX($C$215:$K$215,MATCH($D$2,$C$208:$K$208,0)),"")))</f>
        <v/>
      </c>
      <c r="Y18" s="32" t="str">
        <f>IF($B$2="Todos",IF(COUNT($C$180:$K$180)=0,"",SUM($C$180:$K$180)),IFERROR(INDEX($C$180:$K$180,MATCH($D$2,$C$173:$K$173,0)),""))</f>
        <v/>
      </c>
      <c r="Z18" s="48" t="str">
        <f>IF(AND(ISNUMBER(Y18),ISNUMBER(X18)),IF(X18&gt;0,Y18/X18,""),"")</f>
        <v/>
      </c>
      <c r="AA18" s="32" t="str">
        <f>IF($B$2="Todos",IF(COUNT($C$250:$K$250)=0,"",SUM($C$250:$K$250)),IFERROR(INDEX($C$250:$K$250,MATCH($D$2,$C$243:$K$243,0)),""))</f>
        <v/>
      </c>
      <c r="AB18" s="32">
        <f>IF($B18="","",IF($B$2="Todos",SUMIFS(BD!$AA$3:$AA$5001,BD!$A$3:$A$5001,$B18),SUMIFS(BD!$AA$3:$AA$5001,BD!$A$3:$A$5001,$B18,BD!$B$3:$B$5001,$D$2)))</f>
        <v>0</v>
      </c>
      <c r="AC18" s="32">
        <f>IF($B18="","",IF($B$2="Todos",SUMIFS(BD!$AB$3:$AB$5001,BD!$A$3:$A$5001,$B18),SUMIFS(BD!$AB$3:$AB$5001,BD!$A$3:$A$5001,$B18,BD!$B$3:$B$5001,$D$2)))</f>
        <v>0</v>
      </c>
      <c r="AD18" s="32">
        <f>IF($B18="","",IF($B$2="Todos",SUMIFS(BD!$AC$3:$AC$5001,BD!$A$3:$A$5001,$B18),SUMIFS(BD!$AC$3:$AC$5001,BD!$A$3:$A$5001,$B18,BD!$B$3:$B$5001,$D$2)))</f>
        <v>0</v>
      </c>
      <c r="AE18" s="32">
        <f>IF($B18="","",IF($B$2="Todos",SUMIFS(BD!$AD$3:$AD$5001,BD!$A$3:$A$5001,$B18),SUMIFS(BD!$AD$3:$AD$5001,BD!$A$3:$A$5001,$B18,BD!$B$3:$B$5001,$D$2)))</f>
        <v>0</v>
      </c>
      <c r="AF18" s="32">
        <f>IF($B18="","",IF($B$2="Todos",SUMIFS(BD!$AE$3:$AE$5001,BD!$A$3:$A$5001,$B18),SUMIFS(BD!$AE$3:$AE$5001,BD!$A$3:$A$5001,$B18,BD!$B$3:$B$5001,$D$2)))</f>
        <v>0</v>
      </c>
      <c r="AG18" s="32">
        <f>IF($B18="","",IF($B$2="Todos",SUMIFS(BD!$AF$3:$AF$5001,BD!$A$3:$A$5001,$B18),SUMIFS(BD!$AF$3:$AF$5001,BD!$A$3:$A$5001,$B18,BD!$B$3:$B$5001,$D$2)))</f>
        <v>0</v>
      </c>
      <c r="AH18" s="32">
        <f>IF($B18="","",IF($B$2="Todos",SUMIFS(BD!$AG$3:$AG$5001,BD!$A$3:$A$5001,$B18),SUMIFS(BD!$AG$3:$AG$5001,BD!$A$3:$A$5001,$B18,BD!$B$3:$B$5001,$D$2)))</f>
        <v>0</v>
      </c>
      <c r="AI18" s="49">
        <f>$B$5</f>
        <v>0.7</v>
      </c>
      <c r="AJ18" s="49">
        <f>$B$6</f>
        <v>0.9</v>
      </c>
      <c r="AM18" s="29" t="inlineStr">
        <is>
          <t xml:space="preserve">JULHO · 2026</t>
        </is>
      </c>
      <c r="AO18" s="29" t="inlineStr">
        <is>
          <t xml:space="preserve">Omnilife</t>
        </is>
      </c>
      <c r="AP18" s="28" t="inlineStr">
        <is>
          <t xml:space="preserve">TPC</t>
        </is>
      </c>
      <c r="AY18" s="60">
        <f>IF(OR($B18="",N(VALUE($AH$335))=0),"",IF(INDEX($C18:$AH18,VALUE($AH$335))="","",IF(N(VALUE($AJ$335))=0,INDEX($C18:$AH18,VALUE($AH$335)),IF(N(INDEX($C18:$AH18,N(VALUE($AJ$335))))&gt;0,INDEX($C18:$AH18,VALUE($AH$335))/INDEX($C18:$AH18,N(VALUE($AJ$335))),""))))</f>
        <v>0</v>
      </c>
      <c r="AZ18" s="60">
        <f>IF(OR($B18="",N(VALUE($AI$335))=0),"",IF(INDEX($C18:$AH18,VALUE($AI$335))="","",IF(N(VALUE($AK$335))=0,INDEX($C18:$AH18,VALUE($AI$335)),IF(N(INDEX($C18:$AH18,N(VALUE($AK$335))))&gt;0,INDEX($C18:$AH18,VALUE($AI$335))/INDEX($C18:$AH18,N(VALUE($AK$335))),""))))</f>
        <v>0</v>
      </c>
      <c r="BA18" s="60">
        <f>IF(OR($B18="",N(VALUE($AP$335))=0),"",IF(INDEX($C18:$AH18,VALUE($AP$335))="","",IF(N(VALUE($AR$335))=0,INDEX($C18:$AH18,VALUE($AP$335)),IF(N(INDEX($C18:$AH18,N(VALUE($AR$335))))&gt;0,INDEX($C18:$AH18,VALUE($AP$335))/INDEX($C18:$AH18,N(VALUE($AR$335))),""))))</f>
        <v>0</v>
      </c>
      <c r="BB18" s="60">
        <f>IF(OR($B18="",N(VALUE($AQ$335))=0),"",IF(INDEX($C18:$AH18,VALUE($AQ$335))="","",IF(N(VALUE($AS$335))=0,INDEX($C18:$AH18,VALUE($AQ$335)),IF(N(INDEX($C18:$AH18,N(VALUE($AS$335))))&gt;0,INDEX($C18:$AH18,VALUE($AQ$335))/INDEX($C18:$AH18,N(VALUE($AS$335))),""))))</f>
        <v>0</v>
      </c>
    </row>
    <row r="19">
      <c r="A19" s="28">
        <v>8</v>
      </c>
      <c r="B19" s="45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6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32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>
        <f>IF($B19="","",IF($B$2="Todos",SUMIFS(BD!$K$3:$K$5001,BD!$A$3:$A$5001,$B19),SUMIFS(BD!$K$3:$K$5001,BD!$A$3:$A$5001,$B19,BD!$B$3:$B$5001,$D$2)))</f>
        <v>0</v>
      </c>
      <c r="L19" s="32">
        <f>IF($B19="","",IF($B$2="Todos",SUMIFS(BD!$L$3:$L$5001,BD!$A$3:$A$5001,$B19),SUMIFS(BD!$L$3:$L$5001,BD!$A$3:$A$5001,$B19,BD!$B$3:$B$5001,$D$2)))</f>
        <v>0</v>
      </c>
      <c r="M19" s="32">
        <f>IF($B19="","",IF($B$2="Todos",SUMIFS(BD!$M$3:$M$5001,BD!$A$3:$A$5001,$B19),SUMIFS(BD!$M$3:$M$5001,BD!$A$3:$A$5001,$B19,BD!$B$3:$B$5001,$D$2)))</f>
        <v>0</v>
      </c>
      <c r="N19" s="32">
        <f>IF($B19="","",IF($B$2="Todos",SUMIFS(BD!$N$3:$N$5001,BD!$A$3:$A$5001,$B19),SUMIFS(BD!$N$3:$N$5001,BD!$A$3:$A$5001,$B19,BD!$B$3:$B$5001,$D$2)))</f>
        <v>0</v>
      </c>
      <c r="O19" s="32">
        <f>IF($B19="","",IF($B$2="Todos",SUMIFS(BD!$O$3:$O$5001,BD!$A$3:$A$5001,$B19),SUMIFS(BD!$O$3:$O$5001,BD!$A$3:$A$5001,$B19,BD!$B$3:$B$5001,$D$2)))</f>
        <v>0</v>
      </c>
      <c r="P19" s="32">
        <f>IF($B19="","",IF($B$2="Todos",SUMIFS(BD!$P$3:$P$5001,BD!$A$3:$A$5001,$B19),SUMIFS(BD!$P$3:$P$5001,BD!$A$3:$A$5001,$B19,BD!$B$3:$B$5001,$D$2)))</f>
        <v>0</v>
      </c>
      <c r="Q19" s="32">
        <f>IF($B19="","",IF($B$2="Todos",SUMIFS(BD!$Q$3:$Q$5001,BD!$A$3:$A$5001,$B19),SUMIFS(BD!$Q$3:$Q$5001,BD!$A$3:$A$5001,$B19,BD!$B$3:$B$5001,$D$2)))</f>
        <v>0</v>
      </c>
      <c r="R19" s="32">
        <f>IF($B19="","",IF($B$2="Todos",SUMIFS(BD!$R$3:$R$5001,BD!$A$3:$A$5001,$B19),SUMIFS(BD!$R$3:$R$5001,BD!$A$3:$A$5001,$B19,BD!$B$3:$B$5001,$D$2)))</f>
        <v>0</v>
      </c>
      <c r="S19" s="32">
        <f>IF($B19="","",IF($B$2="Todos",SUMIFS(BD!$S$3:$S$5001,BD!$A$3:$A$5001,$B19),SUMIFS(BD!$S$3:$S$5001,BD!$A$3:$A$5001,$B19,BD!$B$3:$B$5001,$D$2)))</f>
        <v>0</v>
      </c>
      <c r="T19" s="46">
        <f>IF($B19="","",IF($B$2="Todos",SUMIFS(BD!$T$3:$T$5001,BD!$A$3:$A$5001,$B19),SUMIFS(BD!$T$3:$T$5001,BD!$A$3:$A$5001,$B19,BD!$B$3:$B$5001,$D$2)))</f>
        <v>0</v>
      </c>
      <c r="U19" s="32">
        <f>IF($B19="","",IF($B$2="Todos",SUMIFS(BD!$U$3:$U$5001,BD!$A$3:$A$5001,$B19),SUMIFS(BD!$U$3:$U$5001,BD!$A$3:$A$5001,$B19,BD!$B$3:$B$5001,$D$2)))</f>
        <v>0</v>
      </c>
      <c r="V19" s="32">
        <f>IF($B19="","",IF($B$2="Todos",SUMIFS(BD!$V$3:$V$5001,BD!$A$3:$A$5001,$B19),SUMIFS(BD!$V$3:$V$5001,BD!$A$3:$A$5001,$B19,BD!$B$3:$B$5001,$D$2)))</f>
        <v>0</v>
      </c>
      <c r="W19" s="32" t="str">
        <f>IF($B$2="Todos",IF(COUNT($C$146:$K$146)=0,"",SUM($C$146:$K$146)),IFERROR(INDEX($C$146:$K$146,MATCH($D$2,$C$138:$K$138,0)),""))</f>
        <v/>
      </c>
      <c r="X19" s="47" t="str">
        <f>IF(Y19="","",IF($B$2="Todos",IF($B$4&gt;0,$B$4,IF($B$2="Todos",IF(COUNT($C$216:$K$216)=0,"",SUM($C$216:$K$216)),IFERROR(INDEX($C$216:$K$216,MATCH($D$2,$C$208:$K$208,0)),""))),IFERROR(INDEX($C$216:$K$216,MATCH($D$2,$C$208:$K$208,0)),"")))</f>
        <v/>
      </c>
      <c r="Y19" s="32" t="str">
        <f>IF($B$2="Todos",IF(COUNT($C$181:$K$181)=0,"",SUM($C$181:$K$181)),IFERROR(INDEX($C$181:$K$181,MATCH($D$2,$C$173:$K$173,0)),""))</f>
        <v/>
      </c>
      <c r="Z19" s="48" t="str">
        <f>IF(AND(ISNUMBER(Y19),ISNUMBER(X19)),IF(X19&gt;0,Y19/X19,""),"")</f>
        <v/>
      </c>
      <c r="AA19" s="32" t="str">
        <f>IF($B$2="Todos",IF(COUNT($C$251:$K$251)=0,"",SUM($C$251:$K$251)),IFERROR(INDEX($C$251:$K$251,MATCH($D$2,$C$243:$K$243,0)),""))</f>
        <v/>
      </c>
      <c r="AB19" s="32">
        <f>IF($B19="","",IF($B$2="Todos",SUMIFS(BD!$AA$3:$AA$5001,BD!$A$3:$A$5001,$B19),SUMIFS(BD!$AA$3:$AA$5001,BD!$A$3:$A$5001,$B19,BD!$B$3:$B$5001,$D$2)))</f>
        <v>0</v>
      </c>
      <c r="AC19" s="32">
        <f>IF($B19="","",IF($B$2="Todos",SUMIFS(BD!$AB$3:$AB$5001,BD!$A$3:$A$5001,$B19),SUMIFS(BD!$AB$3:$AB$5001,BD!$A$3:$A$5001,$B19,BD!$B$3:$B$5001,$D$2)))</f>
        <v>0</v>
      </c>
      <c r="AD19" s="32">
        <f>IF($B19="","",IF($B$2="Todos",SUMIFS(BD!$AC$3:$AC$5001,BD!$A$3:$A$5001,$B19),SUMIFS(BD!$AC$3:$AC$5001,BD!$A$3:$A$5001,$B19,BD!$B$3:$B$5001,$D$2)))</f>
        <v>0</v>
      </c>
      <c r="AE19" s="32">
        <f>IF($B19="","",IF($B$2="Todos",SUMIFS(BD!$AD$3:$AD$5001,BD!$A$3:$A$5001,$B19),SUMIFS(BD!$AD$3:$AD$5001,BD!$A$3:$A$5001,$B19,BD!$B$3:$B$5001,$D$2)))</f>
        <v>0</v>
      </c>
      <c r="AF19" s="32">
        <f>IF($B19="","",IF($B$2="Todos",SUMIFS(BD!$AE$3:$AE$5001,BD!$A$3:$A$5001,$B19),SUMIFS(BD!$AE$3:$AE$5001,BD!$A$3:$A$5001,$B19,BD!$B$3:$B$5001,$D$2)))</f>
        <v>0</v>
      </c>
      <c r="AG19" s="32">
        <f>IF($B19="","",IF($B$2="Todos",SUMIFS(BD!$AF$3:$AF$5001,BD!$A$3:$A$5001,$B19),SUMIFS(BD!$AF$3:$AF$5001,BD!$A$3:$A$5001,$B19,BD!$B$3:$B$5001,$D$2)))</f>
        <v>0</v>
      </c>
      <c r="AH19" s="32">
        <f>IF($B19="","",IF($B$2="Todos",SUMIFS(BD!$AG$3:$AG$5001,BD!$A$3:$A$5001,$B19),SUMIFS(BD!$AG$3:$AG$5001,BD!$A$3:$A$5001,$B19,BD!$B$3:$B$5001,$D$2)))</f>
        <v>0</v>
      </c>
      <c r="AI19" s="49">
        <f>$B$5</f>
        <v>0.7</v>
      </c>
      <c r="AJ19" s="49">
        <f>$B$6</f>
        <v>0.9</v>
      </c>
      <c r="AM19" s="29" t="inlineStr">
        <is>
          <t xml:space="preserve">AGOSTO · 2026</t>
        </is>
      </c>
      <c r="AO19" s="29" t="inlineStr">
        <is>
          <t xml:space="preserve">Supply</t>
        </is>
      </c>
      <c r="AP19" s="28" t="inlineStr">
        <is>
          <t xml:space="preserve">TPC</t>
        </is>
      </c>
      <c r="AY19" s="60">
        <f>IF(OR($B19="",N(VALUE($AH$335))=0),"",IF(INDEX($C19:$AH19,VALUE($AH$335))="","",IF(N(VALUE($AJ$335))=0,INDEX($C19:$AH19,VALUE($AH$335)),IF(N(INDEX($C19:$AH19,N(VALUE($AJ$335))))&gt;0,INDEX($C19:$AH19,VALUE($AH$335))/INDEX($C19:$AH19,N(VALUE($AJ$335))),""))))</f>
        <v>0</v>
      </c>
      <c r="AZ19" s="60">
        <f>IF(OR($B19="",N(VALUE($AI$335))=0),"",IF(INDEX($C19:$AH19,VALUE($AI$335))="","",IF(N(VALUE($AK$335))=0,INDEX($C19:$AH19,VALUE($AI$335)),IF(N(INDEX($C19:$AH19,N(VALUE($AK$335))))&gt;0,INDEX($C19:$AH19,VALUE($AI$335))/INDEX($C19:$AH19,N(VALUE($AK$335))),""))))</f>
        <v>0</v>
      </c>
      <c r="BA19" s="60">
        <f>IF(OR($B19="",N(VALUE($AP$335))=0),"",IF(INDEX($C19:$AH19,VALUE($AP$335))="","",IF(N(VALUE($AR$335))=0,INDEX($C19:$AH19,VALUE($AP$335)),IF(N(INDEX($C19:$AH19,N(VALUE($AR$335))))&gt;0,INDEX($C19:$AH19,VALUE($AP$335))/INDEX($C19:$AH19,N(VALUE($AR$335))),""))))</f>
        <v>0</v>
      </c>
      <c r="BB19" s="60">
        <f>IF(OR($B19="",N(VALUE($AQ$335))=0),"",IF(INDEX($C19:$AH19,VALUE($AQ$335))="","",IF(N(VALUE($AS$335))=0,INDEX($C19:$AH19,VALUE($AQ$335)),IF(N(INDEX($C19:$AH19,N(VALUE($AS$335))))&gt;0,INDEX($C19:$AH19,VALUE($AQ$335))/INDEX($C19:$AH19,N(VALUE($AS$335))),""))))</f>
        <v>0</v>
      </c>
    </row>
    <row r="20">
      <c r="A20" s="28">
        <v>9</v>
      </c>
      <c r="B20" s="45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6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32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>
        <f>IF($B20="","",IF($B$2="Todos",SUMIFS(BD!$K$3:$K$5001,BD!$A$3:$A$5001,$B20),SUMIFS(BD!$K$3:$K$5001,BD!$A$3:$A$5001,$B20,BD!$B$3:$B$5001,$D$2)))</f>
        <v>0</v>
      </c>
      <c r="L20" s="32">
        <f>IF($B20="","",IF($B$2="Todos",SUMIFS(BD!$L$3:$L$5001,BD!$A$3:$A$5001,$B20),SUMIFS(BD!$L$3:$L$5001,BD!$A$3:$A$5001,$B20,BD!$B$3:$B$5001,$D$2)))</f>
        <v>0</v>
      </c>
      <c r="M20" s="32">
        <f>IF($B20="","",IF($B$2="Todos",SUMIFS(BD!$M$3:$M$5001,BD!$A$3:$A$5001,$B20),SUMIFS(BD!$M$3:$M$5001,BD!$A$3:$A$5001,$B20,BD!$B$3:$B$5001,$D$2)))</f>
        <v>0</v>
      </c>
      <c r="N20" s="32">
        <f>IF($B20="","",IF($B$2="Todos",SUMIFS(BD!$N$3:$N$5001,BD!$A$3:$A$5001,$B20),SUMIFS(BD!$N$3:$N$5001,BD!$A$3:$A$5001,$B20,BD!$B$3:$B$5001,$D$2)))</f>
        <v>0</v>
      </c>
      <c r="O20" s="32">
        <f>IF($B20="","",IF($B$2="Todos",SUMIFS(BD!$O$3:$O$5001,BD!$A$3:$A$5001,$B20),SUMIFS(BD!$O$3:$O$5001,BD!$A$3:$A$5001,$B20,BD!$B$3:$B$5001,$D$2)))</f>
        <v>0</v>
      </c>
      <c r="P20" s="32">
        <f>IF($B20="","",IF($B$2="Todos",SUMIFS(BD!$P$3:$P$5001,BD!$A$3:$A$5001,$B20),SUMIFS(BD!$P$3:$P$5001,BD!$A$3:$A$5001,$B20,BD!$B$3:$B$5001,$D$2)))</f>
        <v>0</v>
      </c>
      <c r="Q20" s="32">
        <f>IF($B20="","",IF($B$2="Todos",SUMIFS(BD!$Q$3:$Q$5001,BD!$A$3:$A$5001,$B20),SUMIFS(BD!$Q$3:$Q$5001,BD!$A$3:$A$5001,$B20,BD!$B$3:$B$5001,$D$2)))</f>
        <v>0</v>
      </c>
      <c r="R20" s="32">
        <f>IF($B20="","",IF($B$2="Todos",SUMIFS(BD!$R$3:$R$5001,BD!$A$3:$A$5001,$B20),SUMIFS(BD!$R$3:$R$5001,BD!$A$3:$A$5001,$B20,BD!$B$3:$B$5001,$D$2)))</f>
        <v>0</v>
      </c>
      <c r="S20" s="32">
        <f>IF($B20="","",IF($B$2="Todos",SUMIFS(BD!$S$3:$S$5001,BD!$A$3:$A$5001,$B20),SUMIFS(BD!$S$3:$S$5001,BD!$A$3:$A$5001,$B20,BD!$B$3:$B$5001,$D$2)))</f>
        <v>0</v>
      </c>
      <c r="T20" s="46">
        <f>IF($B20="","",IF($B$2="Todos",SUMIFS(BD!$T$3:$T$5001,BD!$A$3:$A$5001,$B20),SUMIFS(BD!$T$3:$T$5001,BD!$A$3:$A$5001,$B20,BD!$B$3:$B$5001,$D$2)))</f>
        <v>0</v>
      </c>
      <c r="U20" s="32">
        <f>IF($B20="","",IF($B$2="Todos",SUMIFS(BD!$U$3:$U$5001,BD!$A$3:$A$5001,$B20),SUMIFS(BD!$U$3:$U$5001,BD!$A$3:$A$5001,$B20,BD!$B$3:$B$5001,$D$2)))</f>
        <v>0</v>
      </c>
      <c r="V20" s="32">
        <f>IF($B20="","",IF($B$2="Todos",SUMIFS(BD!$V$3:$V$5001,BD!$A$3:$A$5001,$B20),SUMIFS(BD!$V$3:$V$5001,BD!$A$3:$A$5001,$B20,BD!$B$3:$B$5001,$D$2)))</f>
        <v>0</v>
      </c>
      <c r="W20" s="32" t="str">
        <f>IF($B$2="Todos",IF(COUNT($C$147:$K$147)=0,"",SUM($C$147:$K$147)),IFERROR(INDEX($C$147:$K$147,MATCH($D$2,$C$138:$K$138,0)),""))</f>
        <v/>
      </c>
      <c r="X20" s="47" t="str">
        <f>IF(Y20="","",IF($B$2="Todos",IF($B$4&gt;0,$B$4,IF($B$2="Todos",IF(COUNT($C$217:$K$217)=0,"",SUM($C$217:$K$217)),IFERROR(INDEX($C$217:$K$217,MATCH($D$2,$C$208:$K$208,0)),""))),IFERROR(INDEX($C$217:$K$217,MATCH($D$2,$C$208:$K$208,0)),"")))</f>
        <v/>
      </c>
      <c r="Y20" s="32" t="str">
        <f>IF($B$2="Todos",IF(COUNT($C$182:$K$182)=0,"",SUM($C$182:$K$182)),IFERROR(INDEX($C$182:$K$182,MATCH($D$2,$C$173:$K$173,0)),""))</f>
        <v/>
      </c>
      <c r="Z20" s="48" t="str">
        <f>IF(AND(ISNUMBER(Y20),ISNUMBER(X20)),IF(X20&gt;0,Y20/X20,""),"")</f>
        <v/>
      </c>
      <c r="AA20" s="32" t="str">
        <f>IF($B$2="Todos",IF(COUNT($C$252:$K$252)=0,"",SUM($C$252:$K$252)),IFERROR(INDEX($C$252:$K$252,MATCH($D$2,$C$243:$K$243,0)),""))</f>
        <v/>
      </c>
      <c r="AB20" s="32">
        <f>IF($B20="","",IF($B$2="Todos",SUMIFS(BD!$AA$3:$AA$5001,BD!$A$3:$A$5001,$B20),SUMIFS(BD!$AA$3:$AA$5001,BD!$A$3:$A$5001,$B20,BD!$B$3:$B$5001,$D$2)))</f>
        <v>0</v>
      </c>
      <c r="AC20" s="32">
        <f>IF($B20="","",IF($B$2="Todos",SUMIFS(BD!$AB$3:$AB$5001,BD!$A$3:$A$5001,$B20),SUMIFS(BD!$AB$3:$AB$5001,BD!$A$3:$A$5001,$B20,BD!$B$3:$B$5001,$D$2)))</f>
        <v>0</v>
      </c>
      <c r="AD20" s="32">
        <f>IF($B20="","",IF($B$2="Todos",SUMIFS(BD!$AC$3:$AC$5001,BD!$A$3:$A$5001,$B20),SUMIFS(BD!$AC$3:$AC$5001,BD!$A$3:$A$5001,$B20,BD!$B$3:$B$5001,$D$2)))</f>
        <v>0</v>
      </c>
      <c r="AE20" s="32">
        <f>IF($B20="","",IF($B$2="Todos",SUMIFS(BD!$AD$3:$AD$5001,BD!$A$3:$A$5001,$B20),SUMIFS(BD!$AD$3:$AD$5001,BD!$A$3:$A$5001,$B20,BD!$B$3:$B$5001,$D$2)))</f>
        <v>0</v>
      </c>
      <c r="AF20" s="32">
        <f>IF($B20="","",IF($B$2="Todos",SUMIFS(BD!$AE$3:$AE$5001,BD!$A$3:$A$5001,$B20),SUMIFS(BD!$AE$3:$AE$5001,BD!$A$3:$A$5001,$B20,BD!$B$3:$B$5001,$D$2)))</f>
        <v>0</v>
      </c>
      <c r="AG20" s="32">
        <f>IF($B20="","",IF($B$2="Todos",SUMIFS(BD!$AF$3:$AF$5001,BD!$A$3:$A$5001,$B20),SUMIFS(BD!$AF$3:$AF$5001,BD!$A$3:$A$5001,$B20,BD!$B$3:$B$5001,$D$2)))</f>
        <v>0</v>
      </c>
      <c r="AH20" s="32">
        <f>IF($B20="","",IF($B$2="Todos",SUMIFS(BD!$AG$3:$AG$5001,BD!$A$3:$A$5001,$B20),SUMIFS(BD!$AG$3:$AG$5001,BD!$A$3:$A$5001,$B20,BD!$B$3:$B$5001,$D$2)))</f>
        <v>0</v>
      </c>
      <c r="AI20" s="49">
        <f>$B$5</f>
        <v>0.7</v>
      </c>
      <c r="AJ20" s="49">
        <f>$B$6</f>
        <v>0.9</v>
      </c>
      <c r="AM20" s="29" t="inlineStr">
        <is>
          <t xml:space="preserve">SETEMBRO · 2026</t>
        </is>
      </c>
      <c r="AO20" s="29" t="inlineStr">
        <is>
          <t xml:space="preserve">Vedacit</t>
        </is>
      </c>
      <c r="AP20" s="28" t="inlineStr">
        <is>
          <t xml:space="preserve">TPC</t>
        </is>
      </c>
      <c r="AY20" s="60">
        <f>IF(OR($B20="",N(VALUE($AH$335))=0),"",IF(INDEX($C20:$AH20,VALUE($AH$335))="","",IF(N(VALUE($AJ$335))=0,INDEX($C20:$AH20,VALUE($AH$335)),IF(N(INDEX($C20:$AH20,N(VALUE($AJ$335))))&gt;0,INDEX($C20:$AH20,VALUE($AH$335))/INDEX($C20:$AH20,N(VALUE($AJ$335))),""))))</f>
        <v>0</v>
      </c>
      <c r="AZ20" s="60">
        <f>IF(OR($B20="",N(VALUE($AI$335))=0),"",IF(INDEX($C20:$AH20,VALUE($AI$335))="","",IF(N(VALUE($AK$335))=0,INDEX($C20:$AH20,VALUE($AI$335)),IF(N(INDEX($C20:$AH20,N(VALUE($AK$335))))&gt;0,INDEX($C20:$AH20,VALUE($AI$335))/INDEX($C20:$AH20,N(VALUE($AK$335))),""))))</f>
        <v>0</v>
      </c>
      <c r="BA20" s="60">
        <f>IF(OR($B20="",N(VALUE($AP$335))=0),"",IF(INDEX($C20:$AH20,VALUE($AP$335))="","",IF(N(VALUE($AR$335))=0,INDEX($C20:$AH20,VALUE($AP$335)),IF(N(INDEX($C20:$AH20,N(VALUE($AR$335))))&gt;0,INDEX($C20:$AH20,VALUE($AP$335))/INDEX($C20:$AH20,N(VALUE($AR$335))),""))))</f>
        <v>0</v>
      </c>
      <c r="BB20" s="60">
        <f>IF(OR($B20="",N(VALUE($AQ$335))=0),"",IF(INDEX($C20:$AH20,VALUE($AQ$335))="","",IF(N(VALUE($AS$335))=0,INDEX($C20:$AH20,VALUE($AQ$335)),IF(N(INDEX($C20:$AH20,N(VALUE($AS$335))))&gt;0,INDEX($C20:$AH20,VALUE($AQ$335))/INDEX($C20:$AH20,N(VALUE($AS$335))),""))))</f>
        <v>0</v>
      </c>
    </row>
    <row r="21">
      <c r="A21" s="28">
        <v>10</v>
      </c>
      <c r="B21" s="45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6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32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>
        <f>IF($B21="","",IF($B$2="Todos",SUMIFS(BD!$K$3:$K$5001,BD!$A$3:$A$5001,$B21),SUMIFS(BD!$K$3:$K$5001,BD!$A$3:$A$5001,$B21,BD!$B$3:$B$5001,$D$2)))</f>
        <v>0</v>
      </c>
      <c r="L21" s="32">
        <f>IF($B21="","",IF($B$2="Todos",SUMIFS(BD!$L$3:$L$5001,BD!$A$3:$A$5001,$B21),SUMIFS(BD!$L$3:$L$5001,BD!$A$3:$A$5001,$B21,BD!$B$3:$B$5001,$D$2)))</f>
        <v>0</v>
      </c>
      <c r="M21" s="32">
        <f>IF($B21="","",IF($B$2="Todos",SUMIFS(BD!$M$3:$M$5001,BD!$A$3:$A$5001,$B21),SUMIFS(BD!$M$3:$M$5001,BD!$A$3:$A$5001,$B21,BD!$B$3:$B$5001,$D$2)))</f>
        <v>0</v>
      </c>
      <c r="N21" s="32">
        <f>IF($B21="","",IF($B$2="Todos",SUMIFS(BD!$N$3:$N$5001,BD!$A$3:$A$5001,$B21),SUMIFS(BD!$N$3:$N$5001,BD!$A$3:$A$5001,$B21,BD!$B$3:$B$5001,$D$2)))</f>
        <v>0</v>
      </c>
      <c r="O21" s="32">
        <f>IF($B21="","",IF($B$2="Todos",SUMIFS(BD!$O$3:$O$5001,BD!$A$3:$A$5001,$B21),SUMIFS(BD!$O$3:$O$5001,BD!$A$3:$A$5001,$B21,BD!$B$3:$B$5001,$D$2)))</f>
        <v>0</v>
      </c>
      <c r="P21" s="32">
        <f>IF($B21="","",IF($B$2="Todos",SUMIFS(BD!$P$3:$P$5001,BD!$A$3:$A$5001,$B21),SUMIFS(BD!$P$3:$P$5001,BD!$A$3:$A$5001,$B21,BD!$B$3:$B$5001,$D$2)))</f>
        <v>0</v>
      </c>
      <c r="Q21" s="32">
        <f>IF($B21="","",IF($B$2="Todos",SUMIFS(BD!$Q$3:$Q$5001,BD!$A$3:$A$5001,$B21),SUMIFS(BD!$Q$3:$Q$5001,BD!$A$3:$A$5001,$B21,BD!$B$3:$B$5001,$D$2)))</f>
        <v>0</v>
      </c>
      <c r="R21" s="32">
        <f>IF($B21="","",IF($B$2="Todos",SUMIFS(BD!$R$3:$R$5001,BD!$A$3:$A$5001,$B21),SUMIFS(BD!$R$3:$R$5001,BD!$A$3:$A$5001,$B21,BD!$B$3:$B$5001,$D$2)))</f>
        <v>0</v>
      </c>
      <c r="S21" s="32">
        <f>IF($B21="","",IF($B$2="Todos",SUMIFS(BD!$S$3:$S$5001,BD!$A$3:$A$5001,$B21),SUMIFS(BD!$S$3:$S$5001,BD!$A$3:$A$5001,$B21,BD!$B$3:$B$5001,$D$2)))</f>
        <v>0</v>
      </c>
      <c r="T21" s="46">
        <f>IF($B21="","",IF($B$2="Todos",SUMIFS(BD!$T$3:$T$5001,BD!$A$3:$A$5001,$B21),SUMIFS(BD!$T$3:$T$5001,BD!$A$3:$A$5001,$B21,BD!$B$3:$B$5001,$D$2)))</f>
        <v>0</v>
      </c>
      <c r="U21" s="32">
        <f>IF($B21="","",IF($B$2="Todos",SUMIFS(BD!$U$3:$U$5001,BD!$A$3:$A$5001,$B21),SUMIFS(BD!$U$3:$U$5001,BD!$A$3:$A$5001,$B21,BD!$B$3:$B$5001,$D$2)))</f>
        <v>0</v>
      </c>
      <c r="V21" s="32">
        <f>IF($B21="","",IF($B$2="Todos",SUMIFS(BD!$V$3:$V$5001,BD!$A$3:$A$5001,$B21),SUMIFS(BD!$V$3:$V$5001,BD!$A$3:$A$5001,$B21,BD!$B$3:$B$5001,$D$2)))</f>
        <v>0</v>
      </c>
      <c r="W21" s="32" t="str">
        <f>IF($B$2="Todos",IF(COUNT($C$148:$K$148)=0,"",SUM($C$148:$K$148)),IFERROR(INDEX($C$148:$K$148,MATCH($D$2,$C$138:$K$138,0)),""))</f>
        <v/>
      </c>
      <c r="X21" s="47" t="str">
        <f>IF(Y21="","",IF($B$2="Todos",IF($B$4&gt;0,$B$4,IF($B$2="Todos",IF(COUNT($C$218:$K$218)=0,"",SUM($C$218:$K$218)),IFERROR(INDEX($C$218:$K$218,MATCH($D$2,$C$208:$K$208,0)),""))),IFERROR(INDEX($C$218:$K$218,MATCH($D$2,$C$208:$K$208,0)),"")))</f>
        <v/>
      </c>
      <c r="Y21" s="32" t="str">
        <f>IF($B$2="Todos",IF(COUNT($C$183:$K$183)=0,"",SUM($C$183:$K$183)),IFERROR(INDEX($C$183:$K$183,MATCH($D$2,$C$173:$K$173,0)),""))</f>
        <v/>
      </c>
      <c r="Z21" s="48" t="str">
        <f>IF(AND(ISNUMBER(Y21),ISNUMBER(X21)),IF(X21&gt;0,Y21/X21,""),"")</f>
        <v/>
      </c>
      <c r="AA21" s="32" t="str">
        <f>IF($B$2="Todos",IF(COUNT($C$253:$K$253)=0,"",SUM($C$253:$K$253)),IFERROR(INDEX($C$253:$K$253,MATCH($D$2,$C$243:$K$243,0)),""))</f>
        <v/>
      </c>
      <c r="AB21" s="32">
        <f>IF($B21="","",IF($B$2="Todos",SUMIFS(BD!$AA$3:$AA$5001,BD!$A$3:$A$5001,$B21),SUMIFS(BD!$AA$3:$AA$5001,BD!$A$3:$A$5001,$B21,BD!$B$3:$B$5001,$D$2)))</f>
        <v>0</v>
      </c>
      <c r="AC21" s="32">
        <f>IF($B21="","",IF($B$2="Todos",SUMIFS(BD!$AB$3:$AB$5001,BD!$A$3:$A$5001,$B21),SUMIFS(BD!$AB$3:$AB$5001,BD!$A$3:$A$5001,$B21,BD!$B$3:$B$5001,$D$2)))</f>
        <v>0</v>
      </c>
      <c r="AD21" s="32">
        <f>IF($B21="","",IF($B$2="Todos",SUMIFS(BD!$AC$3:$AC$5001,BD!$A$3:$A$5001,$B21),SUMIFS(BD!$AC$3:$AC$5001,BD!$A$3:$A$5001,$B21,BD!$B$3:$B$5001,$D$2)))</f>
        <v>0</v>
      </c>
      <c r="AE21" s="32">
        <f>IF($B21="","",IF($B$2="Todos",SUMIFS(BD!$AD$3:$AD$5001,BD!$A$3:$A$5001,$B21),SUMIFS(BD!$AD$3:$AD$5001,BD!$A$3:$A$5001,$B21,BD!$B$3:$B$5001,$D$2)))</f>
        <v>0</v>
      </c>
      <c r="AF21" s="32">
        <f>IF($B21="","",IF($B$2="Todos",SUMIFS(BD!$AE$3:$AE$5001,BD!$A$3:$A$5001,$B21),SUMIFS(BD!$AE$3:$AE$5001,BD!$A$3:$A$5001,$B21,BD!$B$3:$B$5001,$D$2)))</f>
        <v>0</v>
      </c>
      <c r="AG21" s="32">
        <f>IF($B21="","",IF($B$2="Todos",SUMIFS(BD!$AF$3:$AF$5001,BD!$A$3:$A$5001,$B21),SUMIFS(BD!$AF$3:$AF$5001,BD!$A$3:$A$5001,$B21,BD!$B$3:$B$5001,$D$2)))</f>
        <v>0</v>
      </c>
      <c r="AH21" s="32">
        <f>IF($B21="","",IF($B$2="Todos",SUMIFS(BD!$AG$3:$AG$5001,BD!$A$3:$A$5001,$B21),SUMIFS(BD!$AG$3:$AG$5001,BD!$A$3:$A$5001,$B21,BD!$B$3:$B$5001,$D$2)))</f>
        <v>0</v>
      </c>
      <c r="AI21" s="49">
        <f>$B$5</f>
        <v>0.7</v>
      </c>
      <c r="AJ21" s="49">
        <f>$B$6</f>
        <v>0.9</v>
      </c>
      <c r="AM21" s="29" t="inlineStr">
        <is>
          <t xml:space="preserve">OUTUBRO · 2026</t>
        </is>
      </c>
      <c r="AO21" s="29" t="inlineStr">
        <is>
          <t xml:space="preserve">Vestas</t>
        </is>
      </c>
      <c r="AP21" s="28" t="inlineStr">
        <is>
          <t xml:space="preserve">TPC</t>
        </is>
      </c>
      <c r="AY21" s="60">
        <f>IF(OR($B21="",N(VALUE($AH$335))=0),"",IF(INDEX($C21:$AH21,VALUE($AH$335))="","",IF(N(VALUE($AJ$335))=0,INDEX($C21:$AH21,VALUE($AH$335)),IF(N(INDEX($C21:$AH21,N(VALUE($AJ$335))))&gt;0,INDEX($C21:$AH21,VALUE($AH$335))/INDEX($C21:$AH21,N(VALUE($AJ$335))),""))))</f>
        <v>0</v>
      </c>
      <c r="AZ21" s="60">
        <f>IF(OR($B21="",N(VALUE($AI$335))=0),"",IF(INDEX($C21:$AH21,VALUE($AI$335))="","",IF(N(VALUE($AK$335))=0,INDEX($C21:$AH21,VALUE($AI$335)),IF(N(INDEX($C21:$AH21,N(VALUE($AK$335))))&gt;0,INDEX($C21:$AH21,VALUE($AI$335))/INDEX($C21:$AH21,N(VALUE($AK$335))),""))))</f>
        <v>0</v>
      </c>
      <c r="BA21" s="60">
        <f>IF(OR($B21="",N(VALUE($AP$335))=0),"",IF(INDEX($C21:$AH21,VALUE($AP$335))="","",IF(N(VALUE($AR$335))=0,INDEX($C21:$AH21,VALUE($AP$335)),IF(N(INDEX($C21:$AH21,N(VALUE($AR$335))))&gt;0,INDEX($C21:$AH21,VALUE($AP$335))/INDEX($C21:$AH21,N(VALUE($AR$335))),""))))</f>
        <v>0</v>
      </c>
      <c r="BB21" s="60">
        <f>IF(OR($B21="",N(VALUE($AQ$335))=0),"",IF(INDEX($C21:$AH21,VALUE($AQ$335))="","",IF(N(VALUE($AS$335))=0,INDEX($C21:$AH21,VALUE($AQ$335)),IF(N(INDEX($C21:$AH21,N(VALUE($AS$335))))&gt;0,INDEX($C21:$AH21,VALUE($AQ$335))/INDEX($C21:$AH21,N(VALUE($AS$335))),""))))</f>
        <v>0</v>
      </c>
    </row>
    <row r="22">
      <c r="A22" s="28">
        <v>11</v>
      </c>
      <c r="B22" s="45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6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32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>
        <f>IF($B22="","",IF($B$2="Todos",SUMIFS(BD!$K$3:$K$5001,BD!$A$3:$A$5001,$B22),SUMIFS(BD!$K$3:$K$5001,BD!$A$3:$A$5001,$B22,BD!$B$3:$B$5001,$D$2)))</f>
        <v>0</v>
      </c>
      <c r="L22" s="32">
        <f>IF($B22="","",IF($B$2="Todos",SUMIFS(BD!$L$3:$L$5001,BD!$A$3:$A$5001,$B22),SUMIFS(BD!$L$3:$L$5001,BD!$A$3:$A$5001,$B22,BD!$B$3:$B$5001,$D$2)))</f>
        <v>0</v>
      </c>
      <c r="M22" s="32">
        <f>IF($B22="","",IF($B$2="Todos",SUMIFS(BD!$M$3:$M$5001,BD!$A$3:$A$5001,$B22),SUMIFS(BD!$M$3:$M$5001,BD!$A$3:$A$5001,$B22,BD!$B$3:$B$5001,$D$2)))</f>
        <v>0</v>
      </c>
      <c r="N22" s="32">
        <f>IF($B22="","",IF($B$2="Todos",SUMIFS(BD!$N$3:$N$5001,BD!$A$3:$A$5001,$B22),SUMIFS(BD!$N$3:$N$5001,BD!$A$3:$A$5001,$B22,BD!$B$3:$B$5001,$D$2)))</f>
        <v>0</v>
      </c>
      <c r="O22" s="32">
        <f>IF($B22="","",IF($B$2="Todos",SUMIFS(BD!$O$3:$O$5001,BD!$A$3:$A$5001,$B22),SUMIFS(BD!$O$3:$O$5001,BD!$A$3:$A$5001,$B22,BD!$B$3:$B$5001,$D$2)))</f>
        <v>0</v>
      </c>
      <c r="P22" s="32">
        <f>IF($B22="","",IF($B$2="Todos",SUMIFS(BD!$P$3:$P$5001,BD!$A$3:$A$5001,$B22),SUMIFS(BD!$P$3:$P$5001,BD!$A$3:$A$5001,$B22,BD!$B$3:$B$5001,$D$2)))</f>
        <v>0</v>
      </c>
      <c r="Q22" s="32">
        <f>IF($B22="","",IF($B$2="Todos",SUMIFS(BD!$Q$3:$Q$5001,BD!$A$3:$A$5001,$B22),SUMIFS(BD!$Q$3:$Q$5001,BD!$A$3:$A$5001,$B22,BD!$B$3:$B$5001,$D$2)))</f>
        <v>0</v>
      </c>
      <c r="R22" s="32">
        <f>IF($B22="","",IF($B$2="Todos",SUMIFS(BD!$R$3:$R$5001,BD!$A$3:$A$5001,$B22),SUMIFS(BD!$R$3:$R$5001,BD!$A$3:$A$5001,$B22,BD!$B$3:$B$5001,$D$2)))</f>
        <v>0</v>
      </c>
      <c r="S22" s="32">
        <f>IF($B22="","",IF($B$2="Todos",SUMIFS(BD!$S$3:$S$5001,BD!$A$3:$A$5001,$B22),SUMIFS(BD!$S$3:$S$5001,BD!$A$3:$A$5001,$B22,BD!$B$3:$B$5001,$D$2)))</f>
        <v>0</v>
      </c>
      <c r="T22" s="46">
        <f>IF($B22="","",IF($B$2="Todos",SUMIFS(BD!$T$3:$T$5001,BD!$A$3:$A$5001,$B22),SUMIFS(BD!$T$3:$T$5001,BD!$A$3:$A$5001,$B22,BD!$B$3:$B$5001,$D$2)))</f>
        <v>0</v>
      </c>
      <c r="U22" s="32">
        <f>IF($B22="","",IF($B$2="Todos",SUMIFS(BD!$U$3:$U$5001,BD!$A$3:$A$5001,$B22),SUMIFS(BD!$U$3:$U$5001,BD!$A$3:$A$5001,$B22,BD!$B$3:$B$5001,$D$2)))</f>
        <v>0</v>
      </c>
      <c r="V22" s="32">
        <f>IF($B22="","",IF($B$2="Todos",SUMIFS(BD!$V$3:$V$5001,BD!$A$3:$A$5001,$B22),SUMIFS(BD!$V$3:$V$5001,BD!$A$3:$A$5001,$B22,BD!$B$3:$B$5001,$D$2)))</f>
        <v>0</v>
      </c>
      <c r="W22" s="32" t="str">
        <f>IF($B$2="Todos",IF(COUNT($C$149:$K$149)=0,"",SUM($C$149:$K$149)),IFERROR(INDEX($C$149:$K$149,MATCH($D$2,$C$138:$K$138,0)),""))</f>
        <v/>
      </c>
      <c r="X22" s="47" t="str">
        <f>IF(Y22="","",IF($B$2="Todos",IF($B$4&gt;0,$B$4,IF($B$2="Todos",IF(COUNT($C$219:$K$219)=0,"",SUM($C$219:$K$219)),IFERROR(INDEX($C$219:$K$219,MATCH($D$2,$C$208:$K$208,0)),""))),IFERROR(INDEX($C$219:$K$219,MATCH($D$2,$C$208:$K$208,0)),"")))</f>
        <v/>
      </c>
      <c r="Y22" s="32" t="str">
        <f>IF($B$2="Todos",IF(COUNT($C$184:$K$184)=0,"",SUM($C$184:$K$184)),IFERROR(INDEX($C$184:$K$184,MATCH($D$2,$C$173:$K$173,0)),""))</f>
        <v/>
      </c>
      <c r="Z22" s="48" t="str">
        <f>IF(AND(ISNUMBER(Y22),ISNUMBER(X22)),IF(X22&gt;0,Y22/X22,""),"")</f>
        <v/>
      </c>
      <c r="AA22" s="32" t="str">
        <f>IF($B$2="Todos",IF(COUNT($C$254:$K$254)=0,"",SUM($C$254:$K$254)),IFERROR(INDEX($C$254:$K$254,MATCH($D$2,$C$243:$K$243,0)),""))</f>
        <v/>
      </c>
      <c r="AB22" s="32">
        <f>IF($B22="","",IF($B$2="Todos",SUMIFS(BD!$AA$3:$AA$5001,BD!$A$3:$A$5001,$B22),SUMIFS(BD!$AA$3:$AA$5001,BD!$A$3:$A$5001,$B22,BD!$B$3:$B$5001,$D$2)))</f>
        <v>0</v>
      </c>
      <c r="AC22" s="32">
        <f>IF($B22="","",IF($B$2="Todos",SUMIFS(BD!$AB$3:$AB$5001,BD!$A$3:$A$5001,$B22),SUMIFS(BD!$AB$3:$AB$5001,BD!$A$3:$A$5001,$B22,BD!$B$3:$B$5001,$D$2)))</f>
        <v>0</v>
      </c>
      <c r="AD22" s="32">
        <f>IF($B22="","",IF($B$2="Todos",SUMIFS(BD!$AC$3:$AC$5001,BD!$A$3:$A$5001,$B22),SUMIFS(BD!$AC$3:$AC$5001,BD!$A$3:$A$5001,$B22,BD!$B$3:$B$5001,$D$2)))</f>
        <v>0</v>
      </c>
      <c r="AE22" s="32">
        <f>IF($B22="","",IF($B$2="Todos",SUMIFS(BD!$AD$3:$AD$5001,BD!$A$3:$A$5001,$B22),SUMIFS(BD!$AD$3:$AD$5001,BD!$A$3:$A$5001,$B22,BD!$B$3:$B$5001,$D$2)))</f>
        <v>0</v>
      </c>
      <c r="AF22" s="32">
        <f>IF($B22="","",IF($B$2="Todos",SUMIFS(BD!$AE$3:$AE$5001,BD!$A$3:$A$5001,$B22),SUMIFS(BD!$AE$3:$AE$5001,BD!$A$3:$A$5001,$B22,BD!$B$3:$B$5001,$D$2)))</f>
        <v>0</v>
      </c>
      <c r="AG22" s="32">
        <f>IF($B22="","",IF($B$2="Todos",SUMIFS(BD!$AF$3:$AF$5001,BD!$A$3:$A$5001,$B22),SUMIFS(BD!$AF$3:$AF$5001,BD!$A$3:$A$5001,$B22,BD!$B$3:$B$5001,$D$2)))</f>
        <v>0</v>
      </c>
      <c r="AH22" s="32">
        <f>IF($B22="","",IF($B$2="Todos",SUMIFS(BD!$AG$3:$AG$5001,BD!$A$3:$A$5001,$B22),SUMIFS(BD!$AG$3:$AG$5001,BD!$A$3:$A$5001,$B22,BD!$B$3:$B$5001,$D$2)))</f>
        <v>0</v>
      </c>
      <c r="AI22" s="49">
        <f>$B$5</f>
        <v>0.7</v>
      </c>
      <c r="AJ22" s="49">
        <f>$B$6</f>
        <v>0.9</v>
      </c>
      <c r="AM22" s="29" t="inlineStr">
        <is>
          <t xml:space="preserve">NOVEMBRO · 2026</t>
        </is>
      </c>
      <c r="AY22" s="60">
        <f>IF(OR($B22="",N(VALUE($AH$335))=0),"",IF(INDEX($C22:$AH22,VALUE($AH$335))="","",IF(N(VALUE($AJ$335))=0,INDEX($C22:$AH22,VALUE($AH$335)),IF(N(INDEX($C22:$AH22,N(VALUE($AJ$335))))&gt;0,INDEX($C22:$AH22,VALUE($AH$335))/INDEX($C22:$AH22,N(VALUE($AJ$335))),""))))</f>
        <v>0</v>
      </c>
      <c r="AZ22" s="60">
        <f>IF(OR($B22="",N(VALUE($AI$335))=0),"",IF(INDEX($C22:$AH22,VALUE($AI$335))="","",IF(N(VALUE($AK$335))=0,INDEX($C22:$AH22,VALUE($AI$335)),IF(N(INDEX($C22:$AH22,N(VALUE($AK$335))))&gt;0,INDEX($C22:$AH22,VALUE($AI$335))/INDEX($C22:$AH22,N(VALUE($AK$335))),""))))</f>
        <v>0</v>
      </c>
      <c r="BA22" s="60">
        <f>IF(OR($B22="",N(VALUE($AP$335))=0),"",IF(INDEX($C22:$AH22,VALUE($AP$335))="","",IF(N(VALUE($AR$335))=0,INDEX($C22:$AH22,VALUE($AP$335)),IF(N(INDEX($C22:$AH22,N(VALUE($AR$335))))&gt;0,INDEX($C22:$AH22,VALUE($AP$335))/INDEX($C22:$AH22,N(VALUE($AR$335))),""))))</f>
        <v>0</v>
      </c>
      <c r="BB22" s="60">
        <f>IF(OR($B22="",N(VALUE($AQ$335))=0),"",IF(INDEX($C22:$AH22,VALUE($AQ$335))="","",IF(N(VALUE($AS$335))=0,INDEX($C22:$AH22,VALUE($AQ$335)),IF(N(INDEX($C22:$AH22,N(VALUE($AS$335))))&gt;0,INDEX($C22:$AH22,VALUE($AQ$335))/INDEX($C22:$AH22,N(VALUE($AS$335))),""))))</f>
        <v>0</v>
      </c>
    </row>
    <row r="23">
      <c r="A23" s="28">
        <v>12</v>
      </c>
      <c r="B23" s="45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6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32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>
        <f>IF($B23="","",IF($B$2="Todos",SUMIFS(BD!$K$3:$K$5001,BD!$A$3:$A$5001,$B23),SUMIFS(BD!$K$3:$K$5001,BD!$A$3:$A$5001,$B23,BD!$B$3:$B$5001,$D$2)))</f>
        <v>0</v>
      </c>
      <c r="L23" s="32">
        <f>IF($B23="","",IF($B$2="Todos",SUMIFS(BD!$L$3:$L$5001,BD!$A$3:$A$5001,$B23),SUMIFS(BD!$L$3:$L$5001,BD!$A$3:$A$5001,$B23,BD!$B$3:$B$5001,$D$2)))</f>
        <v>0</v>
      </c>
      <c r="M23" s="32">
        <f>IF($B23="","",IF($B$2="Todos",SUMIFS(BD!$M$3:$M$5001,BD!$A$3:$A$5001,$B23),SUMIFS(BD!$M$3:$M$5001,BD!$A$3:$A$5001,$B23,BD!$B$3:$B$5001,$D$2)))</f>
        <v>0</v>
      </c>
      <c r="N23" s="32">
        <f>IF($B23="","",IF($B$2="Todos",SUMIFS(BD!$N$3:$N$5001,BD!$A$3:$A$5001,$B23),SUMIFS(BD!$N$3:$N$5001,BD!$A$3:$A$5001,$B23,BD!$B$3:$B$5001,$D$2)))</f>
        <v>0</v>
      </c>
      <c r="O23" s="32">
        <f>IF($B23="","",IF($B$2="Todos",SUMIFS(BD!$O$3:$O$5001,BD!$A$3:$A$5001,$B23),SUMIFS(BD!$O$3:$O$5001,BD!$A$3:$A$5001,$B23,BD!$B$3:$B$5001,$D$2)))</f>
        <v>0</v>
      </c>
      <c r="P23" s="32">
        <f>IF($B23="","",IF($B$2="Todos",SUMIFS(BD!$P$3:$P$5001,BD!$A$3:$A$5001,$B23),SUMIFS(BD!$P$3:$P$5001,BD!$A$3:$A$5001,$B23,BD!$B$3:$B$5001,$D$2)))</f>
        <v>0</v>
      </c>
      <c r="Q23" s="32">
        <f>IF($B23="","",IF($B$2="Todos",SUMIFS(BD!$Q$3:$Q$5001,BD!$A$3:$A$5001,$B23),SUMIFS(BD!$Q$3:$Q$5001,BD!$A$3:$A$5001,$B23,BD!$B$3:$B$5001,$D$2)))</f>
        <v>0</v>
      </c>
      <c r="R23" s="32">
        <f>IF($B23="","",IF($B$2="Todos",SUMIFS(BD!$R$3:$R$5001,BD!$A$3:$A$5001,$B23),SUMIFS(BD!$R$3:$R$5001,BD!$A$3:$A$5001,$B23,BD!$B$3:$B$5001,$D$2)))</f>
        <v>0</v>
      </c>
      <c r="S23" s="32">
        <f>IF($B23="","",IF($B$2="Todos",SUMIFS(BD!$S$3:$S$5001,BD!$A$3:$A$5001,$B23),SUMIFS(BD!$S$3:$S$5001,BD!$A$3:$A$5001,$B23,BD!$B$3:$B$5001,$D$2)))</f>
        <v>0</v>
      </c>
      <c r="T23" s="46">
        <f>IF($B23="","",IF($B$2="Todos",SUMIFS(BD!$T$3:$T$5001,BD!$A$3:$A$5001,$B23),SUMIFS(BD!$T$3:$T$5001,BD!$A$3:$A$5001,$B23,BD!$B$3:$B$5001,$D$2)))</f>
        <v>0</v>
      </c>
      <c r="U23" s="32">
        <f>IF($B23="","",IF($B$2="Todos",SUMIFS(BD!$U$3:$U$5001,BD!$A$3:$A$5001,$B23),SUMIFS(BD!$U$3:$U$5001,BD!$A$3:$A$5001,$B23,BD!$B$3:$B$5001,$D$2)))</f>
        <v>0</v>
      </c>
      <c r="V23" s="32">
        <f>IF($B23="","",IF($B$2="Todos",SUMIFS(BD!$V$3:$V$5001,BD!$A$3:$A$5001,$B23),SUMIFS(BD!$V$3:$V$5001,BD!$A$3:$A$5001,$B23,BD!$B$3:$B$5001,$D$2)))</f>
        <v>0</v>
      </c>
      <c r="W23" s="32" t="str">
        <f>IF($B$2="Todos",IF(COUNT($C$150:$K$150)=0,"",SUM($C$150:$K$150)),IFERROR(INDEX($C$150:$K$150,MATCH($D$2,$C$138:$K$138,0)),""))</f>
        <v/>
      </c>
      <c r="X23" s="47" t="str">
        <f>IF(Y23="","",IF($B$2="Todos",IF($B$4&gt;0,$B$4,IF($B$2="Todos",IF(COUNT($C$220:$K$220)=0,"",SUM($C$220:$K$220)),IFERROR(INDEX($C$220:$K$220,MATCH($D$2,$C$208:$K$208,0)),""))),IFERROR(INDEX($C$220:$K$220,MATCH($D$2,$C$208:$K$208,0)),"")))</f>
        <v/>
      </c>
      <c r="Y23" s="32" t="str">
        <f>IF($B$2="Todos",IF(COUNT($C$185:$K$185)=0,"",SUM($C$185:$K$185)),IFERROR(INDEX($C$185:$K$185,MATCH($D$2,$C$173:$K$173,0)),""))</f>
        <v/>
      </c>
      <c r="Z23" s="48" t="str">
        <f>IF(AND(ISNUMBER(Y23),ISNUMBER(X23)),IF(X23&gt;0,Y23/X23,""),"")</f>
        <v/>
      </c>
      <c r="AA23" s="32" t="str">
        <f>IF($B$2="Todos",IF(COUNT($C$255:$K$255)=0,"",SUM($C$255:$K$255)),IFERROR(INDEX($C$255:$K$255,MATCH($D$2,$C$243:$K$243,0)),""))</f>
        <v/>
      </c>
      <c r="AB23" s="32">
        <f>IF($B23="","",IF($B$2="Todos",SUMIFS(BD!$AA$3:$AA$5001,BD!$A$3:$A$5001,$B23),SUMIFS(BD!$AA$3:$AA$5001,BD!$A$3:$A$5001,$B23,BD!$B$3:$B$5001,$D$2)))</f>
        <v>0</v>
      </c>
      <c r="AC23" s="32">
        <f>IF($B23="","",IF($B$2="Todos",SUMIFS(BD!$AB$3:$AB$5001,BD!$A$3:$A$5001,$B23),SUMIFS(BD!$AB$3:$AB$5001,BD!$A$3:$A$5001,$B23,BD!$B$3:$B$5001,$D$2)))</f>
        <v>0</v>
      </c>
      <c r="AD23" s="32">
        <f>IF($B23="","",IF($B$2="Todos",SUMIFS(BD!$AC$3:$AC$5001,BD!$A$3:$A$5001,$B23),SUMIFS(BD!$AC$3:$AC$5001,BD!$A$3:$A$5001,$B23,BD!$B$3:$B$5001,$D$2)))</f>
        <v>0</v>
      </c>
      <c r="AE23" s="32">
        <f>IF($B23="","",IF($B$2="Todos",SUMIFS(BD!$AD$3:$AD$5001,BD!$A$3:$A$5001,$B23),SUMIFS(BD!$AD$3:$AD$5001,BD!$A$3:$A$5001,$B23,BD!$B$3:$B$5001,$D$2)))</f>
        <v>0</v>
      </c>
      <c r="AF23" s="32">
        <f>IF($B23="","",IF($B$2="Todos",SUMIFS(BD!$AE$3:$AE$5001,BD!$A$3:$A$5001,$B23),SUMIFS(BD!$AE$3:$AE$5001,BD!$A$3:$A$5001,$B23,BD!$B$3:$B$5001,$D$2)))</f>
        <v>0</v>
      </c>
      <c r="AG23" s="32">
        <f>IF($B23="","",IF($B$2="Todos",SUMIFS(BD!$AF$3:$AF$5001,BD!$A$3:$A$5001,$B23),SUMIFS(BD!$AF$3:$AF$5001,BD!$A$3:$A$5001,$B23,BD!$B$3:$B$5001,$D$2)))</f>
        <v>0</v>
      </c>
      <c r="AH23" s="32">
        <f>IF($B23="","",IF($B$2="Todos",SUMIFS(BD!$AG$3:$AG$5001,BD!$A$3:$A$5001,$B23),SUMIFS(BD!$AG$3:$AG$5001,BD!$A$3:$A$5001,$B23,BD!$B$3:$B$5001,$D$2)))</f>
        <v>0</v>
      </c>
      <c r="AI23" s="49">
        <f>$B$5</f>
        <v>0.7</v>
      </c>
      <c r="AJ23" s="49">
        <f>$B$6</f>
        <v>0.9</v>
      </c>
      <c r="AM23" s="29" t="inlineStr">
        <is>
          <t xml:space="preserve">DEZEMBRO · 2026</t>
        </is>
      </c>
      <c r="AY23" s="60">
        <f>IF(OR($B23="",N(VALUE($AH$335))=0),"",IF(INDEX($C23:$AH23,VALUE($AH$335))="","",IF(N(VALUE($AJ$335))=0,INDEX($C23:$AH23,VALUE($AH$335)),IF(N(INDEX($C23:$AH23,N(VALUE($AJ$335))))&gt;0,INDEX($C23:$AH23,VALUE($AH$335))/INDEX($C23:$AH23,N(VALUE($AJ$335))),""))))</f>
        <v>0</v>
      </c>
      <c r="AZ23" s="60">
        <f>IF(OR($B23="",N(VALUE($AI$335))=0),"",IF(INDEX($C23:$AH23,VALUE($AI$335))="","",IF(N(VALUE($AK$335))=0,INDEX($C23:$AH23,VALUE($AI$335)),IF(N(INDEX($C23:$AH23,N(VALUE($AK$335))))&gt;0,INDEX($C23:$AH23,VALUE($AI$335))/INDEX($C23:$AH23,N(VALUE($AK$335))),""))))</f>
        <v>0</v>
      </c>
      <c r="BA23" s="60">
        <f>IF(OR($B23="",N(VALUE($AP$335))=0),"",IF(INDEX($C23:$AH23,VALUE($AP$335))="","",IF(N(VALUE($AR$335))=0,INDEX($C23:$AH23,VALUE($AP$335)),IF(N(INDEX($C23:$AH23,N(VALUE($AR$335))))&gt;0,INDEX($C23:$AH23,VALUE($AP$335))/INDEX($C23:$AH23,N(VALUE($AR$335))),""))))</f>
        <v>0</v>
      </c>
      <c r="BB23" s="60">
        <f>IF(OR($B23="",N(VALUE($AQ$335))=0),"",IF(INDEX($C23:$AH23,VALUE($AQ$335))="","",IF(N(VALUE($AS$335))=0,INDEX($C23:$AH23,VALUE($AQ$335)),IF(N(INDEX($C23:$AH23,N(VALUE($AS$335))))&gt;0,INDEX($C23:$AH23,VALUE($AQ$335))/INDEX($C23:$AH23,N(VALUE($AS$335))),""))))</f>
        <v>0</v>
      </c>
    </row>
    <row r="24">
      <c r="A24" s="28">
        <v>13</v>
      </c>
      <c r="B24" s="45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6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32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>
        <f>IF($B24="","",IF($B$2="Todos",SUMIFS(BD!$K$3:$K$5001,BD!$A$3:$A$5001,$B24),SUMIFS(BD!$K$3:$K$5001,BD!$A$3:$A$5001,$B24,BD!$B$3:$B$5001,$D$2)))</f>
        <v>0</v>
      </c>
      <c r="L24" s="32">
        <f>IF($B24="","",IF($B$2="Todos",SUMIFS(BD!$L$3:$L$5001,BD!$A$3:$A$5001,$B24),SUMIFS(BD!$L$3:$L$5001,BD!$A$3:$A$5001,$B24,BD!$B$3:$B$5001,$D$2)))</f>
        <v>0</v>
      </c>
      <c r="M24" s="32">
        <f>IF($B24="","",IF($B$2="Todos",SUMIFS(BD!$M$3:$M$5001,BD!$A$3:$A$5001,$B24),SUMIFS(BD!$M$3:$M$5001,BD!$A$3:$A$5001,$B24,BD!$B$3:$B$5001,$D$2)))</f>
        <v>0</v>
      </c>
      <c r="N24" s="32">
        <f>IF($B24="","",IF($B$2="Todos",SUMIFS(BD!$N$3:$N$5001,BD!$A$3:$A$5001,$B24),SUMIFS(BD!$N$3:$N$5001,BD!$A$3:$A$5001,$B24,BD!$B$3:$B$5001,$D$2)))</f>
        <v>0</v>
      </c>
      <c r="O24" s="32">
        <f>IF($B24="","",IF($B$2="Todos",SUMIFS(BD!$O$3:$O$5001,BD!$A$3:$A$5001,$B24),SUMIFS(BD!$O$3:$O$5001,BD!$A$3:$A$5001,$B24,BD!$B$3:$B$5001,$D$2)))</f>
        <v>0</v>
      </c>
      <c r="P24" s="32">
        <f>IF($B24="","",IF($B$2="Todos",SUMIFS(BD!$P$3:$P$5001,BD!$A$3:$A$5001,$B24),SUMIFS(BD!$P$3:$P$5001,BD!$A$3:$A$5001,$B24,BD!$B$3:$B$5001,$D$2)))</f>
        <v>0</v>
      </c>
      <c r="Q24" s="32">
        <f>IF($B24="","",IF($B$2="Todos",SUMIFS(BD!$Q$3:$Q$5001,BD!$A$3:$A$5001,$B24),SUMIFS(BD!$Q$3:$Q$5001,BD!$A$3:$A$5001,$B24,BD!$B$3:$B$5001,$D$2)))</f>
        <v>0</v>
      </c>
      <c r="R24" s="32">
        <f>IF($B24="","",IF($B$2="Todos",SUMIFS(BD!$R$3:$R$5001,BD!$A$3:$A$5001,$B24),SUMIFS(BD!$R$3:$R$5001,BD!$A$3:$A$5001,$B24,BD!$B$3:$B$5001,$D$2)))</f>
        <v>0</v>
      </c>
      <c r="S24" s="32">
        <f>IF($B24="","",IF($B$2="Todos",SUMIFS(BD!$S$3:$S$5001,BD!$A$3:$A$5001,$B24),SUMIFS(BD!$S$3:$S$5001,BD!$A$3:$A$5001,$B24,BD!$B$3:$B$5001,$D$2)))</f>
        <v>0</v>
      </c>
      <c r="T24" s="46">
        <f>IF($B24="","",IF($B$2="Todos",SUMIFS(BD!$T$3:$T$5001,BD!$A$3:$A$5001,$B24),SUMIFS(BD!$T$3:$T$5001,BD!$A$3:$A$5001,$B24,BD!$B$3:$B$5001,$D$2)))</f>
        <v>0</v>
      </c>
      <c r="U24" s="32">
        <f>IF($B24="","",IF($B$2="Todos",SUMIFS(BD!$U$3:$U$5001,BD!$A$3:$A$5001,$B24),SUMIFS(BD!$U$3:$U$5001,BD!$A$3:$A$5001,$B24,BD!$B$3:$B$5001,$D$2)))</f>
        <v>0</v>
      </c>
      <c r="V24" s="32">
        <f>IF($B24="","",IF($B$2="Todos",SUMIFS(BD!$V$3:$V$5001,BD!$A$3:$A$5001,$B24),SUMIFS(BD!$V$3:$V$5001,BD!$A$3:$A$5001,$B24,BD!$B$3:$B$5001,$D$2)))</f>
        <v>0</v>
      </c>
      <c r="W24" s="32" t="str">
        <f>IF($B$2="Todos",IF(COUNT($C$151:$K$151)=0,"",SUM($C$151:$K$151)),IFERROR(INDEX($C$151:$K$151,MATCH($D$2,$C$138:$K$138,0)),""))</f>
        <v/>
      </c>
      <c r="X24" s="47" t="str">
        <f>IF(Y24="","",IF($B$2="Todos",IF($B$4&gt;0,$B$4,IF($B$2="Todos",IF(COUNT($C$221:$K$221)=0,"",SUM($C$221:$K$221)),IFERROR(INDEX($C$221:$K$221,MATCH($D$2,$C$208:$K$208,0)),""))),IFERROR(INDEX($C$221:$K$221,MATCH($D$2,$C$208:$K$208,0)),"")))</f>
        <v/>
      </c>
      <c r="Y24" s="32" t="str">
        <f>IF($B$2="Todos",IF(COUNT($C$186:$K$186)=0,"",SUM($C$186:$K$186)),IFERROR(INDEX($C$186:$K$186,MATCH($D$2,$C$173:$K$173,0)),""))</f>
        <v/>
      </c>
      <c r="Z24" s="48" t="str">
        <f>IF(AND(ISNUMBER(Y24),ISNUMBER(X24)),IF(X24&gt;0,Y24/X24,""),"")</f>
        <v/>
      </c>
      <c r="AA24" s="32" t="str">
        <f>IF($B$2="Todos",IF(COUNT($C$256:$K$256)=0,"",SUM($C$256:$K$256)),IFERROR(INDEX($C$256:$K$256,MATCH($D$2,$C$243:$K$243,0)),""))</f>
        <v/>
      </c>
      <c r="AB24" s="32">
        <f>IF($B24="","",IF($B$2="Todos",SUMIFS(BD!$AA$3:$AA$5001,BD!$A$3:$A$5001,$B24),SUMIFS(BD!$AA$3:$AA$5001,BD!$A$3:$A$5001,$B24,BD!$B$3:$B$5001,$D$2)))</f>
        <v>0</v>
      </c>
      <c r="AC24" s="32">
        <f>IF($B24="","",IF($B$2="Todos",SUMIFS(BD!$AB$3:$AB$5001,BD!$A$3:$A$5001,$B24),SUMIFS(BD!$AB$3:$AB$5001,BD!$A$3:$A$5001,$B24,BD!$B$3:$B$5001,$D$2)))</f>
        <v>0</v>
      </c>
      <c r="AD24" s="32">
        <f>IF($B24="","",IF($B$2="Todos",SUMIFS(BD!$AC$3:$AC$5001,BD!$A$3:$A$5001,$B24),SUMIFS(BD!$AC$3:$AC$5001,BD!$A$3:$A$5001,$B24,BD!$B$3:$B$5001,$D$2)))</f>
        <v>0</v>
      </c>
      <c r="AE24" s="32">
        <f>IF($B24="","",IF($B$2="Todos",SUMIFS(BD!$AD$3:$AD$5001,BD!$A$3:$A$5001,$B24),SUMIFS(BD!$AD$3:$AD$5001,BD!$A$3:$A$5001,$B24,BD!$B$3:$B$5001,$D$2)))</f>
        <v>0</v>
      </c>
      <c r="AF24" s="32">
        <f>IF($B24="","",IF($B$2="Todos",SUMIFS(BD!$AE$3:$AE$5001,BD!$A$3:$A$5001,$B24),SUMIFS(BD!$AE$3:$AE$5001,BD!$A$3:$A$5001,$B24,BD!$B$3:$B$5001,$D$2)))</f>
        <v>0</v>
      </c>
      <c r="AG24" s="32">
        <f>IF($B24="","",IF($B$2="Todos",SUMIFS(BD!$AF$3:$AF$5001,BD!$A$3:$A$5001,$B24),SUMIFS(BD!$AF$3:$AF$5001,BD!$A$3:$A$5001,$B24,BD!$B$3:$B$5001,$D$2)))</f>
        <v>0</v>
      </c>
      <c r="AH24" s="32">
        <f>IF($B24="","",IF($B$2="Todos",SUMIFS(BD!$AG$3:$AG$5001,BD!$A$3:$A$5001,$B24),SUMIFS(BD!$AG$3:$AG$5001,BD!$A$3:$A$5001,$B24,BD!$B$3:$B$5001,$D$2)))</f>
        <v>0</v>
      </c>
      <c r="AI24" s="49">
        <f>$B$5</f>
        <v>0.7</v>
      </c>
      <c r="AJ24" s="49">
        <f>$B$6</f>
        <v>0.9</v>
      </c>
      <c r="AY24" s="60">
        <f>IF(OR($B24="",N(VALUE($AH$335))=0),"",IF(INDEX($C24:$AH24,VALUE($AH$335))="","",IF(N(VALUE($AJ$335))=0,INDEX($C24:$AH24,VALUE($AH$335)),IF(N(INDEX($C24:$AH24,N(VALUE($AJ$335))))&gt;0,INDEX($C24:$AH24,VALUE($AH$335))/INDEX($C24:$AH24,N(VALUE($AJ$335))),""))))</f>
        <v>0</v>
      </c>
      <c r="AZ24" s="60">
        <f>IF(OR($B24="",N(VALUE($AI$335))=0),"",IF(INDEX($C24:$AH24,VALUE($AI$335))="","",IF(N(VALUE($AK$335))=0,INDEX($C24:$AH24,VALUE($AI$335)),IF(N(INDEX($C24:$AH24,N(VALUE($AK$335))))&gt;0,INDEX($C24:$AH24,VALUE($AI$335))/INDEX($C24:$AH24,N(VALUE($AK$335))),""))))</f>
        <v>0</v>
      </c>
      <c r="BA24" s="60">
        <f>IF(OR($B24="",N(VALUE($AP$335))=0),"",IF(INDEX($C24:$AH24,VALUE($AP$335))="","",IF(N(VALUE($AR$335))=0,INDEX($C24:$AH24,VALUE($AP$335)),IF(N(INDEX($C24:$AH24,N(VALUE($AR$335))))&gt;0,INDEX($C24:$AH24,VALUE($AP$335))/INDEX($C24:$AH24,N(VALUE($AR$335))),""))))</f>
        <v>0</v>
      </c>
      <c r="BB24" s="60">
        <f>IF(OR($B24="",N(VALUE($AQ$335))=0),"",IF(INDEX($C24:$AH24,VALUE($AQ$335))="","",IF(N(VALUE($AS$335))=0,INDEX($C24:$AH24,VALUE($AQ$335)),IF(N(INDEX($C24:$AH24,N(VALUE($AS$335))))&gt;0,INDEX($C24:$AH24,VALUE($AQ$335))/INDEX($C24:$AH24,N(VALUE($AS$335))),""))))</f>
        <v>0</v>
      </c>
    </row>
    <row r="25">
      <c r="A25" s="28">
        <v>14</v>
      </c>
      <c r="B25" s="45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6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32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>
        <f>IF($B25="","",IF($B$2="Todos",SUMIFS(BD!$K$3:$K$5001,BD!$A$3:$A$5001,$B25),SUMIFS(BD!$K$3:$K$5001,BD!$A$3:$A$5001,$B25,BD!$B$3:$B$5001,$D$2)))</f>
        <v>0</v>
      </c>
      <c r="L25" s="32">
        <f>IF($B25="","",IF($B$2="Todos",SUMIFS(BD!$L$3:$L$5001,BD!$A$3:$A$5001,$B25),SUMIFS(BD!$L$3:$L$5001,BD!$A$3:$A$5001,$B25,BD!$B$3:$B$5001,$D$2)))</f>
        <v>0</v>
      </c>
      <c r="M25" s="32">
        <f>IF($B25="","",IF($B$2="Todos",SUMIFS(BD!$M$3:$M$5001,BD!$A$3:$A$5001,$B25),SUMIFS(BD!$M$3:$M$5001,BD!$A$3:$A$5001,$B25,BD!$B$3:$B$5001,$D$2)))</f>
        <v>0</v>
      </c>
      <c r="N25" s="32">
        <f>IF($B25="","",IF($B$2="Todos",SUMIFS(BD!$N$3:$N$5001,BD!$A$3:$A$5001,$B25),SUMIFS(BD!$N$3:$N$5001,BD!$A$3:$A$5001,$B25,BD!$B$3:$B$5001,$D$2)))</f>
        <v>0</v>
      </c>
      <c r="O25" s="32">
        <f>IF($B25="","",IF($B$2="Todos",SUMIFS(BD!$O$3:$O$5001,BD!$A$3:$A$5001,$B25),SUMIFS(BD!$O$3:$O$5001,BD!$A$3:$A$5001,$B25,BD!$B$3:$B$5001,$D$2)))</f>
        <v>0</v>
      </c>
      <c r="P25" s="32">
        <f>IF($B25="","",IF($B$2="Todos",SUMIFS(BD!$P$3:$P$5001,BD!$A$3:$A$5001,$B25),SUMIFS(BD!$P$3:$P$5001,BD!$A$3:$A$5001,$B25,BD!$B$3:$B$5001,$D$2)))</f>
        <v>0</v>
      </c>
      <c r="Q25" s="32">
        <f>IF($B25="","",IF($B$2="Todos",SUMIFS(BD!$Q$3:$Q$5001,BD!$A$3:$A$5001,$B25),SUMIFS(BD!$Q$3:$Q$5001,BD!$A$3:$A$5001,$B25,BD!$B$3:$B$5001,$D$2)))</f>
        <v>0</v>
      </c>
      <c r="R25" s="32">
        <f>IF($B25="","",IF($B$2="Todos",SUMIFS(BD!$R$3:$R$5001,BD!$A$3:$A$5001,$B25),SUMIFS(BD!$R$3:$R$5001,BD!$A$3:$A$5001,$B25,BD!$B$3:$B$5001,$D$2)))</f>
        <v>0</v>
      </c>
      <c r="S25" s="32">
        <f>IF($B25="","",IF($B$2="Todos",SUMIFS(BD!$S$3:$S$5001,BD!$A$3:$A$5001,$B25),SUMIFS(BD!$S$3:$S$5001,BD!$A$3:$A$5001,$B25,BD!$B$3:$B$5001,$D$2)))</f>
        <v>0</v>
      </c>
      <c r="T25" s="46">
        <f>IF($B25="","",IF($B$2="Todos",SUMIFS(BD!$T$3:$T$5001,BD!$A$3:$A$5001,$B25),SUMIFS(BD!$T$3:$T$5001,BD!$A$3:$A$5001,$B25,BD!$B$3:$B$5001,$D$2)))</f>
        <v>0</v>
      </c>
      <c r="U25" s="32">
        <f>IF($B25="","",IF($B$2="Todos",SUMIFS(BD!$U$3:$U$5001,BD!$A$3:$A$5001,$B25),SUMIFS(BD!$U$3:$U$5001,BD!$A$3:$A$5001,$B25,BD!$B$3:$B$5001,$D$2)))</f>
        <v>0</v>
      </c>
      <c r="V25" s="32">
        <f>IF($B25="","",IF($B$2="Todos",SUMIFS(BD!$V$3:$V$5001,BD!$A$3:$A$5001,$B25),SUMIFS(BD!$V$3:$V$5001,BD!$A$3:$A$5001,$B25,BD!$B$3:$B$5001,$D$2)))</f>
        <v>0</v>
      </c>
      <c r="W25" s="32" t="str">
        <f>IF($B$2="Todos",IF(COUNT($C$152:$K$152)=0,"",SUM($C$152:$K$152)),IFERROR(INDEX($C$152:$K$152,MATCH($D$2,$C$138:$K$138,0)),""))</f>
        <v/>
      </c>
      <c r="X25" s="47" t="str">
        <f>IF(Y25="","",IF($B$2="Todos",IF($B$4&gt;0,$B$4,IF($B$2="Todos",IF(COUNT($C$222:$K$222)=0,"",SUM($C$222:$K$222)),IFERROR(INDEX($C$222:$K$222,MATCH($D$2,$C$208:$K$208,0)),""))),IFERROR(INDEX($C$222:$K$222,MATCH($D$2,$C$208:$K$208,0)),"")))</f>
        <v/>
      </c>
      <c r="Y25" s="32" t="str">
        <f>IF($B$2="Todos",IF(COUNT($C$187:$K$187)=0,"",SUM($C$187:$K$187)),IFERROR(INDEX($C$187:$K$187,MATCH($D$2,$C$173:$K$173,0)),""))</f>
        <v/>
      </c>
      <c r="Z25" s="48" t="str">
        <f>IF(AND(ISNUMBER(Y25),ISNUMBER(X25)),IF(X25&gt;0,Y25/X25,""),"")</f>
        <v/>
      </c>
      <c r="AA25" s="32" t="str">
        <f>IF($B$2="Todos",IF(COUNT($C$257:$K$257)=0,"",SUM($C$257:$K$257)),IFERROR(INDEX($C$257:$K$257,MATCH($D$2,$C$243:$K$243,0)),""))</f>
        <v/>
      </c>
      <c r="AB25" s="32">
        <f>IF($B25="","",IF($B$2="Todos",SUMIFS(BD!$AA$3:$AA$5001,BD!$A$3:$A$5001,$B25),SUMIFS(BD!$AA$3:$AA$5001,BD!$A$3:$A$5001,$B25,BD!$B$3:$B$5001,$D$2)))</f>
        <v>0</v>
      </c>
      <c r="AC25" s="32">
        <f>IF($B25="","",IF($B$2="Todos",SUMIFS(BD!$AB$3:$AB$5001,BD!$A$3:$A$5001,$B25),SUMIFS(BD!$AB$3:$AB$5001,BD!$A$3:$A$5001,$B25,BD!$B$3:$B$5001,$D$2)))</f>
        <v>0</v>
      </c>
      <c r="AD25" s="32">
        <f>IF($B25="","",IF($B$2="Todos",SUMIFS(BD!$AC$3:$AC$5001,BD!$A$3:$A$5001,$B25),SUMIFS(BD!$AC$3:$AC$5001,BD!$A$3:$A$5001,$B25,BD!$B$3:$B$5001,$D$2)))</f>
        <v>0</v>
      </c>
      <c r="AE25" s="32">
        <f>IF($B25="","",IF($B$2="Todos",SUMIFS(BD!$AD$3:$AD$5001,BD!$A$3:$A$5001,$B25),SUMIFS(BD!$AD$3:$AD$5001,BD!$A$3:$A$5001,$B25,BD!$B$3:$B$5001,$D$2)))</f>
        <v>0</v>
      </c>
      <c r="AF25" s="32">
        <f>IF($B25="","",IF($B$2="Todos",SUMIFS(BD!$AE$3:$AE$5001,BD!$A$3:$A$5001,$B25),SUMIFS(BD!$AE$3:$AE$5001,BD!$A$3:$A$5001,$B25,BD!$B$3:$B$5001,$D$2)))</f>
        <v>0</v>
      </c>
      <c r="AG25" s="32">
        <f>IF($B25="","",IF($B$2="Todos",SUMIFS(BD!$AF$3:$AF$5001,BD!$A$3:$A$5001,$B25),SUMIFS(BD!$AF$3:$AF$5001,BD!$A$3:$A$5001,$B25,BD!$B$3:$B$5001,$D$2)))</f>
        <v>0</v>
      </c>
      <c r="AH25" s="32">
        <f>IF($B25="","",IF($B$2="Todos",SUMIFS(BD!$AG$3:$AG$5001,BD!$A$3:$A$5001,$B25),SUMIFS(BD!$AG$3:$AG$5001,BD!$A$3:$A$5001,$B25,BD!$B$3:$B$5001,$D$2)))</f>
        <v>0</v>
      </c>
      <c r="AI25" s="49">
        <f>$B$5</f>
        <v>0.7</v>
      </c>
      <c r="AJ25" s="49">
        <f>$B$6</f>
        <v>0.9</v>
      </c>
      <c r="AY25" s="60">
        <f>IF(OR($B25="",N(VALUE($AH$335))=0),"",IF(INDEX($C25:$AH25,VALUE($AH$335))="","",IF(N(VALUE($AJ$335))=0,INDEX($C25:$AH25,VALUE($AH$335)),IF(N(INDEX($C25:$AH25,N(VALUE($AJ$335))))&gt;0,INDEX($C25:$AH25,VALUE($AH$335))/INDEX($C25:$AH25,N(VALUE($AJ$335))),""))))</f>
        <v>0</v>
      </c>
      <c r="AZ25" s="60">
        <f>IF(OR($B25="",N(VALUE($AI$335))=0),"",IF(INDEX($C25:$AH25,VALUE($AI$335))="","",IF(N(VALUE($AK$335))=0,INDEX($C25:$AH25,VALUE($AI$335)),IF(N(INDEX($C25:$AH25,N(VALUE($AK$335))))&gt;0,INDEX($C25:$AH25,VALUE($AI$335))/INDEX($C25:$AH25,N(VALUE($AK$335))),""))))</f>
        <v>0</v>
      </c>
      <c r="BA25" s="60">
        <f>IF(OR($B25="",N(VALUE($AP$335))=0),"",IF(INDEX($C25:$AH25,VALUE($AP$335))="","",IF(N(VALUE($AR$335))=0,INDEX($C25:$AH25,VALUE($AP$335)),IF(N(INDEX($C25:$AH25,N(VALUE($AR$335))))&gt;0,INDEX($C25:$AH25,VALUE($AP$335))/INDEX($C25:$AH25,N(VALUE($AR$335))),""))))</f>
        <v>0</v>
      </c>
      <c r="BB25" s="60">
        <f>IF(OR($B25="",N(VALUE($AQ$335))=0),"",IF(INDEX($C25:$AH25,VALUE($AQ$335))="","",IF(N(VALUE($AS$335))=0,INDEX($C25:$AH25,VALUE($AQ$335)),IF(N(INDEX($C25:$AH25,N(VALUE($AS$335))))&gt;0,INDEX($C25:$AH25,VALUE($AQ$335))/INDEX($C25:$AH25,N(VALUE($AS$335))),""))))</f>
        <v>0</v>
      </c>
    </row>
    <row r="26">
      <c r="A26" s="28">
        <v>15</v>
      </c>
      <c r="B26" s="45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6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32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>
        <f>IF($B26="","",IF($B$2="Todos",SUMIFS(BD!$K$3:$K$5001,BD!$A$3:$A$5001,$B26),SUMIFS(BD!$K$3:$K$5001,BD!$A$3:$A$5001,$B26,BD!$B$3:$B$5001,$D$2)))</f>
        <v>0</v>
      </c>
      <c r="L26" s="32">
        <f>IF($B26="","",IF($B$2="Todos",SUMIFS(BD!$L$3:$L$5001,BD!$A$3:$A$5001,$B26),SUMIFS(BD!$L$3:$L$5001,BD!$A$3:$A$5001,$B26,BD!$B$3:$B$5001,$D$2)))</f>
        <v>0</v>
      </c>
      <c r="M26" s="32">
        <f>IF($B26="","",IF($B$2="Todos",SUMIFS(BD!$M$3:$M$5001,BD!$A$3:$A$5001,$B26),SUMIFS(BD!$M$3:$M$5001,BD!$A$3:$A$5001,$B26,BD!$B$3:$B$5001,$D$2)))</f>
        <v>0</v>
      </c>
      <c r="N26" s="32">
        <f>IF($B26="","",IF($B$2="Todos",SUMIFS(BD!$N$3:$N$5001,BD!$A$3:$A$5001,$B26),SUMIFS(BD!$N$3:$N$5001,BD!$A$3:$A$5001,$B26,BD!$B$3:$B$5001,$D$2)))</f>
        <v>0</v>
      </c>
      <c r="O26" s="32">
        <f>IF($B26="","",IF($B$2="Todos",SUMIFS(BD!$O$3:$O$5001,BD!$A$3:$A$5001,$B26),SUMIFS(BD!$O$3:$O$5001,BD!$A$3:$A$5001,$B26,BD!$B$3:$B$5001,$D$2)))</f>
        <v>0</v>
      </c>
      <c r="P26" s="32">
        <f>IF($B26="","",IF($B$2="Todos",SUMIFS(BD!$P$3:$P$5001,BD!$A$3:$A$5001,$B26),SUMIFS(BD!$P$3:$P$5001,BD!$A$3:$A$5001,$B26,BD!$B$3:$B$5001,$D$2)))</f>
        <v>0</v>
      </c>
      <c r="Q26" s="32">
        <f>IF($B26="","",IF($B$2="Todos",SUMIFS(BD!$Q$3:$Q$5001,BD!$A$3:$A$5001,$B26),SUMIFS(BD!$Q$3:$Q$5001,BD!$A$3:$A$5001,$B26,BD!$B$3:$B$5001,$D$2)))</f>
        <v>0</v>
      </c>
      <c r="R26" s="32">
        <f>IF($B26="","",IF($B$2="Todos",SUMIFS(BD!$R$3:$R$5001,BD!$A$3:$A$5001,$B26),SUMIFS(BD!$R$3:$R$5001,BD!$A$3:$A$5001,$B26,BD!$B$3:$B$5001,$D$2)))</f>
        <v>0</v>
      </c>
      <c r="S26" s="32">
        <f>IF($B26="","",IF($B$2="Todos",SUMIFS(BD!$S$3:$S$5001,BD!$A$3:$A$5001,$B26),SUMIFS(BD!$S$3:$S$5001,BD!$A$3:$A$5001,$B26,BD!$B$3:$B$5001,$D$2)))</f>
        <v>0</v>
      </c>
      <c r="T26" s="46">
        <f>IF($B26="","",IF($B$2="Todos",SUMIFS(BD!$T$3:$T$5001,BD!$A$3:$A$5001,$B26),SUMIFS(BD!$T$3:$T$5001,BD!$A$3:$A$5001,$B26,BD!$B$3:$B$5001,$D$2)))</f>
        <v>0</v>
      </c>
      <c r="U26" s="32">
        <f>IF($B26="","",IF($B$2="Todos",SUMIFS(BD!$U$3:$U$5001,BD!$A$3:$A$5001,$B26),SUMIFS(BD!$U$3:$U$5001,BD!$A$3:$A$5001,$B26,BD!$B$3:$B$5001,$D$2)))</f>
        <v>0</v>
      </c>
      <c r="V26" s="32">
        <f>IF($B26="","",IF($B$2="Todos",SUMIFS(BD!$V$3:$V$5001,BD!$A$3:$A$5001,$B26),SUMIFS(BD!$V$3:$V$5001,BD!$A$3:$A$5001,$B26,BD!$B$3:$B$5001,$D$2)))</f>
        <v>0</v>
      </c>
      <c r="W26" s="32" t="str">
        <f>IF($B$2="Todos",IF(COUNT($C$153:$K$153)=0,"",SUM($C$153:$K$153)),IFERROR(INDEX($C$153:$K$153,MATCH($D$2,$C$138:$K$138,0)),""))</f>
        <v/>
      </c>
      <c r="X26" s="47" t="str">
        <f>IF(Y26="","",IF($B$2="Todos",IF($B$4&gt;0,$B$4,IF($B$2="Todos",IF(COUNT($C$223:$K$223)=0,"",SUM($C$223:$K$223)),IFERROR(INDEX($C$223:$K$223,MATCH($D$2,$C$208:$K$208,0)),""))),IFERROR(INDEX($C$223:$K$223,MATCH($D$2,$C$208:$K$208,0)),"")))</f>
        <v/>
      </c>
      <c r="Y26" s="32" t="str">
        <f>IF($B$2="Todos",IF(COUNT($C$188:$K$188)=0,"",SUM($C$188:$K$188)),IFERROR(INDEX($C$188:$K$188,MATCH($D$2,$C$173:$K$173,0)),""))</f>
        <v/>
      </c>
      <c r="Z26" s="48" t="str">
        <f>IF(AND(ISNUMBER(Y26),ISNUMBER(X26)),IF(X26&gt;0,Y26/X26,""),"")</f>
        <v/>
      </c>
      <c r="AA26" s="32" t="str">
        <f>IF($B$2="Todos",IF(COUNT($C$258:$K$258)=0,"",SUM($C$258:$K$258)),IFERROR(INDEX($C$258:$K$258,MATCH($D$2,$C$243:$K$243,0)),""))</f>
        <v/>
      </c>
      <c r="AB26" s="32">
        <f>IF($B26="","",IF($B$2="Todos",SUMIFS(BD!$AA$3:$AA$5001,BD!$A$3:$A$5001,$B26),SUMIFS(BD!$AA$3:$AA$5001,BD!$A$3:$A$5001,$B26,BD!$B$3:$B$5001,$D$2)))</f>
        <v>0</v>
      </c>
      <c r="AC26" s="32">
        <f>IF($B26="","",IF($B$2="Todos",SUMIFS(BD!$AB$3:$AB$5001,BD!$A$3:$A$5001,$B26),SUMIFS(BD!$AB$3:$AB$5001,BD!$A$3:$A$5001,$B26,BD!$B$3:$B$5001,$D$2)))</f>
        <v>0</v>
      </c>
      <c r="AD26" s="32">
        <f>IF($B26="","",IF($B$2="Todos",SUMIFS(BD!$AC$3:$AC$5001,BD!$A$3:$A$5001,$B26),SUMIFS(BD!$AC$3:$AC$5001,BD!$A$3:$A$5001,$B26,BD!$B$3:$B$5001,$D$2)))</f>
        <v>0</v>
      </c>
      <c r="AE26" s="32">
        <f>IF($B26="","",IF($B$2="Todos",SUMIFS(BD!$AD$3:$AD$5001,BD!$A$3:$A$5001,$B26),SUMIFS(BD!$AD$3:$AD$5001,BD!$A$3:$A$5001,$B26,BD!$B$3:$B$5001,$D$2)))</f>
        <v>0</v>
      </c>
      <c r="AF26" s="32">
        <f>IF($B26="","",IF($B$2="Todos",SUMIFS(BD!$AE$3:$AE$5001,BD!$A$3:$A$5001,$B26),SUMIFS(BD!$AE$3:$AE$5001,BD!$A$3:$A$5001,$B26,BD!$B$3:$B$5001,$D$2)))</f>
        <v>0</v>
      </c>
      <c r="AG26" s="32">
        <f>IF($B26="","",IF($B$2="Todos",SUMIFS(BD!$AF$3:$AF$5001,BD!$A$3:$A$5001,$B26),SUMIFS(BD!$AF$3:$AF$5001,BD!$A$3:$A$5001,$B26,BD!$B$3:$B$5001,$D$2)))</f>
        <v>0</v>
      </c>
      <c r="AH26" s="32">
        <f>IF($B26="","",IF($B$2="Todos",SUMIFS(BD!$AG$3:$AG$5001,BD!$A$3:$A$5001,$B26),SUMIFS(BD!$AG$3:$AG$5001,BD!$A$3:$A$5001,$B26,BD!$B$3:$B$5001,$D$2)))</f>
        <v>0</v>
      </c>
      <c r="AI26" s="49">
        <f>$B$5</f>
        <v>0.7</v>
      </c>
      <c r="AJ26" s="49">
        <f>$B$6</f>
        <v>0.9</v>
      </c>
      <c r="AY26" s="60">
        <f>IF(OR($B26="",N(VALUE($AH$335))=0),"",IF(INDEX($C26:$AH26,VALUE($AH$335))="","",IF(N(VALUE($AJ$335))=0,INDEX($C26:$AH26,VALUE($AH$335)),IF(N(INDEX($C26:$AH26,N(VALUE($AJ$335))))&gt;0,INDEX($C26:$AH26,VALUE($AH$335))/INDEX($C26:$AH26,N(VALUE($AJ$335))),""))))</f>
        <v>0</v>
      </c>
      <c r="AZ26" s="60">
        <f>IF(OR($B26="",N(VALUE($AI$335))=0),"",IF(INDEX($C26:$AH26,VALUE($AI$335))="","",IF(N(VALUE($AK$335))=0,INDEX($C26:$AH26,VALUE($AI$335)),IF(N(INDEX($C26:$AH26,N(VALUE($AK$335))))&gt;0,INDEX($C26:$AH26,VALUE($AI$335))/INDEX($C26:$AH26,N(VALUE($AK$335))),""))))</f>
        <v>0</v>
      </c>
      <c r="BA26" s="60">
        <f>IF(OR($B26="",N(VALUE($AP$335))=0),"",IF(INDEX($C26:$AH26,VALUE($AP$335))="","",IF(N(VALUE($AR$335))=0,INDEX($C26:$AH26,VALUE($AP$335)),IF(N(INDEX($C26:$AH26,N(VALUE($AR$335))))&gt;0,INDEX($C26:$AH26,VALUE($AP$335))/INDEX($C26:$AH26,N(VALUE($AR$335))),""))))</f>
        <v>0</v>
      </c>
      <c r="BB26" s="60">
        <f>IF(OR($B26="",N(VALUE($AQ$335))=0),"",IF(INDEX($C26:$AH26,VALUE($AQ$335))="","",IF(N(VALUE($AS$335))=0,INDEX($C26:$AH26,VALUE($AQ$335)),IF(N(INDEX($C26:$AH26,N(VALUE($AS$335))))&gt;0,INDEX($C26:$AH26,VALUE($AQ$335))/INDEX($C26:$AH26,N(VALUE($AS$335))),""))))</f>
        <v>0</v>
      </c>
    </row>
    <row r="27">
      <c r="A27" s="28">
        <v>16</v>
      </c>
      <c r="B27" s="45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6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32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>
        <f>IF($B27="","",IF($B$2="Todos",SUMIFS(BD!$K$3:$K$5001,BD!$A$3:$A$5001,$B27),SUMIFS(BD!$K$3:$K$5001,BD!$A$3:$A$5001,$B27,BD!$B$3:$B$5001,$D$2)))</f>
        <v>0</v>
      </c>
      <c r="L27" s="32">
        <f>IF($B27="","",IF($B$2="Todos",SUMIFS(BD!$L$3:$L$5001,BD!$A$3:$A$5001,$B27),SUMIFS(BD!$L$3:$L$5001,BD!$A$3:$A$5001,$B27,BD!$B$3:$B$5001,$D$2)))</f>
        <v>0</v>
      </c>
      <c r="M27" s="32">
        <f>IF($B27="","",IF($B$2="Todos",SUMIFS(BD!$M$3:$M$5001,BD!$A$3:$A$5001,$B27),SUMIFS(BD!$M$3:$M$5001,BD!$A$3:$A$5001,$B27,BD!$B$3:$B$5001,$D$2)))</f>
        <v>0</v>
      </c>
      <c r="N27" s="32">
        <f>IF($B27="","",IF($B$2="Todos",SUMIFS(BD!$N$3:$N$5001,BD!$A$3:$A$5001,$B27),SUMIFS(BD!$N$3:$N$5001,BD!$A$3:$A$5001,$B27,BD!$B$3:$B$5001,$D$2)))</f>
        <v>0</v>
      </c>
      <c r="O27" s="32">
        <f>IF($B27="","",IF($B$2="Todos",SUMIFS(BD!$O$3:$O$5001,BD!$A$3:$A$5001,$B27),SUMIFS(BD!$O$3:$O$5001,BD!$A$3:$A$5001,$B27,BD!$B$3:$B$5001,$D$2)))</f>
        <v>0</v>
      </c>
      <c r="P27" s="32">
        <f>IF($B27="","",IF($B$2="Todos",SUMIFS(BD!$P$3:$P$5001,BD!$A$3:$A$5001,$B27),SUMIFS(BD!$P$3:$P$5001,BD!$A$3:$A$5001,$B27,BD!$B$3:$B$5001,$D$2)))</f>
        <v>0</v>
      </c>
      <c r="Q27" s="32">
        <f>IF($B27="","",IF($B$2="Todos",SUMIFS(BD!$Q$3:$Q$5001,BD!$A$3:$A$5001,$B27),SUMIFS(BD!$Q$3:$Q$5001,BD!$A$3:$A$5001,$B27,BD!$B$3:$B$5001,$D$2)))</f>
        <v>0</v>
      </c>
      <c r="R27" s="32">
        <f>IF($B27="","",IF($B$2="Todos",SUMIFS(BD!$R$3:$R$5001,BD!$A$3:$A$5001,$B27),SUMIFS(BD!$R$3:$R$5001,BD!$A$3:$A$5001,$B27,BD!$B$3:$B$5001,$D$2)))</f>
        <v>0</v>
      </c>
      <c r="S27" s="32">
        <f>IF($B27="","",IF($B$2="Todos",SUMIFS(BD!$S$3:$S$5001,BD!$A$3:$A$5001,$B27),SUMIFS(BD!$S$3:$S$5001,BD!$A$3:$A$5001,$B27,BD!$B$3:$B$5001,$D$2)))</f>
        <v>0</v>
      </c>
      <c r="T27" s="46">
        <f>IF($B27="","",IF($B$2="Todos",SUMIFS(BD!$T$3:$T$5001,BD!$A$3:$A$5001,$B27),SUMIFS(BD!$T$3:$T$5001,BD!$A$3:$A$5001,$B27,BD!$B$3:$B$5001,$D$2)))</f>
        <v>0</v>
      </c>
      <c r="U27" s="32">
        <f>IF($B27="","",IF($B$2="Todos",SUMIFS(BD!$U$3:$U$5001,BD!$A$3:$A$5001,$B27),SUMIFS(BD!$U$3:$U$5001,BD!$A$3:$A$5001,$B27,BD!$B$3:$B$5001,$D$2)))</f>
        <v>0</v>
      </c>
      <c r="V27" s="32">
        <f>IF($B27="","",IF($B$2="Todos",SUMIFS(BD!$V$3:$V$5001,BD!$A$3:$A$5001,$B27),SUMIFS(BD!$V$3:$V$5001,BD!$A$3:$A$5001,$B27,BD!$B$3:$B$5001,$D$2)))</f>
        <v>0</v>
      </c>
      <c r="W27" s="32" t="str">
        <f>IF($B$2="Todos",IF(COUNT($C$154:$K$154)=0,"",SUM($C$154:$K$154)),IFERROR(INDEX($C$154:$K$154,MATCH($D$2,$C$138:$K$138,0)),""))</f>
        <v/>
      </c>
      <c r="X27" s="47" t="str">
        <f>IF(Y27="","",IF($B$2="Todos",IF($B$4&gt;0,$B$4,IF($B$2="Todos",IF(COUNT($C$224:$K$224)=0,"",SUM($C$224:$K$224)),IFERROR(INDEX($C$224:$K$224,MATCH($D$2,$C$208:$K$208,0)),""))),IFERROR(INDEX($C$224:$K$224,MATCH($D$2,$C$208:$K$208,0)),"")))</f>
        <v/>
      </c>
      <c r="Y27" s="32" t="str">
        <f>IF($B$2="Todos",IF(COUNT($C$189:$K$189)=0,"",SUM($C$189:$K$189)),IFERROR(INDEX($C$189:$K$189,MATCH($D$2,$C$173:$K$173,0)),""))</f>
        <v/>
      </c>
      <c r="Z27" s="48" t="str">
        <f>IF(AND(ISNUMBER(Y27),ISNUMBER(X27)),IF(X27&gt;0,Y27/X27,""),"")</f>
        <v/>
      </c>
      <c r="AA27" s="32" t="str">
        <f>IF($B$2="Todos",IF(COUNT($C$259:$K$259)=0,"",SUM($C$259:$K$259)),IFERROR(INDEX($C$259:$K$259,MATCH($D$2,$C$243:$K$243,0)),""))</f>
        <v/>
      </c>
      <c r="AB27" s="32">
        <f>IF($B27="","",IF($B$2="Todos",SUMIFS(BD!$AA$3:$AA$5001,BD!$A$3:$A$5001,$B27),SUMIFS(BD!$AA$3:$AA$5001,BD!$A$3:$A$5001,$B27,BD!$B$3:$B$5001,$D$2)))</f>
        <v>0</v>
      </c>
      <c r="AC27" s="32">
        <f>IF($B27="","",IF($B$2="Todos",SUMIFS(BD!$AB$3:$AB$5001,BD!$A$3:$A$5001,$B27),SUMIFS(BD!$AB$3:$AB$5001,BD!$A$3:$A$5001,$B27,BD!$B$3:$B$5001,$D$2)))</f>
        <v>0</v>
      </c>
      <c r="AD27" s="32">
        <f>IF($B27="","",IF($B$2="Todos",SUMIFS(BD!$AC$3:$AC$5001,BD!$A$3:$A$5001,$B27),SUMIFS(BD!$AC$3:$AC$5001,BD!$A$3:$A$5001,$B27,BD!$B$3:$B$5001,$D$2)))</f>
        <v>0</v>
      </c>
      <c r="AE27" s="32">
        <f>IF($B27="","",IF($B$2="Todos",SUMIFS(BD!$AD$3:$AD$5001,BD!$A$3:$A$5001,$B27),SUMIFS(BD!$AD$3:$AD$5001,BD!$A$3:$A$5001,$B27,BD!$B$3:$B$5001,$D$2)))</f>
        <v>0</v>
      </c>
      <c r="AF27" s="32">
        <f>IF($B27="","",IF($B$2="Todos",SUMIFS(BD!$AE$3:$AE$5001,BD!$A$3:$A$5001,$B27),SUMIFS(BD!$AE$3:$AE$5001,BD!$A$3:$A$5001,$B27,BD!$B$3:$B$5001,$D$2)))</f>
        <v>0</v>
      </c>
      <c r="AG27" s="32">
        <f>IF($B27="","",IF($B$2="Todos",SUMIFS(BD!$AF$3:$AF$5001,BD!$A$3:$A$5001,$B27),SUMIFS(BD!$AF$3:$AF$5001,BD!$A$3:$A$5001,$B27,BD!$B$3:$B$5001,$D$2)))</f>
        <v>0</v>
      </c>
      <c r="AH27" s="32">
        <f>IF($B27="","",IF($B$2="Todos",SUMIFS(BD!$AG$3:$AG$5001,BD!$A$3:$A$5001,$B27),SUMIFS(BD!$AG$3:$AG$5001,BD!$A$3:$A$5001,$B27,BD!$B$3:$B$5001,$D$2)))</f>
        <v>0</v>
      </c>
      <c r="AI27" s="49">
        <f>$B$5</f>
        <v>0.7</v>
      </c>
      <c r="AJ27" s="49">
        <f>$B$6</f>
        <v>0.9</v>
      </c>
      <c r="AY27" s="60">
        <f>IF(OR($B27="",N(VALUE($AH$335))=0),"",IF(INDEX($C27:$AH27,VALUE($AH$335))="","",IF(N(VALUE($AJ$335))=0,INDEX($C27:$AH27,VALUE($AH$335)),IF(N(INDEX($C27:$AH27,N(VALUE($AJ$335))))&gt;0,INDEX($C27:$AH27,VALUE($AH$335))/INDEX($C27:$AH27,N(VALUE($AJ$335))),""))))</f>
        <v>0</v>
      </c>
      <c r="AZ27" s="60">
        <f>IF(OR($B27="",N(VALUE($AI$335))=0),"",IF(INDEX($C27:$AH27,VALUE($AI$335))="","",IF(N(VALUE($AK$335))=0,INDEX($C27:$AH27,VALUE($AI$335)),IF(N(INDEX($C27:$AH27,N(VALUE($AK$335))))&gt;0,INDEX($C27:$AH27,VALUE($AI$335))/INDEX($C27:$AH27,N(VALUE($AK$335))),""))))</f>
        <v>0</v>
      </c>
      <c r="BA27" s="60">
        <f>IF(OR($B27="",N(VALUE($AP$335))=0),"",IF(INDEX($C27:$AH27,VALUE($AP$335))="","",IF(N(VALUE($AR$335))=0,INDEX($C27:$AH27,VALUE($AP$335)),IF(N(INDEX($C27:$AH27,N(VALUE($AR$335))))&gt;0,INDEX($C27:$AH27,VALUE($AP$335))/INDEX($C27:$AH27,N(VALUE($AR$335))),""))))</f>
        <v>0</v>
      </c>
      <c r="BB27" s="60">
        <f>IF(OR($B27="",N(VALUE($AQ$335))=0),"",IF(INDEX($C27:$AH27,VALUE($AQ$335))="","",IF(N(VALUE($AS$335))=0,INDEX($C27:$AH27,VALUE($AQ$335)),IF(N(INDEX($C27:$AH27,N(VALUE($AS$335))))&gt;0,INDEX($C27:$AH27,VALUE($AQ$335))/INDEX($C27:$AH27,N(VALUE($AS$335))),""))))</f>
        <v>0</v>
      </c>
    </row>
    <row r="28">
      <c r="A28" s="28">
        <v>17</v>
      </c>
      <c r="B28" s="45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6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32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>
        <f>IF($B28="","",IF($B$2="Todos",SUMIFS(BD!$K$3:$K$5001,BD!$A$3:$A$5001,$B28),SUMIFS(BD!$K$3:$K$5001,BD!$A$3:$A$5001,$B28,BD!$B$3:$B$5001,$D$2)))</f>
        <v>0</v>
      </c>
      <c r="L28" s="32">
        <f>IF($B28="","",IF($B$2="Todos",SUMIFS(BD!$L$3:$L$5001,BD!$A$3:$A$5001,$B28),SUMIFS(BD!$L$3:$L$5001,BD!$A$3:$A$5001,$B28,BD!$B$3:$B$5001,$D$2)))</f>
        <v>0</v>
      </c>
      <c r="M28" s="32">
        <f>IF($B28="","",IF($B$2="Todos",SUMIFS(BD!$M$3:$M$5001,BD!$A$3:$A$5001,$B28),SUMIFS(BD!$M$3:$M$5001,BD!$A$3:$A$5001,$B28,BD!$B$3:$B$5001,$D$2)))</f>
        <v>0</v>
      </c>
      <c r="N28" s="32">
        <f>IF($B28="","",IF($B$2="Todos",SUMIFS(BD!$N$3:$N$5001,BD!$A$3:$A$5001,$B28),SUMIFS(BD!$N$3:$N$5001,BD!$A$3:$A$5001,$B28,BD!$B$3:$B$5001,$D$2)))</f>
        <v>0</v>
      </c>
      <c r="O28" s="32">
        <f>IF($B28="","",IF($B$2="Todos",SUMIFS(BD!$O$3:$O$5001,BD!$A$3:$A$5001,$B28),SUMIFS(BD!$O$3:$O$5001,BD!$A$3:$A$5001,$B28,BD!$B$3:$B$5001,$D$2)))</f>
        <v>0</v>
      </c>
      <c r="P28" s="32">
        <f>IF($B28="","",IF($B$2="Todos",SUMIFS(BD!$P$3:$P$5001,BD!$A$3:$A$5001,$B28),SUMIFS(BD!$P$3:$P$5001,BD!$A$3:$A$5001,$B28,BD!$B$3:$B$5001,$D$2)))</f>
        <v>0</v>
      </c>
      <c r="Q28" s="32">
        <f>IF($B28="","",IF($B$2="Todos",SUMIFS(BD!$Q$3:$Q$5001,BD!$A$3:$A$5001,$B28),SUMIFS(BD!$Q$3:$Q$5001,BD!$A$3:$A$5001,$B28,BD!$B$3:$B$5001,$D$2)))</f>
        <v>0</v>
      </c>
      <c r="R28" s="32">
        <f>IF($B28="","",IF($B$2="Todos",SUMIFS(BD!$R$3:$R$5001,BD!$A$3:$A$5001,$B28),SUMIFS(BD!$R$3:$R$5001,BD!$A$3:$A$5001,$B28,BD!$B$3:$B$5001,$D$2)))</f>
        <v>0</v>
      </c>
      <c r="S28" s="32">
        <f>IF($B28="","",IF($B$2="Todos",SUMIFS(BD!$S$3:$S$5001,BD!$A$3:$A$5001,$B28),SUMIFS(BD!$S$3:$S$5001,BD!$A$3:$A$5001,$B28,BD!$B$3:$B$5001,$D$2)))</f>
        <v>0</v>
      </c>
      <c r="T28" s="46">
        <f>IF($B28="","",IF($B$2="Todos",SUMIFS(BD!$T$3:$T$5001,BD!$A$3:$A$5001,$B28),SUMIFS(BD!$T$3:$T$5001,BD!$A$3:$A$5001,$B28,BD!$B$3:$B$5001,$D$2)))</f>
        <v>0</v>
      </c>
      <c r="U28" s="32">
        <f>IF($B28="","",IF($B$2="Todos",SUMIFS(BD!$U$3:$U$5001,BD!$A$3:$A$5001,$B28),SUMIFS(BD!$U$3:$U$5001,BD!$A$3:$A$5001,$B28,BD!$B$3:$B$5001,$D$2)))</f>
        <v>0</v>
      </c>
      <c r="V28" s="32">
        <f>IF($B28="","",IF($B$2="Todos",SUMIFS(BD!$V$3:$V$5001,BD!$A$3:$A$5001,$B28),SUMIFS(BD!$V$3:$V$5001,BD!$A$3:$A$5001,$B28,BD!$B$3:$B$5001,$D$2)))</f>
        <v>0</v>
      </c>
      <c r="W28" s="32" t="str">
        <f>IF($B$2="Todos",IF(COUNT($C$155:$K$155)=0,"",SUM($C$155:$K$155)),IFERROR(INDEX($C$155:$K$155,MATCH($D$2,$C$138:$K$138,0)),""))</f>
        <v/>
      </c>
      <c r="X28" s="47" t="str">
        <f>IF(Y28="","",IF($B$2="Todos",IF($B$4&gt;0,$B$4,IF($B$2="Todos",IF(COUNT($C$225:$K$225)=0,"",SUM($C$225:$K$225)),IFERROR(INDEX($C$225:$K$225,MATCH($D$2,$C$208:$K$208,0)),""))),IFERROR(INDEX($C$225:$K$225,MATCH($D$2,$C$208:$K$208,0)),"")))</f>
        <v/>
      </c>
      <c r="Y28" s="32" t="str">
        <f>IF($B$2="Todos",IF(COUNT($C$190:$K$190)=0,"",SUM($C$190:$K$190)),IFERROR(INDEX($C$190:$K$190,MATCH($D$2,$C$173:$K$173,0)),""))</f>
        <v/>
      </c>
      <c r="Z28" s="48" t="str">
        <f>IF(AND(ISNUMBER(Y28),ISNUMBER(X28)),IF(X28&gt;0,Y28/X28,""),"")</f>
        <v/>
      </c>
      <c r="AA28" s="32" t="str">
        <f>IF($B$2="Todos",IF(COUNT($C$260:$K$260)=0,"",SUM($C$260:$K$260)),IFERROR(INDEX($C$260:$K$260,MATCH($D$2,$C$243:$K$243,0)),""))</f>
        <v/>
      </c>
      <c r="AB28" s="32">
        <f>IF($B28="","",IF($B$2="Todos",SUMIFS(BD!$AA$3:$AA$5001,BD!$A$3:$A$5001,$B28),SUMIFS(BD!$AA$3:$AA$5001,BD!$A$3:$A$5001,$B28,BD!$B$3:$B$5001,$D$2)))</f>
        <v>0</v>
      </c>
      <c r="AC28" s="32">
        <f>IF($B28="","",IF($B$2="Todos",SUMIFS(BD!$AB$3:$AB$5001,BD!$A$3:$A$5001,$B28),SUMIFS(BD!$AB$3:$AB$5001,BD!$A$3:$A$5001,$B28,BD!$B$3:$B$5001,$D$2)))</f>
        <v>0</v>
      </c>
      <c r="AD28" s="32">
        <f>IF($B28="","",IF($B$2="Todos",SUMIFS(BD!$AC$3:$AC$5001,BD!$A$3:$A$5001,$B28),SUMIFS(BD!$AC$3:$AC$5001,BD!$A$3:$A$5001,$B28,BD!$B$3:$B$5001,$D$2)))</f>
        <v>0</v>
      </c>
      <c r="AE28" s="32">
        <f>IF($B28="","",IF($B$2="Todos",SUMIFS(BD!$AD$3:$AD$5001,BD!$A$3:$A$5001,$B28),SUMIFS(BD!$AD$3:$AD$5001,BD!$A$3:$A$5001,$B28,BD!$B$3:$B$5001,$D$2)))</f>
        <v>0</v>
      </c>
      <c r="AF28" s="32">
        <f>IF($B28="","",IF($B$2="Todos",SUMIFS(BD!$AE$3:$AE$5001,BD!$A$3:$A$5001,$B28),SUMIFS(BD!$AE$3:$AE$5001,BD!$A$3:$A$5001,$B28,BD!$B$3:$B$5001,$D$2)))</f>
        <v>0</v>
      </c>
      <c r="AG28" s="32">
        <f>IF($B28="","",IF($B$2="Todos",SUMIFS(BD!$AF$3:$AF$5001,BD!$A$3:$A$5001,$B28),SUMIFS(BD!$AF$3:$AF$5001,BD!$A$3:$A$5001,$B28,BD!$B$3:$B$5001,$D$2)))</f>
        <v>0</v>
      </c>
      <c r="AH28" s="32">
        <f>IF($B28="","",IF($B$2="Todos",SUMIFS(BD!$AG$3:$AG$5001,BD!$A$3:$A$5001,$B28),SUMIFS(BD!$AG$3:$AG$5001,BD!$A$3:$A$5001,$B28,BD!$B$3:$B$5001,$D$2)))</f>
        <v>0</v>
      </c>
      <c r="AI28" s="49">
        <f>$B$5</f>
        <v>0.7</v>
      </c>
      <c r="AJ28" s="49">
        <f>$B$6</f>
        <v>0.9</v>
      </c>
      <c r="AY28" s="60">
        <f>IF(OR($B28="",N(VALUE($AH$335))=0),"",IF(INDEX($C28:$AH28,VALUE($AH$335))="","",IF(N(VALUE($AJ$335))=0,INDEX($C28:$AH28,VALUE($AH$335)),IF(N(INDEX($C28:$AH28,N(VALUE($AJ$335))))&gt;0,INDEX($C28:$AH28,VALUE($AH$335))/INDEX($C28:$AH28,N(VALUE($AJ$335))),""))))</f>
        <v>0</v>
      </c>
      <c r="AZ28" s="60">
        <f>IF(OR($B28="",N(VALUE($AI$335))=0),"",IF(INDEX($C28:$AH28,VALUE($AI$335))="","",IF(N(VALUE($AK$335))=0,INDEX($C28:$AH28,VALUE($AI$335)),IF(N(INDEX($C28:$AH28,N(VALUE($AK$335))))&gt;0,INDEX($C28:$AH28,VALUE($AI$335))/INDEX($C28:$AH28,N(VALUE($AK$335))),""))))</f>
        <v>0</v>
      </c>
      <c r="BA28" s="60">
        <f>IF(OR($B28="",N(VALUE($AP$335))=0),"",IF(INDEX($C28:$AH28,VALUE($AP$335))="","",IF(N(VALUE($AR$335))=0,INDEX($C28:$AH28,VALUE($AP$335)),IF(N(INDEX($C28:$AH28,N(VALUE($AR$335))))&gt;0,INDEX($C28:$AH28,VALUE($AP$335))/INDEX($C28:$AH28,N(VALUE($AR$335))),""))))</f>
        <v>0</v>
      </c>
      <c r="BB28" s="60">
        <f>IF(OR($B28="",N(VALUE($AQ$335))=0),"",IF(INDEX($C28:$AH28,VALUE($AQ$335))="","",IF(N(VALUE($AS$335))=0,INDEX($C28:$AH28,VALUE($AQ$335)),IF(N(INDEX($C28:$AH28,N(VALUE($AS$335))))&gt;0,INDEX($C28:$AH28,VALUE($AQ$335))/INDEX($C28:$AH28,N(VALUE($AS$335))),""))))</f>
        <v>0</v>
      </c>
    </row>
    <row r="29">
      <c r="A29" s="28">
        <v>18</v>
      </c>
      <c r="B29" s="45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6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32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>
        <f>IF($B29="","",IF($B$2="Todos",SUMIFS(BD!$K$3:$K$5001,BD!$A$3:$A$5001,$B29),SUMIFS(BD!$K$3:$K$5001,BD!$A$3:$A$5001,$B29,BD!$B$3:$B$5001,$D$2)))</f>
        <v>0</v>
      </c>
      <c r="L29" s="32">
        <f>IF($B29="","",IF($B$2="Todos",SUMIFS(BD!$L$3:$L$5001,BD!$A$3:$A$5001,$B29),SUMIFS(BD!$L$3:$L$5001,BD!$A$3:$A$5001,$B29,BD!$B$3:$B$5001,$D$2)))</f>
        <v>0</v>
      </c>
      <c r="M29" s="32">
        <f>IF($B29="","",IF($B$2="Todos",SUMIFS(BD!$M$3:$M$5001,BD!$A$3:$A$5001,$B29),SUMIFS(BD!$M$3:$M$5001,BD!$A$3:$A$5001,$B29,BD!$B$3:$B$5001,$D$2)))</f>
        <v>0</v>
      </c>
      <c r="N29" s="32">
        <f>IF($B29="","",IF($B$2="Todos",SUMIFS(BD!$N$3:$N$5001,BD!$A$3:$A$5001,$B29),SUMIFS(BD!$N$3:$N$5001,BD!$A$3:$A$5001,$B29,BD!$B$3:$B$5001,$D$2)))</f>
        <v>0</v>
      </c>
      <c r="O29" s="32">
        <f>IF($B29="","",IF($B$2="Todos",SUMIFS(BD!$O$3:$O$5001,BD!$A$3:$A$5001,$B29),SUMIFS(BD!$O$3:$O$5001,BD!$A$3:$A$5001,$B29,BD!$B$3:$B$5001,$D$2)))</f>
        <v>0</v>
      </c>
      <c r="P29" s="32">
        <f>IF($B29="","",IF($B$2="Todos",SUMIFS(BD!$P$3:$P$5001,BD!$A$3:$A$5001,$B29),SUMIFS(BD!$P$3:$P$5001,BD!$A$3:$A$5001,$B29,BD!$B$3:$B$5001,$D$2)))</f>
        <v>0</v>
      </c>
      <c r="Q29" s="32">
        <f>IF($B29="","",IF($B$2="Todos",SUMIFS(BD!$Q$3:$Q$5001,BD!$A$3:$A$5001,$B29),SUMIFS(BD!$Q$3:$Q$5001,BD!$A$3:$A$5001,$B29,BD!$B$3:$B$5001,$D$2)))</f>
        <v>0</v>
      </c>
      <c r="R29" s="32">
        <f>IF($B29="","",IF($B$2="Todos",SUMIFS(BD!$R$3:$R$5001,BD!$A$3:$A$5001,$B29),SUMIFS(BD!$R$3:$R$5001,BD!$A$3:$A$5001,$B29,BD!$B$3:$B$5001,$D$2)))</f>
        <v>0</v>
      </c>
      <c r="S29" s="32">
        <f>IF($B29="","",IF($B$2="Todos",SUMIFS(BD!$S$3:$S$5001,BD!$A$3:$A$5001,$B29),SUMIFS(BD!$S$3:$S$5001,BD!$A$3:$A$5001,$B29,BD!$B$3:$B$5001,$D$2)))</f>
        <v>0</v>
      </c>
      <c r="T29" s="46">
        <f>IF($B29="","",IF($B$2="Todos",SUMIFS(BD!$T$3:$T$5001,BD!$A$3:$A$5001,$B29),SUMIFS(BD!$T$3:$T$5001,BD!$A$3:$A$5001,$B29,BD!$B$3:$B$5001,$D$2)))</f>
        <v>0</v>
      </c>
      <c r="U29" s="32">
        <f>IF($B29="","",IF($B$2="Todos",SUMIFS(BD!$U$3:$U$5001,BD!$A$3:$A$5001,$B29),SUMIFS(BD!$U$3:$U$5001,BD!$A$3:$A$5001,$B29,BD!$B$3:$B$5001,$D$2)))</f>
        <v>0</v>
      </c>
      <c r="V29" s="32">
        <f>IF($B29="","",IF($B$2="Todos",SUMIFS(BD!$V$3:$V$5001,BD!$A$3:$A$5001,$B29),SUMIFS(BD!$V$3:$V$5001,BD!$A$3:$A$5001,$B29,BD!$B$3:$B$5001,$D$2)))</f>
        <v>0</v>
      </c>
      <c r="W29" s="32" t="str">
        <f>IF($B$2="Todos",IF(COUNT($C$156:$K$156)=0,"",SUM($C$156:$K$156)),IFERROR(INDEX($C$156:$K$156,MATCH($D$2,$C$138:$K$138,0)),""))</f>
        <v/>
      </c>
      <c r="X29" s="47" t="str">
        <f>IF(Y29="","",IF($B$2="Todos",IF($B$4&gt;0,$B$4,IF($B$2="Todos",IF(COUNT($C$226:$K$226)=0,"",SUM($C$226:$K$226)),IFERROR(INDEX($C$226:$K$226,MATCH($D$2,$C$208:$K$208,0)),""))),IFERROR(INDEX($C$226:$K$226,MATCH($D$2,$C$208:$K$208,0)),"")))</f>
        <v/>
      </c>
      <c r="Y29" s="32" t="str">
        <f>IF($B$2="Todos",IF(COUNT($C$191:$K$191)=0,"",SUM($C$191:$K$191)),IFERROR(INDEX($C$191:$K$191,MATCH($D$2,$C$173:$K$173,0)),""))</f>
        <v/>
      </c>
      <c r="Z29" s="48" t="str">
        <f>IF(AND(ISNUMBER(Y29),ISNUMBER(X29)),IF(X29&gt;0,Y29/X29,""),"")</f>
        <v/>
      </c>
      <c r="AA29" s="32" t="str">
        <f>IF($B$2="Todos",IF(COUNT($C$261:$K$261)=0,"",SUM($C$261:$K$261)),IFERROR(INDEX($C$261:$K$261,MATCH($D$2,$C$243:$K$243,0)),""))</f>
        <v/>
      </c>
      <c r="AB29" s="32">
        <f>IF($B29="","",IF($B$2="Todos",SUMIFS(BD!$AA$3:$AA$5001,BD!$A$3:$A$5001,$B29),SUMIFS(BD!$AA$3:$AA$5001,BD!$A$3:$A$5001,$B29,BD!$B$3:$B$5001,$D$2)))</f>
        <v>0</v>
      </c>
      <c r="AC29" s="32">
        <f>IF($B29="","",IF($B$2="Todos",SUMIFS(BD!$AB$3:$AB$5001,BD!$A$3:$A$5001,$B29),SUMIFS(BD!$AB$3:$AB$5001,BD!$A$3:$A$5001,$B29,BD!$B$3:$B$5001,$D$2)))</f>
        <v>0</v>
      </c>
      <c r="AD29" s="32">
        <f>IF($B29="","",IF($B$2="Todos",SUMIFS(BD!$AC$3:$AC$5001,BD!$A$3:$A$5001,$B29),SUMIFS(BD!$AC$3:$AC$5001,BD!$A$3:$A$5001,$B29,BD!$B$3:$B$5001,$D$2)))</f>
        <v>0</v>
      </c>
      <c r="AE29" s="32">
        <f>IF($B29="","",IF($B$2="Todos",SUMIFS(BD!$AD$3:$AD$5001,BD!$A$3:$A$5001,$B29),SUMIFS(BD!$AD$3:$AD$5001,BD!$A$3:$A$5001,$B29,BD!$B$3:$B$5001,$D$2)))</f>
        <v>0</v>
      </c>
      <c r="AF29" s="32">
        <f>IF($B29="","",IF($B$2="Todos",SUMIFS(BD!$AE$3:$AE$5001,BD!$A$3:$A$5001,$B29),SUMIFS(BD!$AE$3:$AE$5001,BD!$A$3:$A$5001,$B29,BD!$B$3:$B$5001,$D$2)))</f>
        <v>0</v>
      </c>
      <c r="AG29" s="32">
        <f>IF($B29="","",IF($B$2="Todos",SUMIFS(BD!$AF$3:$AF$5001,BD!$A$3:$A$5001,$B29),SUMIFS(BD!$AF$3:$AF$5001,BD!$A$3:$A$5001,$B29,BD!$B$3:$B$5001,$D$2)))</f>
        <v>0</v>
      </c>
      <c r="AH29" s="32">
        <f>IF($B29="","",IF($B$2="Todos",SUMIFS(BD!$AG$3:$AG$5001,BD!$A$3:$A$5001,$B29),SUMIFS(BD!$AG$3:$AG$5001,BD!$A$3:$A$5001,$B29,BD!$B$3:$B$5001,$D$2)))</f>
        <v>0</v>
      </c>
      <c r="AI29" s="49">
        <f>$B$5</f>
        <v>0.7</v>
      </c>
      <c r="AJ29" s="49">
        <f>$B$6</f>
        <v>0.9</v>
      </c>
      <c r="AY29" s="60">
        <f>IF(OR($B29="",N(VALUE($AH$335))=0),"",IF(INDEX($C29:$AH29,VALUE($AH$335))="","",IF(N(VALUE($AJ$335))=0,INDEX($C29:$AH29,VALUE($AH$335)),IF(N(INDEX($C29:$AH29,N(VALUE($AJ$335))))&gt;0,INDEX($C29:$AH29,VALUE($AH$335))/INDEX($C29:$AH29,N(VALUE($AJ$335))),""))))</f>
        <v>0</v>
      </c>
      <c r="AZ29" s="60">
        <f>IF(OR($B29="",N(VALUE($AI$335))=0),"",IF(INDEX($C29:$AH29,VALUE($AI$335))="","",IF(N(VALUE($AK$335))=0,INDEX($C29:$AH29,VALUE($AI$335)),IF(N(INDEX($C29:$AH29,N(VALUE($AK$335))))&gt;0,INDEX($C29:$AH29,VALUE($AI$335))/INDEX($C29:$AH29,N(VALUE($AK$335))),""))))</f>
        <v>0</v>
      </c>
      <c r="BA29" s="60">
        <f>IF(OR($B29="",N(VALUE($AP$335))=0),"",IF(INDEX($C29:$AH29,VALUE($AP$335))="","",IF(N(VALUE($AR$335))=0,INDEX($C29:$AH29,VALUE($AP$335)),IF(N(INDEX($C29:$AH29,N(VALUE($AR$335))))&gt;0,INDEX($C29:$AH29,VALUE($AP$335))/INDEX($C29:$AH29,N(VALUE($AR$335))),""))))</f>
        <v>0</v>
      </c>
      <c r="BB29" s="60">
        <f>IF(OR($B29="",N(VALUE($AQ$335))=0),"",IF(INDEX($C29:$AH29,VALUE($AQ$335))="","",IF(N(VALUE($AS$335))=0,INDEX($C29:$AH29,VALUE($AQ$335)),IF(N(INDEX($C29:$AH29,N(VALUE($AS$335))))&gt;0,INDEX($C29:$AH29,VALUE($AQ$335))/INDEX($C29:$AH29,N(VALUE($AS$335))),""))))</f>
        <v>0</v>
      </c>
    </row>
    <row r="30">
      <c r="A30" s="28">
        <v>19</v>
      </c>
      <c r="B30" s="45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6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32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>
        <f>IF($B30="","",IF($B$2="Todos",SUMIFS(BD!$K$3:$K$5001,BD!$A$3:$A$5001,$B30),SUMIFS(BD!$K$3:$K$5001,BD!$A$3:$A$5001,$B30,BD!$B$3:$B$5001,$D$2)))</f>
        <v>0</v>
      </c>
      <c r="L30" s="32">
        <f>IF($B30="","",IF($B$2="Todos",SUMIFS(BD!$L$3:$L$5001,BD!$A$3:$A$5001,$B30),SUMIFS(BD!$L$3:$L$5001,BD!$A$3:$A$5001,$B30,BD!$B$3:$B$5001,$D$2)))</f>
        <v>0</v>
      </c>
      <c r="M30" s="32">
        <f>IF($B30="","",IF($B$2="Todos",SUMIFS(BD!$M$3:$M$5001,BD!$A$3:$A$5001,$B30),SUMIFS(BD!$M$3:$M$5001,BD!$A$3:$A$5001,$B30,BD!$B$3:$B$5001,$D$2)))</f>
        <v>0</v>
      </c>
      <c r="N30" s="32">
        <f>IF($B30="","",IF($B$2="Todos",SUMIFS(BD!$N$3:$N$5001,BD!$A$3:$A$5001,$B30),SUMIFS(BD!$N$3:$N$5001,BD!$A$3:$A$5001,$B30,BD!$B$3:$B$5001,$D$2)))</f>
        <v>0</v>
      </c>
      <c r="O30" s="32">
        <f>IF($B30="","",IF($B$2="Todos",SUMIFS(BD!$O$3:$O$5001,BD!$A$3:$A$5001,$B30),SUMIFS(BD!$O$3:$O$5001,BD!$A$3:$A$5001,$B30,BD!$B$3:$B$5001,$D$2)))</f>
        <v>0</v>
      </c>
      <c r="P30" s="32">
        <f>IF($B30="","",IF($B$2="Todos",SUMIFS(BD!$P$3:$P$5001,BD!$A$3:$A$5001,$B30),SUMIFS(BD!$P$3:$P$5001,BD!$A$3:$A$5001,$B30,BD!$B$3:$B$5001,$D$2)))</f>
        <v>0</v>
      </c>
      <c r="Q30" s="32">
        <f>IF($B30="","",IF($B$2="Todos",SUMIFS(BD!$Q$3:$Q$5001,BD!$A$3:$A$5001,$B30),SUMIFS(BD!$Q$3:$Q$5001,BD!$A$3:$A$5001,$B30,BD!$B$3:$B$5001,$D$2)))</f>
        <v>0</v>
      </c>
      <c r="R30" s="32">
        <f>IF($B30="","",IF($B$2="Todos",SUMIFS(BD!$R$3:$R$5001,BD!$A$3:$A$5001,$B30),SUMIFS(BD!$R$3:$R$5001,BD!$A$3:$A$5001,$B30,BD!$B$3:$B$5001,$D$2)))</f>
        <v>0</v>
      </c>
      <c r="S30" s="32">
        <f>IF($B30="","",IF($B$2="Todos",SUMIFS(BD!$S$3:$S$5001,BD!$A$3:$A$5001,$B30),SUMIFS(BD!$S$3:$S$5001,BD!$A$3:$A$5001,$B30,BD!$B$3:$B$5001,$D$2)))</f>
        <v>0</v>
      </c>
      <c r="T30" s="46">
        <f>IF($B30="","",IF($B$2="Todos",SUMIFS(BD!$T$3:$T$5001,BD!$A$3:$A$5001,$B30),SUMIFS(BD!$T$3:$T$5001,BD!$A$3:$A$5001,$B30,BD!$B$3:$B$5001,$D$2)))</f>
        <v>0</v>
      </c>
      <c r="U30" s="32">
        <f>IF($B30="","",IF($B$2="Todos",SUMIFS(BD!$U$3:$U$5001,BD!$A$3:$A$5001,$B30),SUMIFS(BD!$U$3:$U$5001,BD!$A$3:$A$5001,$B30,BD!$B$3:$B$5001,$D$2)))</f>
        <v>0</v>
      </c>
      <c r="V30" s="32">
        <f>IF($B30="","",IF($B$2="Todos",SUMIFS(BD!$V$3:$V$5001,BD!$A$3:$A$5001,$B30),SUMIFS(BD!$V$3:$V$5001,BD!$A$3:$A$5001,$B30,BD!$B$3:$B$5001,$D$2)))</f>
        <v>0</v>
      </c>
      <c r="W30" s="32" t="str">
        <f>IF($B$2="Todos",IF(COUNT($C$157:$K$157)=0,"",SUM($C$157:$K$157)),IFERROR(INDEX($C$157:$K$157,MATCH($D$2,$C$138:$K$138,0)),""))</f>
        <v/>
      </c>
      <c r="X30" s="47" t="str">
        <f>IF(Y30="","",IF($B$2="Todos",IF($B$4&gt;0,$B$4,IF($B$2="Todos",IF(COUNT($C$227:$K$227)=0,"",SUM($C$227:$K$227)),IFERROR(INDEX($C$227:$K$227,MATCH($D$2,$C$208:$K$208,0)),""))),IFERROR(INDEX($C$227:$K$227,MATCH($D$2,$C$208:$K$208,0)),"")))</f>
        <v/>
      </c>
      <c r="Y30" s="32" t="str">
        <f>IF($B$2="Todos",IF(COUNT($C$192:$K$192)=0,"",SUM($C$192:$K$192)),IFERROR(INDEX($C$192:$K$192,MATCH($D$2,$C$173:$K$173,0)),""))</f>
        <v/>
      </c>
      <c r="Z30" s="48" t="str">
        <f>IF(AND(ISNUMBER(Y30),ISNUMBER(X30)),IF(X30&gt;0,Y30/X30,""),"")</f>
        <v/>
      </c>
      <c r="AA30" s="32" t="str">
        <f>IF($B$2="Todos",IF(COUNT($C$262:$K$262)=0,"",SUM($C$262:$K$262)),IFERROR(INDEX($C$262:$K$262,MATCH($D$2,$C$243:$K$243,0)),""))</f>
        <v/>
      </c>
      <c r="AB30" s="32">
        <f>IF($B30="","",IF($B$2="Todos",SUMIFS(BD!$AA$3:$AA$5001,BD!$A$3:$A$5001,$B30),SUMIFS(BD!$AA$3:$AA$5001,BD!$A$3:$A$5001,$B30,BD!$B$3:$B$5001,$D$2)))</f>
        <v>0</v>
      </c>
      <c r="AC30" s="32">
        <f>IF($B30="","",IF($B$2="Todos",SUMIFS(BD!$AB$3:$AB$5001,BD!$A$3:$A$5001,$B30),SUMIFS(BD!$AB$3:$AB$5001,BD!$A$3:$A$5001,$B30,BD!$B$3:$B$5001,$D$2)))</f>
        <v>0</v>
      </c>
      <c r="AD30" s="32">
        <f>IF($B30="","",IF($B$2="Todos",SUMIFS(BD!$AC$3:$AC$5001,BD!$A$3:$A$5001,$B30),SUMIFS(BD!$AC$3:$AC$5001,BD!$A$3:$A$5001,$B30,BD!$B$3:$B$5001,$D$2)))</f>
        <v>0</v>
      </c>
      <c r="AE30" s="32">
        <f>IF($B30="","",IF($B$2="Todos",SUMIFS(BD!$AD$3:$AD$5001,BD!$A$3:$A$5001,$B30),SUMIFS(BD!$AD$3:$AD$5001,BD!$A$3:$A$5001,$B30,BD!$B$3:$B$5001,$D$2)))</f>
        <v>0</v>
      </c>
      <c r="AF30" s="32">
        <f>IF($B30="","",IF($B$2="Todos",SUMIFS(BD!$AE$3:$AE$5001,BD!$A$3:$A$5001,$B30),SUMIFS(BD!$AE$3:$AE$5001,BD!$A$3:$A$5001,$B30,BD!$B$3:$B$5001,$D$2)))</f>
        <v>0</v>
      </c>
      <c r="AG30" s="32">
        <f>IF($B30="","",IF($B$2="Todos",SUMIFS(BD!$AF$3:$AF$5001,BD!$A$3:$A$5001,$B30),SUMIFS(BD!$AF$3:$AF$5001,BD!$A$3:$A$5001,$B30,BD!$B$3:$B$5001,$D$2)))</f>
        <v>0</v>
      </c>
      <c r="AH30" s="32">
        <f>IF($B30="","",IF($B$2="Todos",SUMIFS(BD!$AG$3:$AG$5001,BD!$A$3:$A$5001,$B30),SUMIFS(BD!$AG$3:$AG$5001,BD!$A$3:$A$5001,$B30,BD!$B$3:$B$5001,$D$2)))</f>
        <v>0</v>
      </c>
      <c r="AI30" s="49">
        <f>$B$5</f>
        <v>0.7</v>
      </c>
      <c r="AJ30" s="49">
        <f>$B$6</f>
        <v>0.9</v>
      </c>
      <c r="AY30" s="60">
        <f>IF(OR($B30="",N(VALUE($AH$335))=0),"",IF(INDEX($C30:$AH30,VALUE($AH$335))="","",IF(N(VALUE($AJ$335))=0,INDEX($C30:$AH30,VALUE($AH$335)),IF(N(INDEX($C30:$AH30,N(VALUE($AJ$335))))&gt;0,INDEX($C30:$AH30,VALUE($AH$335))/INDEX($C30:$AH30,N(VALUE($AJ$335))),""))))</f>
        <v>0</v>
      </c>
      <c r="AZ30" s="60">
        <f>IF(OR($B30="",N(VALUE($AI$335))=0),"",IF(INDEX($C30:$AH30,VALUE($AI$335))="","",IF(N(VALUE($AK$335))=0,INDEX($C30:$AH30,VALUE($AI$335)),IF(N(INDEX($C30:$AH30,N(VALUE($AK$335))))&gt;0,INDEX($C30:$AH30,VALUE($AI$335))/INDEX($C30:$AH30,N(VALUE($AK$335))),""))))</f>
        <v>0</v>
      </c>
      <c r="BA30" s="60">
        <f>IF(OR($B30="",N(VALUE($AP$335))=0),"",IF(INDEX($C30:$AH30,VALUE($AP$335))="","",IF(N(VALUE($AR$335))=0,INDEX($C30:$AH30,VALUE($AP$335)),IF(N(INDEX($C30:$AH30,N(VALUE($AR$335))))&gt;0,INDEX($C30:$AH30,VALUE($AP$335))/INDEX($C30:$AH30,N(VALUE($AR$335))),""))))</f>
        <v>0</v>
      </c>
      <c r="BB30" s="60">
        <f>IF(OR($B30="",N(VALUE($AQ$335))=0),"",IF(INDEX($C30:$AH30,VALUE($AQ$335))="","",IF(N(VALUE($AS$335))=0,INDEX($C30:$AH30,VALUE($AQ$335)),IF(N(INDEX($C30:$AH30,N(VALUE($AS$335))))&gt;0,INDEX($C30:$AH30,VALUE($AQ$335))/INDEX($C30:$AH30,N(VALUE($AS$335))),""))))</f>
        <v>0</v>
      </c>
    </row>
    <row r="31">
      <c r="A31" s="28">
        <v>20</v>
      </c>
      <c r="B31" s="45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6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32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>
        <f>IF($B31="","",IF($B$2="Todos",SUMIFS(BD!$K$3:$K$5001,BD!$A$3:$A$5001,$B31),SUMIFS(BD!$K$3:$K$5001,BD!$A$3:$A$5001,$B31,BD!$B$3:$B$5001,$D$2)))</f>
        <v>0</v>
      </c>
      <c r="L31" s="32">
        <f>IF($B31="","",IF($B$2="Todos",SUMIFS(BD!$L$3:$L$5001,BD!$A$3:$A$5001,$B31),SUMIFS(BD!$L$3:$L$5001,BD!$A$3:$A$5001,$B31,BD!$B$3:$B$5001,$D$2)))</f>
        <v>0</v>
      </c>
      <c r="M31" s="32">
        <f>IF($B31="","",IF($B$2="Todos",SUMIFS(BD!$M$3:$M$5001,BD!$A$3:$A$5001,$B31),SUMIFS(BD!$M$3:$M$5001,BD!$A$3:$A$5001,$B31,BD!$B$3:$B$5001,$D$2)))</f>
        <v>0</v>
      </c>
      <c r="N31" s="32">
        <f>IF($B31="","",IF($B$2="Todos",SUMIFS(BD!$N$3:$N$5001,BD!$A$3:$A$5001,$B31),SUMIFS(BD!$N$3:$N$5001,BD!$A$3:$A$5001,$B31,BD!$B$3:$B$5001,$D$2)))</f>
        <v>0</v>
      </c>
      <c r="O31" s="32">
        <f>IF($B31="","",IF($B$2="Todos",SUMIFS(BD!$O$3:$O$5001,BD!$A$3:$A$5001,$B31),SUMIFS(BD!$O$3:$O$5001,BD!$A$3:$A$5001,$B31,BD!$B$3:$B$5001,$D$2)))</f>
        <v>0</v>
      </c>
      <c r="P31" s="32">
        <f>IF($B31="","",IF($B$2="Todos",SUMIFS(BD!$P$3:$P$5001,BD!$A$3:$A$5001,$B31),SUMIFS(BD!$P$3:$P$5001,BD!$A$3:$A$5001,$B31,BD!$B$3:$B$5001,$D$2)))</f>
        <v>0</v>
      </c>
      <c r="Q31" s="32">
        <f>IF($B31="","",IF($B$2="Todos",SUMIFS(BD!$Q$3:$Q$5001,BD!$A$3:$A$5001,$B31),SUMIFS(BD!$Q$3:$Q$5001,BD!$A$3:$A$5001,$B31,BD!$B$3:$B$5001,$D$2)))</f>
        <v>0</v>
      </c>
      <c r="R31" s="32">
        <f>IF($B31="","",IF($B$2="Todos",SUMIFS(BD!$R$3:$R$5001,BD!$A$3:$A$5001,$B31),SUMIFS(BD!$R$3:$R$5001,BD!$A$3:$A$5001,$B31,BD!$B$3:$B$5001,$D$2)))</f>
        <v>0</v>
      </c>
      <c r="S31" s="32">
        <f>IF($B31="","",IF($B$2="Todos",SUMIFS(BD!$S$3:$S$5001,BD!$A$3:$A$5001,$B31),SUMIFS(BD!$S$3:$S$5001,BD!$A$3:$A$5001,$B31,BD!$B$3:$B$5001,$D$2)))</f>
        <v>0</v>
      </c>
      <c r="T31" s="46">
        <f>IF($B31="","",IF($B$2="Todos",SUMIFS(BD!$T$3:$T$5001,BD!$A$3:$A$5001,$B31),SUMIFS(BD!$T$3:$T$5001,BD!$A$3:$A$5001,$B31,BD!$B$3:$B$5001,$D$2)))</f>
        <v>0</v>
      </c>
      <c r="U31" s="32">
        <f>IF($B31="","",IF($B$2="Todos",SUMIFS(BD!$U$3:$U$5001,BD!$A$3:$A$5001,$B31),SUMIFS(BD!$U$3:$U$5001,BD!$A$3:$A$5001,$B31,BD!$B$3:$B$5001,$D$2)))</f>
        <v>0</v>
      </c>
      <c r="V31" s="32">
        <f>IF($B31="","",IF($B$2="Todos",SUMIFS(BD!$V$3:$V$5001,BD!$A$3:$A$5001,$B31),SUMIFS(BD!$V$3:$V$5001,BD!$A$3:$A$5001,$B31,BD!$B$3:$B$5001,$D$2)))</f>
        <v>0</v>
      </c>
      <c r="W31" s="32" t="str">
        <f>IF($B$2="Todos",IF(COUNT($C$158:$K$158)=0,"",SUM($C$158:$K$158)),IFERROR(INDEX($C$158:$K$158,MATCH($D$2,$C$138:$K$138,0)),""))</f>
        <v/>
      </c>
      <c r="X31" s="47" t="str">
        <f>IF(Y31="","",IF($B$2="Todos",IF($B$4&gt;0,$B$4,IF($B$2="Todos",IF(COUNT($C$228:$K$228)=0,"",SUM($C$228:$K$228)),IFERROR(INDEX($C$228:$K$228,MATCH($D$2,$C$208:$K$208,0)),""))),IFERROR(INDEX($C$228:$K$228,MATCH($D$2,$C$208:$K$208,0)),"")))</f>
        <v/>
      </c>
      <c r="Y31" s="32" t="str">
        <f>IF($B$2="Todos",IF(COUNT($C$193:$K$193)=0,"",SUM($C$193:$K$193)),IFERROR(INDEX($C$193:$K$193,MATCH($D$2,$C$173:$K$173,0)),""))</f>
        <v/>
      </c>
      <c r="Z31" s="48" t="str">
        <f>IF(AND(ISNUMBER(Y31),ISNUMBER(X31)),IF(X31&gt;0,Y31/X31,""),"")</f>
        <v/>
      </c>
      <c r="AA31" s="32" t="str">
        <f>IF($B$2="Todos",IF(COUNT($C$263:$K$263)=0,"",SUM($C$263:$K$263)),IFERROR(INDEX($C$263:$K$263,MATCH($D$2,$C$243:$K$243,0)),""))</f>
        <v/>
      </c>
      <c r="AB31" s="32">
        <f>IF($B31="","",IF($B$2="Todos",SUMIFS(BD!$AA$3:$AA$5001,BD!$A$3:$A$5001,$B31),SUMIFS(BD!$AA$3:$AA$5001,BD!$A$3:$A$5001,$B31,BD!$B$3:$B$5001,$D$2)))</f>
        <v>0</v>
      </c>
      <c r="AC31" s="32">
        <f>IF($B31="","",IF($B$2="Todos",SUMIFS(BD!$AB$3:$AB$5001,BD!$A$3:$A$5001,$B31),SUMIFS(BD!$AB$3:$AB$5001,BD!$A$3:$A$5001,$B31,BD!$B$3:$B$5001,$D$2)))</f>
        <v>0</v>
      </c>
      <c r="AD31" s="32">
        <f>IF($B31="","",IF($B$2="Todos",SUMIFS(BD!$AC$3:$AC$5001,BD!$A$3:$A$5001,$B31),SUMIFS(BD!$AC$3:$AC$5001,BD!$A$3:$A$5001,$B31,BD!$B$3:$B$5001,$D$2)))</f>
        <v>0</v>
      </c>
      <c r="AE31" s="32">
        <f>IF($B31="","",IF($B$2="Todos",SUMIFS(BD!$AD$3:$AD$5001,BD!$A$3:$A$5001,$B31),SUMIFS(BD!$AD$3:$AD$5001,BD!$A$3:$A$5001,$B31,BD!$B$3:$B$5001,$D$2)))</f>
        <v>0</v>
      </c>
      <c r="AF31" s="32">
        <f>IF($B31="","",IF($B$2="Todos",SUMIFS(BD!$AE$3:$AE$5001,BD!$A$3:$A$5001,$B31),SUMIFS(BD!$AE$3:$AE$5001,BD!$A$3:$A$5001,$B31,BD!$B$3:$B$5001,$D$2)))</f>
        <v>0</v>
      </c>
      <c r="AG31" s="32">
        <f>IF($B31="","",IF($B$2="Todos",SUMIFS(BD!$AF$3:$AF$5001,BD!$A$3:$A$5001,$B31),SUMIFS(BD!$AF$3:$AF$5001,BD!$A$3:$A$5001,$B31,BD!$B$3:$B$5001,$D$2)))</f>
        <v>0</v>
      </c>
      <c r="AH31" s="32">
        <f>IF($B31="","",IF($B$2="Todos",SUMIFS(BD!$AG$3:$AG$5001,BD!$A$3:$A$5001,$B31),SUMIFS(BD!$AG$3:$AG$5001,BD!$A$3:$A$5001,$B31,BD!$B$3:$B$5001,$D$2)))</f>
        <v>0</v>
      </c>
      <c r="AI31" s="49">
        <f>$B$5</f>
        <v>0.7</v>
      </c>
      <c r="AJ31" s="49">
        <f>$B$6</f>
        <v>0.9</v>
      </c>
      <c r="AY31" s="60">
        <f>IF(OR($B31="",N(VALUE($AH$335))=0),"",IF(INDEX($C31:$AH31,VALUE($AH$335))="","",IF(N(VALUE($AJ$335))=0,INDEX($C31:$AH31,VALUE($AH$335)),IF(N(INDEX($C31:$AH31,N(VALUE($AJ$335))))&gt;0,INDEX($C31:$AH31,VALUE($AH$335))/INDEX($C31:$AH31,N(VALUE($AJ$335))),""))))</f>
        <v>0</v>
      </c>
      <c r="AZ31" s="60">
        <f>IF(OR($B31="",N(VALUE($AI$335))=0),"",IF(INDEX($C31:$AH31,VALUE($AI$335))="","",IF(N(VALUE($AK$335))=0,INDEX($C31:$AH31,VALUE($AI$335)),IF(N(INDEX($C31:$AH31,N(VALUE($AK$335))))&gt;0,INDEX($C31:$AH31,VALUE($AI$335))/INDEX($C31:$AH31,N(VALUE($AK$335))),""))))</f>
        <v>0</v>
      </c>
      <c r="BA31" s="60">
        <f>IF(OR($B31="",N(VALUE($AP$335))=0),"",IF(INDEX($C31:$AH31,VALUE($AP$335))="","",IF(N(VALUE($AR$335))=0,INDEX($C31:$AH31,VALUE($AP$335)),IF(N(INDEX($C31:$AH31,N(VALUE($AR$335))))&gt;0,INDEX($C31:$AH31,VALUE($AP$335))/INDEX($C31:$AH31,N(VALUE($AR$335))),""))))</f>
        <v>0</v>
      </c>
      <c r="BB31" s="60">
        <f>IF(OR($B31="",N(VALUE($AQ$335))=0),"",IF(INDEX($C31:$AH31,VALUE($AQ$335))="","",IF(N(VALUE($AS$335))=0,INDEX($C31:$AH31,VALUE($AQ$335)),IF(N(INDEX($C31:$AH31,N(VALUE($AS$335))))&gt;0,INDEX($C31:$AH31,VALUE($AQ$335))/INDEX($C31:$AH31,N(VALUE($AS$335))),""))))</f>
        <v>0</v>
      </c>
    </row>
    <row r="32">
      <c r="A32" s="28">
        <v>21</v>
      </c>
      <c r="B32" s="45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6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32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>
        <f>IF($B32="","",IF($B$2="Todos",SUMIFS(BD!$K$3:$K$5001,BD!$A$3:$A$5001,$B32),SUMIFS(BD!$K$3:$K$5001,BD!$A$3:$A$5001,$B32,BD!$B$3:$B$5001,$D$2)))</f>
        <v>0</v>
      </c>
      <c r="L32" s="32">
        <f>IF($B32="","",IF($B$2="Todos",SUMIFS(BD!$L$3:$L$5001,BD!$A$3:$A$5001,$B32),SUMIFS(BD!$L$3:$L$5001,BD!$A$3:$A$5001,$B32,BD!$B$3:$B$5001,$D$2)))</f>
        <v>0</v>
      </c>
      <c r="M32" s="32">
        <f>IF($B32="","",IF($B$2="Todos",SUMIFS(BD!$M$3:$M$5001,BD!$A$3:$A$5001,$B32),SUMIFS(BD!$M$3:$M$5001,BD!$A$3:$A$5001,$B32,BD!$B$3:$B$5001,$D$2)))</f>
        <v>0</v>
      </c>
      <c r="N32" s="32">
        <f>IF($B32="","",IF($B$2="Todos",SUMIFS(BD!$N$3:$N$5001,BD!$A$3:$A$5001,$B32),SUMIFS(BD!$N$3:$N$5001,BD!$A$3:$A$5001,$B32,BD!$B$3:$B$5001,$D$2)))</f>
        <v>0</v>
      </c>
      <c r="O32" s="32">
        <f>IF($B32="","",IF($B$2="Todos",SUMIFS(BD!$O$3:$O$5001,BD!$A$3:$A$5001,$B32),SUMIFS(BD!$O$3:$O$5001,BD!$A$3:$A$5001,$B32,BD!$B$3:$B$5001,$D$2)))</f>
        <v>0</v>
      </c>
      <c r="P32" s="32">
        <f>IF($B32="","",IF($B$2="Todos",SUMIFS(BD!$P$3:$P$5001,BD!$A$3:$A$5001,$B32),SUMIFS(BD!$P$3:$P$5001,BD!$A$3:$A$5001,$B32,BD!$B$3:$B$5001,$D$2)))</f>
        <v>0</v>
      </c>
      <c r="Q32" s="32">
        <f>IF($B32="","",IF($B$2="Todos",SUMIFS(BD!$Q$3:$Q$5001,BD!$A$3:$A$5001,$B32),SUMIFS(BD!$Q$3:$Q$5001,BD!$A$3:$A$5001,$B32,BD!$B$3:$B$5001,$D$2)))</f>
        <v>0</v>
      </c>
      <c r="R32" s="32">
        <f>IF($B32="","",IF($B$2="Todos",SUMIFS(BD!$R$3:$R$5001,BD!$A$3:$A$5001,$B32),SUMIFS(BD!$R$3:$R$5001,BD!$A$3:$A$5001,$B32,BD!$B$3:$B$5001,$D$2)))</f>
        <v>0</v>
      </c>
      <c r="S32" s="32">
        <f>IF($B32="","",IF($B$2="Todos",SUMIFS(BD!$S$3:$S$5001,BD!$A$3:$A$5001,$B32),SUMIFS(BD!$S$3:$S$5001,BD!$A$3:$A$5001,$B32,BD!$B$3:$B$5001,$D$2)))</f>
        <v>0</v>
      </c>
      <c r="T32" s="46">
        <f>IF($B32="","",IF($B$2="Todos",SUMIFS(BD!$T$3:$T$5001,BD!$A$3:$A$5001,$B32),SUMIFS(BD!$T$3:$T$5001,BD!$A$3:$A$5001,$B32,BD!$B$3:$B$5001,$D$2)))</f>
        <v>0</v>
      </c>
      <c r="U32" s="32">
        <f>IF($B32="","",IF($B$2="Todos",SUMIFS(BD!$U$3:$U$5001,BD!$A$3:$A$5001,$B32),SUMIFS(BD!$U$3:$U$5001,BD!$A$3:$A$5001,$B32,BD!$B$3:$B$5001,$D$2)))</f>
        <v>0</v>
      </c>
      <c r="V32" s="32">
        <f>IF($B32="","",IF($B$2="Todos",SUMIFS(BD!$V$3:$V$5001,BD!$A$3:$A$5001,$B32),SUMIFS(BD!$V$3:$V$5001,BD!$A$3:$A$5001,$B32,BD!$B$3:$B$5001,$D$2)))</f>
        <v>0</v>
      </c>
      <c r="W32" s="32" t="str">
        <f>IF($B$2="Todos",IF(COUNT($C$159:$K$159)=0,"",SUM($C$159:$K$159)),IFERROR(INDEX($C$159:$K$159,MATCH($D$2,$C$138:$K$138,0)),""))</f>
        <v/>
      </c>
      <c r="X32" s="47" t="str">
        <f>IF(Y32="","",IF($B$2="Todos",IF($B$4&gt;0,$B$4,IF($B$2="Todos",IF(COUNT($C$229:$K$229)=0,"",SUM($C$229:$K$229)),IFERROR(INDEX($C$229:$K$229,MATCH($D$2,$C$208:$K$208,0)),""))),IFERROR(INDEX($C$229:$K$229,MATCH($D$2,$C$208:$K$208,0)),"")))</f>
        <v/>
      </c>
      <c r="Y32" s="32" t="str">
        <f>IF($B$2="Todos",IF(COUNT($C$194:$K$194)=0,"",SUM($C$194:$K$194)),IFERROR(INDEX($C$194:$K$194,MATCH($D$2,$C$173:$K$173,0)),""))</f>
        <v/>
      </c>
      <c r="Z32" s="48" t="str">
        <f>IF(AND(ISNUMBER(Y32),ISNUMBER(X32)),IF(X32&gt;0,Y32/X32,""),"")</f>
        <v/>
      </c>
      <c r="AA32" s="32" t="str">
        <f>IF($B$2="Todos",IF(COUNT($C$264:$K$264)=0,"",SUM($C$264:$K$264)),IFERROR(INDEX($C$264:$K$264,MATCH($D$2,$C$243:$K$243,0)),""))</f>
        <v/>
      </c>
      <c r="AB32" s="32">
        <f>IF($B32="","",IF($B$2="Todos",SUMIFS(BD!$AA$3:$AA$5001,BD!$A$3:$A$5001,$B32),SUMIFS(BD!$AA$3:$AA$5001,BD!$A$3:$A$5001,$B32,BD!$B$3:$B$5001,$D$2)))</f>
        <v>0</v>
      </c>
      <c r="AC32" s="32">
        <f>IF($B32="","",IF($B$2="Todos",SUMIFS(BD!$AB$3:$AB$5001,BD!$A$3:$A$5001,$B32),SUMIFS(BD!$AB$3:$AB$5001,BD!$A$3:$A$5001,$B32,BD!$B$3:$B$5001,$D$2)))</f>
        <v>0</v>
      </c>
      <c r="AD32" s="32">
        <f>IF($B32="","",IF($B$2="Todos",SUMIFS(BD!$AC$3:$AC$5001,BD!$A$3:$A$5001,$B32),SUMIFS(BD!$AC$3:$AC$5001,BD!$A$3:$A$5001,$B32,BD!$B$3:$B$5001,$D$2)))</f>
        <v>0</v>
      </c>
      <c r="AE32" s="32">
        <f>IF($B32="","",IF($B$2="Todos",SUMIFS(BD!$AD$3:$AD$5001,BD!$A$3:$A$5001,$B32),SUMIFS(BD!$AD$3:$AD$5001,BD!$A$3:$A$5001,$B32,BD!$B$3:$B$5001,$D$2)))</f>
        <v>0</v>
      </c>
      <c r="AF32" s="32">
        <f>IF($B32="","",IF($B$2="Todos",SUMIFS(BD!$AE$3:$AE$5001,BD!$A$3:$A$5001,$B32),SUMIFS(BD!$AE$3:$AE$5001,BD!$A$3:$A$5001,$B32,BD!$B$3:$B$5001,$D$2)))</f>
        <v>0</v>
      </c>
      <c r="AG32" s="32">
        <f>IF($B32="","",IF($B$2="Todos",SUMIFS(BD!$AF$3:$AF$5001,BD!$A$3:$A$5001,$B32),SUMIFS(BD!$AF$3:$AF$5001,BD!$A$3:$A$5001,$B32,BD!$B$3:$B$5001,$D$2)))</f>
        <v>0</v>
      </c>
      <c r="AH32" s="32">
        <f>IF($B32="","",IF($B$2="Todos",SUMIFS(BD!$AG$3:$AG$5001,BD!$A$3:$A$5001,$B32),SUMIFS(BD!$AG$3:$AG$5001,BD!$A$3:$A$5001,$B32,BD!$B$3:$B$5001,$D$2)))</f>
        <v>0</v>
      </c>
      <c r="AI32" s="49">
        <f>$B$5</f>
        <v>0.7</v>
      </c>
      <c r="AJ32" s="49">
        <f>$B$6</f>
        <v>0.9</v>
      </c>
      <c r="AY32" s="60">
        <f>IF(OR($B32="",N(VALUE($AH$335))=0),"",IF(INDEX($C32:$AH32,VALUE($AH$335))="","",IF(N(VALUE($AJ$335))=0,INDEX($C32:$AH32,VALUE($AH$335)),IF(N(INDEX($C32:$AH32,N(VALUE($AJ$335))))&gt;0,INDEX($C32:$AH32,VALUE($AH$335))/INDEX($C32:$AH32,N(VALUE($AJ$335))),""))))</f>
        <v>0</v>
      </c>
      <c r="AZ32" s="60">
        <f>IF(OR($B32="",N(VALUE($AI$335))=0),"",IF(INDEX($C32:$AH32,VALUE($AI$335))="","",IF(N(VALUE($AK$335))=0,INDEX($C32:$AH32,VALUE($AI$335)),IF(N(INDEX($C32:$AH32,N(VALUE($AK$335))))&gt;0,INDEX($C32:$AH32,VALUE($AI$335))/INDEX($C32:$AH32,N(VALUE($AK$335))),""))))</f>
        <v>0</v>
      </c>
      <c r="BA32" s="60">
        <f>IF(OR($B32="",N(VALUE($AP$335))=0),"",IF(INDEX($C32:$AH32,VALUE($AP$335))="","",IF(N(VALUE($AR$335))=0,INDEX($C32:$AH32,VALUE($AP$335)),IF(N(INDEX($C32:$AH32,N(VALUE($AR$335))))&gt;0,INDEX($C32:$AH32,VALUE($AP$335))/INDEX($C32:$AH32,N(VALUE($AR$335))),""))))</f>
        <v>0</v>
      </c>
      <c r="BB32" s="60">
        <f>IF(OR($B32="",N(VALUE($AQ$335))=0),"",IF(INDEX($C32:$AH32,VALUE($AQ$335))="","",IF(N(VALUE($AS$335))=0,INDEX($C32:$AH32,VALUE($AQ$335)),IF(N(INDEX($C32:$AH32,N(VALUE($AS$335))))&gt;0,INDEX($C32:$AH32,VALUE($AQ$335))/INDEX($C32:$AH32,N(VALUE($AS$335))),""))))</f>
        <v>0</v>
      </c>
    </row>
    <row r="33">
      <c r="A33" s="28">
        <v>22</v>
      </c>
      <c r="B33" s="45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6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32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>
        <f>IF($B33="","",IF($B$2="Todos",SUMIFS(BD!$K$3:$K$5001,BD!$A$3:$A$5001,$B33),SUMIFS(BD!$K$3:$K$5001,BD!$A$3:$A$5001,$B33,BD!$B$3:$B$5001,$D$2)))</f>
        <v>0</v>
      </c>
      <c r="L33" s="32">
        <f>IF($B33="","",IF($B$2="Todos",SUMIFS(BD!$L$3:$L$5001,BD!$A$3:$A$5001,$B33),SUMIFS(BD!$L$3:$L$5001,BD!$A$3:$A$5001,$B33,BD!$B$3:$B$5001,$D$2)))</f>
        <v>0</v>
      </c>
      <c r="M33" s="32">
        <f>IF($B33="","",IF($B$2="Todos",SUMIFS(BD!$M$3:$M$5001,BD!$A$3:$A$5001,$B33),SUMIFS(BD!$M$3:$M$5001,BD!$A$3:$A$5001,$B33,BD!$B$3:$B$5001,$D$2)))</f>
        <v>0</v>
      </c>
      <c r="N33" s="32">
        <f>IF($B33="","",IF($B$2="Todos",SUMIFS(BD!$N$3:$N$5001,BD!$A$3:$A$5001,$B33),SUMIFS(BD!$N$3:$N$5001,BD!$A$3:$A$5001,$B33,BD!$B$3:$B$5001,$D$2)))</f>
        <v>0</v>
      </c>
      <c r="O33" s="32">
        <f>IF($B33="","",IF($B$2="Todos",SUMIFS(BD!$O$3:$O$5001,BD!$A$3:$A$5001,$B33),SUMIFS(BD!$O$3:$O$5001,BD!$A$3:$A$5001,$B33,BD!$B$3:$B$5001,$D$2)))</f>
        <v>0</v>
      </c>
      <c r="P33" s="32">
        <f>IF($B33="","",IF($B$2="Todos",SUMIFS(BD!$P$3:$P$5001,BD!$A$3:$A$5001,$B33),SUMIFS(BD!$P$3:$P$5001,BD!$A$3:$A$5001,$B33,BD!$B$3:$B$5001,$D$2)))</f>
        <v>0</v>
      </c>
      <c r="Q33" s="32">
        <f>IF($B33="","",IF($B$2="Todos",SUMIFS(BD!$Q$3:$Q$5001,BD!$A$3:$A$5001,$B33),SUMIFS(BD!$Q$3:$Q$5001,BD!$A$3:$A$5001,$B33,BD!$B$3:$B$5001,$D$2)))</f>
        <v>0</v>
      </c>
      <c r="R33" s="32">
        <f>IF($B33="","",IF($B$2="Todos",SUMIFS(BD!$R$3:$R$5001,BD!$A$3:$A$5001,$B33),SUMIFS(BD!$R$3:$R$5001,BD!$A$3:$A$5001,$B33,BD!$B$3:$B$5001,$D$2)))</f>
        <v>0</v>
      </c>
      <c r="S33" s="32">
        <f>IF($B33="","",IF($B$2="Todos",SUMIFS(BD!$S$3:$S$5001,BD!$A$3:$A$5001,$B33),SUMIFS(BD!$S$3:$S$5001,BD!$A$3:$A$5001,$B33,BD!$B$3:$B$5001,$D$2)))</f>
        <v>0</v>
      </c>
      <c r="T33" s="46">
        <f>IF($B33="","",IF($B$2="Todos",SUMIFS(BD!$T$3:$T$5001,BD!$A$3:$A$5001,$B33),SUMIFS(BD!$T$3:$T$5001,BD!$A$3:$A$5001,$B33,BD!$B$3:$B$5001,$D$2)))</f>
        <v>0</v>
      </c>
      <c r="U33" s="32">
        <f>IF($B33="","",IF($B$2="Todos",SUMIFS(BD!$U$3:$U$5001,BD!$A$3:$A$5001,$B33),SUMIFS(BD!$U$3:$U$5001,BD!$A$3:$A$5001,$B33,BD!$B$3:$B$5001,$D$2)))</f>
        <v>0</v>
      </c>
      <c r="V33" s="32">
        <f>IF($B33="","",IF($B$2="Todos",SUMIFS(BD!$V$3:$V$5001,BD!$A$3:$A$5001,$B33),SUMIFS(BD!$V$3:$V$5001,BD!$A$3:$A$5001,$B33,BD!$B$3:$B$5001,$D$2)))</f>
        <v>0</v>
      </c>
      <c r="W33" s="32" t="str">
        <f>IF($B$2="Todos",IF(COUNT($C$160:$K$160)=0,"",SUM($C$160:$K$160)),IFERROR(INDEX($C$160:$K$160,MATCH($D$2,$C$138:$K$138,0)),""))</f>
        <v/>
      </c>
      <c r="X33" s="47" t="str">
        <f>IF(Y33="","",IF($B$2="Todos",IF($B$4&gt;0,$B$4,IF($B$2="Todos",IF(COUNT($C$230:$K$230)=0,"",SUM($C$230:$K$230)),IFERROR(INDEX($C$230:$K$230,MATCH($D$2,$C$208:$K$208,0)),""))),IFERROR(INDEX($C$230:$K$230,MATCH($D$2,$C$208:$K$208,0)),"")))</f>
        <v/>
      </c>
      <c r="Y33" s="32" t="str">
        <f>IF($B$2="Todos",IF(COUNT($C$195:$K$195)=0,"",SUM($C$195:$K$195)),IFERROR(INDEX($C$195:$K$195,MATCH($D$2,$C$173:$K$173,0)),""))</f>
        <v/>
      </c>
      <c r="Z33" s="48" t="str">
        <f>IF(AND(ISNUMBER(Y33),ISNUMBER(X33)),IF(X33&gt;0,Y33/X33,""),"")</f>
        <v/>
      </c>
      <c r="AA33" s="32" t="str">
        <f>IF($B$2="Todos",IF(COUNT($C$265:$K$265)=0,"",SUM($C$265:$K$265)),IFERROR(INDEX($C$265:$K$265,MATCH($D$2,$C$243:$K$243,0)),""))</f>
        <v/>
      </c>
      <c r="AB33" s="32">
        <f>IF($B33="","",IF($B$2="Todos",SUMIFS(BD!$AA$3:$AA$5001,BD!$A$3:$A$5001,$B33),SUMIFS(BD!$AA$3:$AA$5001,BD!$A$3:$A$5001,$B33,BD!$B$3:$B$5001,$D$2)))</f>
        <v>0</v>
      </c>
      <c r="AC33" s="32">
        <f>IF($B33="","",IF($B$2="Todos",SUMIFS(BD!$AB$3:$AB$5001,BD!$A$3:$A$5001,$B33),SUMIFS(BD!$AB$3:$AB$5001,BD!$A$3:$A$5001,$B33,BD!$B$3:$B$5001,$D$2)))</f>
        <v>0</v>
      </c>
      <c r="AD33" s="32">
        <f>IF($B33="","",IF($B$2="Todos",SUMIFS(BD!$AC$3:$AC$5001,BD!$A$3:$A$5001,$B33),SUMIFS(BD!$AC$3:$AC$5001,BD!$A$3:$A$5001,$B33,BD!$B$3:$B$5001,$D$2)))</f>
        <v>0</v>
      </c>
      <c r="AE33" s="32">
        <f>IF($B33="","",IF($B$2="Todos",SUMIFS(BD!$AD$3:$AD$5001,BD!$A$3:$A$5001,$B33),SUMIFS(BD!$AD$3:$AD$5001,BD!$A$3:$A$5001,$B33,BD!$B$3:$B$5001,$D$2)))</f>
        <v>0</v>
      </c>
      <c r="AF33" s="32">
        <f>IF($B33="","",IF($B$2="Todos",SUMIFS(BD!$AE$3:$AE$5001,BD!$A$3:$A$5001,$B33),SUMIFS(BD!$AE$3:$AE$5001,BD!$A$3:$A$5001,$B33,BD!$B$3:$B$5001,$D$2)))</f>
        <v>0</v>
      </c>
      <c r="AG33" s="32">
        <f>IF($B33="","",IF($B$2="Todos",SUMIFS(BD!$AF$3:$AF$5001,BD!$A$3:$A$5001,$B33),SUMIFS(BD!$AF$3:$AF$5001,BD!$A$3:$A$5001,$B33,BD!$B$3:$B$5001,$D$2)))</f>
        <v>0</v>
      </c>
      <c r="AH33" s="32">
        <f>IF($B33="","",IF($B$2="Todos",SUMIFS(BD!$AG$3:$AG$5001,BD!$A$3:$A$5001,$B33),SUMIFS(BD!$AG$3:$AG$5001,BD!$A$3:$A$5001,$B33,BD!$B$3:$B$5001,$D$2)))</f>
        <v>0</v>
      </c>
      <c r="AI33" s="49">
        <f>$B$5</f>
        <v>0.7</v>
      </c>
      <c r="AJ33" s="49">
        <f>$B$6</f>
        <v>0.9</v>
      </c>
      <c r="AY33" s="60">
        <f>IF(OR($B33="",N(VALUE($AH$335))=0),"",IF(INDEX($C33:$AH33,VALUE($AH$335))="","",IF(N(VALUE($AJ$335))=0,INDEX($C33:$AH33,VALUE($AH$335)),IF(N(INDEX($C33:$AH33,N(VALUE($AJ$335))))&gt;0,INDEX($C33:$AH33,VALUE($AH$335))/INDEX($C33:$AH33,N(VALUE($AJ$335))),""))))</f>
        <v>0</v>
      </c>
      <c r="AZ33" s="60">
        <f>IF(OR($B33="",N(VALUE($AI$335))=0),"",IF(INDEX($C33:$AH33,VALUE($AI$335))="","",IF(N(VALUE($AK$335))=0,INDEX($C33:$AH33,VALUE($AI$335)),IF(N(INDEX($C33:$AH33,N(VALUE($AK$335))))&gt;0,INDEX($C33:$AH33,VALUE($AI$335))/INDEX($C33:$AH33,N(VALUE($AK$335))),""))))</f>
        <v>0</v>
      </c>
      <c r="BA33" s="60">
        <f>IF(OR($B33="",N(VALUE($AP$335))=0),"",IF(INDEX($C33:$AH33,VALUE($AP$335))="","",IF(N(VALUE($AR$335))=0,INDEX($C33:$AH33,VALUE($AP$335)),IF(N(INDEX($C33:$AH33,N(VALUE($AR$335))))&gt;0,INDEX($C33:$AH33,VALUE($AP$335))/INDEX($C33:$AH33,N(VALUE($AR$335))),""))))</f>
        <v>0</v>
      </c>
      <c r="BB33" s="60">
        <f>IF(OR($B33="",N(VALUE($AQ$335))=0),"",IF(INDEX($C33:$AH33,VALUE($AQ$335))="","",IF(N(VALUE($AS$335))=0,INDEX($C33:$AH33,VALUE($AQ$335)),IF(N(INDEX($C33:$AH33,N(VALUE($AS$335))))&gt;0,INDEX($C33:$AH33,VALUE($AQ$335))/INDEX($C33:$AH33,N(VALUE($AS$335))),""))))</f>
        <v>0</v>
      </c>
    </row>
    <row r="34">
      <c r="A34" s="28">
        <v>23</v>
      </c>
      <c r="B34" s="45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6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32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>
        <f>IF($B34="","",IF($B$2="Todos",SUMIFS(BD!$K$3:$K$5001,BD!$A$3:$A$5001,$B34),SUMIFS(BD!$K$3:$K$5001,BD!$A$3:$A$5001,$B34,BD!$B$3:$B$5001,$D$2)))</f>
        <v>0</v>
      </c>
      <c r="L34" s="32">
        <f>IF($B34="","",IF($B$2="Todos",SUMIFS(BD!$L$3:$L$5001,BD!$A$3:$A$5001,$B34),SUMIFS(BD!$L$3:$L$5001,BD!$A$3:$A$5001,$B34,BD!$B$3:$B$5001,$D$2)))</f>
        <v>0</v>
      </c>
      <c r="M34" s="32">
        <f>IF($B34="","",IF($B$2="Todos",SUMIFS(BD!$M$3:$M$5001,BD!$A$3:$A$5001,$B34),SUMIFS(BD!$M$3:$M$5001,BD!$A$3:$A$5001,$B34,BD!$B$3:$B$5001,$D$2)))</f>
        <v>0</v>
      </c>
      <c r="N34" s="32">
        <f>IF($B34="","",IF($B$2="Todos",SUMIFS(BD!$N$3:$N$5001,BD!$A$3:$A$5001,$B34),SUMIFS(BD!$N$3:$N$5001,BD!$A$3:$A$5001,$B34,BD!$B$3:$B$5001,$D$2)))</f>
        <v>0</v>
      </c>
      <c r="O34" s="32">
        <f>IF($B34="","",IF($B$2="Todos",SUMIFS(BD!$O$3:$O$5001,BD!$A$3:$A$5001,$B34),SUMIFS(BD!$O$3:$O$5001,BD!$A$3:$A$5001,$B34,BD!$B$3:$B$5001,$D$2)))</f>
        <v>0</v>
      </c>
      <c r="P34" s="32">
        <f>IF($B34="","",IF($B$2="Todos",SUMIFS(BD!$P$3:$P$5001,BD!$A$3:$A$5001,$B34),SUMIFS(BD!$P$3:$P$5001,BD!$A$3:$A$5001,$B34,BD!$B$3:$B$5001,$D$2)))</f>
        <v>0</v>
      </c>
      <c r="Q34" s="32">
        <f>IF($B34="","",IF($B$2="Todos",SUMIFS(BD!$Q$3:$Q$5001,BD!$A$3:$A$5001,$B34),SUMIFS(BD!$Q$3:$Q$5001,BD!$A$3:$A$5001,$B34,BD!$B$3:$B$5001,$D$2)))</f>
        <v>0</v>
      </c>
      <c r="R34" s="32">
        <f>IF($B34="","",IF($B$2="Todos",SUMIFS(BD!$R$3:$R$5001,BD!$A$3:$A$5001,$B34),SUMIFS(BD!$R$3:$R$5001,BD!$A$3:$A$5001,$B34,BD!$B$3:$B$5001,$D$2)))</f>
        <v>0</v>
      </c>
      <c r="S34" s="32">
        <f>IF($B34="","",IF($B$2="Todos",SUMIFS(BD!$S$3:$S$5001,BD!$A$3:$A$5001,$B34),SUMIFS(BD!$S$3:$S$5001,BD!$A$3:$A$5001,$B34,BD!$B$3:$B$5001,$D$2)))</f>
        <v>0</v>
      </c>
      <c r="T34" s="46">
        <f>IF($B34="","",IF($B$2="Todos",SUMIFS(BD!$T$3:$T$5001,BD!$A$3:$A$5001,$B34),SUMIFS(BD!$T$3:$T$5001,BD!$A$3:$A$5001,$B34,BD!$B$3:$B$5001,$D$2)))</f>
        <v>0</v>
      </c>
      <c r="U34" s="32">
        <f>IF($B34="","",IF($B$2="Todos",SUMIFS(BD!$U$3:$U$5001,BD!$A$3:$A$5001,$B34),SUMIFS(BD!$U$3:$U$5001,BD!$A$3:$A$5001,$B34,BD!$B$3:$B$5001,$D$2)))</f>
        <v>0</v>
      </c>
      <c r="V34" s="32">
        <f>IF($B34="","",IF($B$2="Todos",SUMIFS(BD!$V$3:$V$5001,BD!$A$3:$A$5001,$B34),SUMIFS(BD!$V$3:$V$5001,BD!$A$3:$A$5001,$B34,BD!$B$3:$B$5001,$D$2)))</f>
        <v>0</v>
      </c>
      <c r="W34" s="32" t="str">
        <f>IF($B$2="Todos",IF(COUNT($C$161:$K$161)=0,"",SUM($C$161:$K$161)),IFERROR(INDEX($C$161:$K$161,MATCH($D$2,$C$138:$K$138,0)),""))</f>
        <v/>
      </c>
      <c r="X34" s="47" t="str">
        <f>IF(Y34="","",IF($B$2="Todos",IF($B$4&gt;0,$B$4,IF($B$2="Todos",IF(COUNT($C$231:$K$231)=0,"",SUM($C$231:$K$231)),IFERROR(INDEX($C$231:$K$231,MATCH($D$2,$C$208:$K$208,0)),""))),IFERROR(INDEX($C$231:$K$231,MATCH($D$2,$C$208:$K$208,0)),"")))</f>
        <v/>
      </c>
      <c r="Y34" s="32" t="str">
        <f>IF($B$2="Todos",IF(COUNT($C$196:$K$196)=0,"",SUM($C$196:$K$196)),IFERROR(INDEX($C$196:$K$196,MATCH($D$2,$C$173:$K$173,0)),""))</f>
        <v/>
      </c>
      <c r="Z34" s="48" t="str">
        <f>IF(AND(ISNUMBER(Y34),ISNUMBER(X34)),IF(X34&gt;0,Y34/X34,""),"")</f>
        <v/>
      </c>
      <c r="AA34" s="32" t="str">
        <f>IF($B$2="Todos",IF(COUNT($C$266:$K$266)=0,"",SUM($C$266:$K$266)),IFERROR(INDEX($C$266:$K$266,MATCH($D$2,$C$243:$K$243,0)),""))</f>
        <v/>
      </c>
      <c r="AB34" s="32">
        <f>IF($B34="","",IF($B$2="Todos",SUMIFS(BD!$AA$3:$AA$5001,BD!$A$3:$A$5001,$B34),SUMIFS(BD!$AA$3:$AA$5001,BD!$A$3:$A$5001,$B34,BD!$B$3:$B$5001,$D$2)))</f>
        <v>0</v>
      </c>
      <c r="AC34" s="32">
        <f>IF($B34="","",IF($B$2="Todos",SUMIFS(BD!$AB$3:$AB$5001,BD!$A$3:$A$5001,$B34),SUMIFS(BD!$AB$3:$AB$5001,BD!$A$3:$A$5001,$B34,BD!$B$3:$B$5001,$D$2)))</f>
        <v>0</v>
      </c>
      <c r="AD34" s="32">
        <f>IF($B34="","",IF($B$2="Todos",SUMIFS(BD!$AC$3:$AC$5001,BD!$A$3:$A$5001,$B34),SUMIFS(BD!$AC$3:$AC$5001,BD!$A$3:$A$5001,$B34,BD!$B$3:$B$5001,$D$2)))</f>
        <v>0</v>
      </c>
      <c r="AE34" s="32">
        <f>IF($B34="","",IF($B$2="Todos",SUMIFS(BD!$AD$3:$AD$5001,BD!$A$3:$A$5001,$B34),SUMIFS(BD!$AD$3:$AD$5001,BD!$A$3:$A$5001,$B34,BD!$B$3:$B$5001,$D$2)))</f>
        <v>0</v>
      </c>
      <c r="AF34" s="32">
        <f>IF($B34="","",IF($B$2="Todos",SUMIFS(BD!$AE$3:$AE$5001,BD!$A$3:$A$5001,$B34),SUMIFS(BD!$AE$3:$AE$5001,BD!$A$3:$A$5001,$B34,BD!$B$3:$B$5001,$D$2)))</f>
        <v>0</v>
      </c>
      <c r="AG34" s="32">
        <f>IF($B34="","",IF($B$2="Todos",SUMIFS(BD!$AF$3:$AF$5001,BD!$A$3:$A$5001,$B34),SUMIFS(BD!$AF$3:$AF$5001,BD!$A$3:$A$5001,$B34,BD!$B$3:$B$5001,$D$2)))</f>
        <v>0</v>
      </c>
      <c r="AH34" s="32">
        <f>IF($B34="","",IF($B$2="Todos",SUMIFS(BD!$AG$3:$AG$5001,BD!$A$3:$A$5001,$B34),SUMIFS(BD!$AG$3:$AG$5001,BD!$A$3:$A$5001,$B34,BD!$B$3:$B$5001,$D$2)))</f>
        <v>0</v>
      </c>
      <c r="AI34" s="49">
        <f>$B$5</f>
        <v>0.7</v>
      </c>
      <c r="AJ34" s="49">
        <f>$B$6</f>
        <v>0.9</v>
      </c>
      <c r="AY34" s="60">
        <f>IF(OR($B34="",N(VALUE($AH$335))=0),"",IF(INDEX($C34:$AH34,VALUE($AH$335))="","",IF(N(VALUE($AJ$335))=0,INDEX($C34:$AH34,VALUE($AH$335)),IF(N(INDEX($C34:$AH34,N(VALUE($AJ$335))))&gt;0,INDEX($C34:$AH34,VALUE($AH$335))/INDEX($C34:$AH34,N(VALUE($AJ$335))),""))))</f>
        <v>0</v>
      </c>
      <c r="AZ34" s="60">
        <f>IF(OR($B34="",N(VALUE($AI$335))=0),"",IF(INDEX($C34:$AH34,VALUE($AI$335))="","",IF(N(VALUE($AK$335))=0,INDEX($C34:$AH34,VALUE($AI$335)),IF(N(INDEX($C34:$AH34,N(VALUE($AK$335))))&gt;0,INDEX($C34:$AH34,VALUE($AI$335))/INDEX($C34:$AH34,N(VALUE($AK$335))),""))))</f>
        <v>0</v>
      </c>
      <c r="BA34" s="60">
        <f>IF(OR($B34="",N(VALUE($AP$335))=0),"",IF(INDEX($C34:$AH34,VALUE($AP$335))="","",IF(N(VALUE($AR$335))=0,INDEX($C34:$AH34,VALUE($AP$335)),IF(N(INDEX($C34:$AH34,N(VALUE($AR$335))))&gt;0,INDEX($C34:$AH34,VALUE($AP$335))/INDEX($C34:$AH34,N(VALUE($AR$335))),""))))</f>
        <v>0</v>
      </c>
      <c r="BB34" s="60">
        <f>IF(OR($B34="",N(VALUE($AQ$335))=0),"",IF(INDEX($C34:$AH34,VALUE($AQ$335))="","",IF(N(VALUE($AS$335))=0,INDEX($C34:$AH34,VALUE($AQ$335)),IF(N(INDEX($C34:$AH34,N(VALUE($AS$335))))&gt;0,INDEX($C34:$AH34,VALUE($AQ$335))/INDEX($C34:$AH34,N(VALUE($AS$335))),""))))</f>
        <v>0</v>
      </c>
    </row>
    <row r="35">
      <c r="A35" s="28">
        <v>24</v>
      </c>
      <c r="B35" s="45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6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32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>
        <f>IF($B35="","",IF($B$2="Todos",SUMIFS(BD!$K$3:$K$5001,BD!$A$3:$A$5001,$B35),SUMIFS(BD!$K$3:$K$5001,BD!$A$3:$A$5001,$B35,BD!$B$3:$B$5001,$D$2)))</f>
        <v>0</v>
      </c>
      <c r="L35" s="32">
        <f>IF($B35="","",IF($B$2="Todos",SUMIFS(BD!$L$3:$L$5001,BD!$A$3:$A$5001,$B35),SUMIFS(BD!$L$3:$L$5001,BD!$A$3:$A$5001,$B35,BD!$B$3:$B$5001,$D$2)))</f>
        <v>0</v>
      </c>
      <c r="M35" s="32">
        <f>IF($B35="","",IF($B$2="Todos",SUMIFS(BD!$M$3:$M$5001,BD!$A$3:$A$5001,$B35),SUMIFS(BD!$M$3:$M$5001,BD!$A$3:$A$5001,$B35,BD!$B$3:$B$5001,$D$2)))</f>
        <v>0</v>
      </c>
      <c r="N35" s="32">
        <f>IF($B35="","",IF($B$2="Todos",SUMIFS(BD!$N$3:$N$5001,BD!$A$3:$A$5001,$B35),SUMIFS(BD!$N$3:$N$5001,BD!$A$3:$A$5001,$B35,BD!$B$3:$B$5001,$D$2)))</f>
        <v>0</v>
      </c>
      <c r="O35" s="32">
        <f>IF($B35="","",IF($B$2="Todos",SUMIFS(BD!$O$3:$O$5001,BD!$A$3:$A$5001,$B35),SUMIFS(BD!$O$3:$O$5001,BD!$A$3:$A$5001,$B35,BD!$B$3:$B$5001,$D$2)))</f>
        <v>0</v>
      </c>
      <c r="P35" s="32">
        <f>IF($B35="","",IF($B$2="Todos",SUMIFS(BD!$P$3:$P$5001,BD!$A$3:$A$5001,$B35),SUMIFS(BD!$P$3:$P$5001,BD!$A$3:$A$5001,$B35,BD!$B$3:$B$5001,$D$2)))</f>
        <v>0</v>
      </c>
      <c r="Q35" s="32">
        <f>IF($B35="","",IF($B$2="Todos",SUMIFS(BD!$Q$3:$Q$5001,BD!$A$3:$A$5001,$B35),SUMIFS(BD!$Q$3:$Q$5001,BD!$A$3:$A$5001,$B35,BD!$B$3:$B$5001,$D$2)))</f>
        <v>0</v>
      </c>
      <c r="R35" s="32">
        <f>IF($B35="","",IF($B$2="Todos",SUMIFS(BD!$R$3:$R$5001,BD!$A$3:$A$5001,$B35),SUMIFS(BD!$R$3:$R$5001,BD!$A$3:$A$5001,$B35,BD!$B$3:$B$5001,$D$2)))</f>
        <v>0</v>
      </c>
      <c r="S35" s="32">
        <f>IF($B35="","",IF($B$2="Todos",SUMIFS(BD!$S$3:$S$5001,BD!$A$3:$A$5001,$B35),SUMIFS(BD!$S$3:$S$5001,BD!$A$3:$A$5001,$B35,BD!$B$3:$B$5001,$D$2)))</f>
        <v>0</v>
      </c>
      <c r="T35" s="46">
        <f>IF($B35="","",IF($B$2="Todos",SUMIFS(BD!$T$3:$T$5001,BD!$A$3:$A$5001,$B35),SUMIFS(BD!$T$3:$T$5001,BD!$A$3:$A$5001,$B35,BD!$B$3:$B$5001,$D$2)))</f>
        <v>0</v>
      </c>
      <c r="U35" s="32">
        <f>IF($B35="","",IF($B$2="Todos",SUMIFS(BD!$U$3:$U$5001,BD!$A$3:$A$5001,$B35),SUMIFS(BD!$U$3:$U$5001,BD!$A$3:$A$5001,$B35,BD!$B$3:$B$5001,$D$2)))</f>
        <v>0</v>
      </c>
      <c r="V35" s="32">
        <f>IF($B35="","",IF($B$2="Todos",SUMIFS(BD!$V$3:$V$5001,BD!$A$3:$A$5001,$B35),SUMIFS(BD!$V$3:$V$5001,BD!$A$3:$A$5001,$B35,BD!$B$3:$B$5001,$D$2)))</f>
        <v>0</v>
      </c>
      <c r="W35" s="32" t="str">
        <f>IF($B$2="Todos",IF(COUNT($C$162:$K$162)=0,"",SUM($C$162:$K$162)),IFERROR(INDEX($C$162:$K$162,MATCH($D$2,$C$138:$K$138,0)),""))</f>
        <v/>
      </c>
      <c r="X35" s="47" t="str">
        <f>IF(Y35="","",IF($B$2="Todos",IF($B$4&gt;0,$B$4,IF($B$2="Todos",IF(COUNT($C$232:$K$232)=0,"",SUM($C$232:$K$232)),IFERROR(INDEX($C$232:$K$232,MATCH($D$2,$C$208:$K$208,0)),""))),IFERROR(INDEX($C$232:$K$232,MATCH($D$2,$C$208:$K$208,0)),"")))</f>
        <v/>
      </c>
      <c r="Y35" s="32" t="str">
        <f>IF($B$2="Todos",IF(COUNT($C$197:$K$197)=0,"",SUM($C$197:$K$197)),IFERROR(INDEX($C$197:$K$197,MATCH($D$2,$C$173:$K$173,0)),""))</f>
        <v/>
      </c>
      <c r="Z35" s="48" t="str">
        <f>IF(AND(ISNUMBER(Y35),ISNUMBER(X35)),IF(X35&gt;0,Y35/X35,""),"")</f>
        <v/>
      </c>
      <c r="AA35" s="32" t="str">
        <f>IF($B$2="Todos",IF(COUNT($C$267:$K$267)=0,"",SUM($C$267:$K$267)),IFERROR(INDEX($C$267:$K$267,MATCH($D$2,$C$243:$K$243,0)),""))</f>
        <v/>
      </c>
      <c r="AB35" s="32">
        <f>IF($B35="","",IF($B$2="Todos",SUMIFS(BD!$AA$3:$AA$5001,BD!$A$3:$A$5001,$B35),SUMIFS(BD!$AA$3:$AA$5001,BD!$A$3:$A$5001,$B35,BD!$B$3:$B$5001,$D$2)))</f>
        <v>0</v>
      </c>
      <c r="AC35" s="32">
        <f>IF($B35="","",IF($B$2="Todos",SUMIFS(BD!$AB$3:$AB$5001,BD!$A$3:$A$5001,$B35),SUMIFS(BD!$AB$3:$AB$5001,BD!$A$3:$A$5001,$B35,BD!$B$3:$B$5001,$D$2)))</f>
        <v>0</v>
      </c>
      <c r="AD35" s="32">
        <f>IF($B35="","",IF($B$2="Todos",SUMIFS(BD!$AC$3:$AC$5001,BD!$A$3:$A$5001,$B35),SUMIFS(BD!$AC$3:$AC$5001,BD!$A$3:$A$5001,$B35,BD!$B$3:$B$5001,$D$2)))</f>
        <v>0</v>
      </c>
      <c r="AE35" s="32">
        <f>IF($B35="","",IF($B$2="Todos",SUMIFS(BD!$AD$3:$AD$5001,BD!$A$3:$A$5001,$B35),SUMIFS(BD!$AD$3:$AD$5001,BD!$A$3:$A$5001,$B35,BD!$B$3:$B$5001,$D$2)))</f>
        <v>0</v>
      </c>
      <c r="AF35" s="32">
        <f>IF($B35="","",IF($B$2="Todos",SUMIFS(BD!$AE$3:$AE$5001,BD!$A$3:$A$5001,$B35),SUMIFS(BD!$AE$3:$AE$5001,BD!$A$3:$A$5001,$B35,BD!$B$3:$B$5001,$D$2)))</f>
        <v>0</v>
      </c>
      <c r="AG35" s="32">
        <f>IF($B35="","",IF($B$2="Todos",SUMIFS(BD!$AF$3:$AF$5001,BD!$A$3:$A$5001,$B35),SUMIFS(BD!$AF$3:$AF$5001,BD!$A$3:$A$5001,$B35,BD!$B$3:$B$5001,$D$2)))</f>
        <v>0</v>
      </c>
      <c r="AH35" s="32">
        <f>IF($B35="","",IF($B$2="Todos",SUMIFS(BD!$AG$3:$AG$5001,BD!$A$3:$A$5001,$B35),SUMIFS(BD!$AG$3:$AG$5001,BD!$A$3:$A$5001,$B35,BD!$B$3:$B$5001,$D$2)))</f>
        <v>0</v>
      </c>
      <c r="AI35" s="49">
        <f>$B$5</f>
        <v>0.7</v>
      </c>
      <c r="AJ35" s="49">
        <f>$B$6</f>
        <v>0.9</v>
      </c>
      <c r="AY35" s="60">
        <f>IF(OR($B35="",N(VALUE($AH$335))=0),"",IF(INDEX($C35:$AH35,VALUE($AH$335))="","",IF(N(VALUE($AJ$335))=0,INDEX($C35:$AH35,VALUE($AH$335)),IF(N(INDEX($C35:$AH35,N(VALUE($AJ$335))))&gt;0,INDEX($C35:$AH35,VALUE($AH$335))/INDEX($C35:$AH35,N(VALUE($AJ$335))),""))))</f>
        <v>0</v>
      </c>
      <c r="AZ35" s="60">
        <f>IF(OR($B35="",N(VALUE($AI$335))=0),"",IF(INDEX($C35:$AH35,VALUE($AI$335))="","",IF(N(VALUE($AK$335))=0,INDEX($C35:$AH35,VALUE($AI$335)),IF(N(INDEX($C35:$AH35,N(VALUE($AK$335))))&gt;0,INDEX($C35:$AH35,VALUE($AI$335))/INDEX($C35:$AH35,N(VALUE($AK$335))),""))))</f>
        <v>0</v>
      </c>
      <c r="BA35" s="60">
        <f>IF(OR($B35="",N(VALUE($AP$335))=0),"",IF(INDEX($C35:$AH35,VALUE($AP$335))="","",IF(N(VALUE($AR$335))=0,INDEX($C35:$AH35,VALUE($AP$335)),IF(N(INDEX($C35:$AH35,N(VALUE($AR$335))))&gt;0,INDEX($C35:$AH35,VALUE($AP$335))/INDEX($C35:$AH35,N(VALUE($AR$335))),""))))</f>
        <v>0</v>
      </c>
      <c r="BB35" s="60">
        <f>IF(OR($B35="",N(VALUE($AQ$335))=0),"",IF(INDEX($C35:$AH35,VALUE($AQ$335))="","",IF(N(VALUE($AS$335))=0,INDEX($C35:$AH35,VALUE($AQ$335)),IF(N(INDEX($C35:$AH35,N(VALUE($AS$335))))&gt;0,INDEX($C35:$AH35,VALUE($AQ$335))/INDEX($C35:$AH35,N(VALUE($AS$335))),""))))</f>
        <v>0</v>
      </c>
    </row>
    <row r="36">
      <c r="A36" s="28">
        <v>25</v>
      </c>
      <c r="B36" s="45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6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32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>
        <f>IF($B36="","",IF($B$2="Todos",SUMIFS(BD!$K$3:$K$5001,BD!$A$3:$A$5001,$B36),SUMIFS(BD!$K$3:$K$5001,BD!$A$3:$A$5001,$B36,BD!$B$3:$B$5001,$D$2)))</f>
        <v>0</v>
      </c>
      <c r="L36" s="32">
        <f>IF($B36="","",IF($B$2="Todos",SUMIFS(BD!$L$3:$L$5001,BD!$A$3:$A$5001,$B36),SUMIFS(BD!$L$3:$L$5001,BD!$A$3:$A$5001,$B36,BD!$B$3:$B$5001,$D$2)))</f>
        <v>0</v>
      </c>
      <c r="M36" s="32">
        <f>IF($B36="","",IF($B$2="Todos",SUMIFS(BD!$M$3:$M$5001,BD!$A$3:$A$5001,$B36),SUMIFS(BD!$M$3:$M$5001,BD!$A$3:$A$5001,$B36,BD!$B$3:$B$5001,$D$2)))</f>
        <v>0</v>
      </c>
      <c r="N36" s="32">
        <f>IF($B36="","",IF($B$2="Todos",SUMIFS(BD!$N$3:$N$5001,BD!$A$3:$A$5001,$B36),SUMIFS(BD!$N$3:$N$5001,BD!$A$3:$A$5001,$B36,BD!$B$3:$B$5001,$D$2)))</f>
        <v>0</v>
      </c>
      <c r="O36" s="32">
        <f>IF($B36="","",IF($B$2="Todos",SUMIFS(BD!$O$3:$O$5001,BD!$A$3:$A$5001,$B36),SUMIFS(BD!$O$3:$O$5001,BD!$A$3:$A$5001,$B36,BD!$B$3:$B$5001,$D$2)))</f>
        <v>0</v>
      </c>
      <c r="P36" s="32">
        <f>IF($B36="","",IF($B$2="Todos",SUMIFS(BD!$P$3:$P$5001,BD!$A$3:$A$5001,$B36),SUMIFS(BD!$P$3:$P$5001,BD!$A$3:$A$5001,$B36,BD!$B$3:$B$5001,$D$2)))</f>
        <v>0</v>
      </c>
      <c r="Q36" s="32">
        <f>IF($B36="","",IF($B$2="Todos",SUMIFS(BD!$Q$3:$Q$5001,BD!$A$3:$A$5001,$B36),SUMIFS(BD!$Q$3:$Q$5001,BD!$A$3:$A$5001,$B36,BD!$B$3:$B$5001,$D$2)))</f>
        <v>0</v>
      </c>
      <c r="R36" s="32">
        <f>IF($B36="","",IF($B$2="Todos",SUMIFS(BD!$R$3:$R$5001,BD!$A$3:$A$5001,$B36),SUMIFS(BD!$R$3:$R$5001,BD!$A$3:$A$5001,$B36,BD!$B$3:$B$5001,$D$2)))</f>
        <v>0</v>
      </c>
      <c r="S36" s="32">
        <f>IF($B36="","",IF($B$2="Todos",SUMIFS(BD!$S$3:$S$5001,BD!$A$3:$A$5001,$B36),SUMIFS(BD!$S$3:$S$5001,BD!$A$3:$A$5001,$B36,BD!$B$3:$B$5001,$D$2)))</f>
        <v>0</v>
      </c>
      <c r="T36" s="46">
        <f>IF($B36="","",IF($B$2="Todos",SUMIFS(BD!$T$3:$T$5001,BD!$A$3:$A$5001,$B36),SUMIFS(BD!$T$3:$T$5001,BD!$A$3:$A$5001,$B36,BD!$B$3:$B$5001,$D$2)))</f>
        <v>0</v>
      </c>
      <c r="U36" s="32">
        <f>IF($B36="","",IF($B$2="Todos",SUMIFS(BD!$U$3:$U$5001,BD!$A$3:$A$5001,$B36),SUMIFS(BD!$U$3:$U$5001,BD!$A$3:$A$5001,$B36,BD!$B$3:$B$5001,$D$2)))</f>
        <v>0</v>
      </c>
      <c r="V36" s="32">
        <f>IF($B36="","",IF($B$2="Todos",SUMIFS(BD!$V$3:$V$5001,BD!$A$3:$A$5001,$B36),SUMIFS(BD!$V$3:$V$5001,BD!$A$3:$A$5001,$B36,BD!$B$3:$B$5001,$D$2)))</f>
        <v>0</v>
      </c>
      <c r="W36" s="32" t="str">
        <f>IF($B$2="Todos",IF(COUNT($C$163:$K$163)=0,"",SUM($C$163:$K$163)),IFERROR(INDEX($C$163:$K$163,MATCH($D$2,$C$138:$K$138,0)),""))</f>
        <v/>
      </c>
      <c r="X36" s="47" t="str">
        <f>IF(Y36="","",IF($B$2="Todos",IF($B$4&gt;0,$B$4,IF($B$2="Todos",IF(COUNT($C$233:$K$233)=0,"",SUM($C$233:$K$233)),IFERROR(INDEX($C$233:$K$233,MATCH($D$2,$C$208:$K$208,0)),""))),IFERROR(INDEX($C$233:$K$233,MATCH($D$2,$C$208:$K$208,0)),"")))</f>
        <v/>
      </c>
      <c r="Y36" s="32" t="str">
        <f>IF($B$2="Todos",IF(COUNT($C$198:$K$198)=0,"",SUM($C$198:$K$198)),IFERROR(INDEX($C$198:$K$198,MATCH($D$2,$C$173:$K$173,0)),""))</f>
        <v/>
      </c>
      <c r="Z36" s="48" t="str">
        <f>IF(AND(ISNUMBER(Y36),ISNUMBER(X36)),IF(X36&gt;0,Y36/X36,""),"")</f>
        <v/>
      </c>
      <c r="AA36" s="32" t="str">
        <f>IF($B$2="Todos",IF(COUNT($C$268:$K$268)=0,"",SUM($C$268:$K$268)),IFERROR(INDEX($C$268:$K$268,MATCH($D$2,$C$243:$K$243,0)),""))</f>
        <v/>
      </c>
      <c r="AB36" s="32">
        <f>IF($B36="","",IF($B$2="Todos",SUMIFS(BD!$AA$3:$AA$5001,BD!$A$3:$A$5001,$B36),SUMIFS(BD!$AA$3:$AA$5001,BD!$A$3:$A$5001,$B36,BD!$B$3:$B$5001,$D$2)))</f>
        <v>0</v>
      </c>
      <c r="AC36" s="32">
        <f>IF($B36="","",IF($B$2="Todos",SUMIFS(BD!$AB$3:$AB$5001,BD!$A$3:$A$5001,$B36),SUMIFS(BD!$AB$3:$AB$5001,BD!$A$3:$A$5001,$B36,BD!$B$3:$B$5001,$D$2)))</f>
        <v>0</v>
      </c>
      <c r="AD36" s="32">
        <f>IF($B36="","",IF($B$2="Todos",SUMIFS(BD!$AC$3:$AC$5001,BD!$A$3:$A$5001,$B36),SUMIFS(BD!$AC$3:$AC$5001,BD!$A$3:$A$5001,$B36,BD!$B$3:$B$5001,$D$2)))</f>
        <v>0</v>
      </c>
      <c r="AE36" s="32">
        <f>IF($B36="","",IF($B$2="Todos",SUMIFS(BD!$AD$3:$AD$5001,BD!$A$3:$A$5001,$B36),SUMIFS(BD!$AD$3:$AD$5001,BD!$A$3:$A$5001,$B36,BD!$B$3:$B$5001,$D$2)))</f>
        <v>0</v>
      </c>
      <c r="AF36" s="32">
        <f>IF($B36="","",IF($B$2="Todos",SUMIFS(BD!$AE$3:$AE$5001,BD!$A$3:$A$5001,$B36),SUMIFS(BD!$AE$3:$AE$5001,BD!$A$3:$A$5001,$B36,BD!$B$3:$B$5001,$D$2)))</f>
        <v>0</v>
      </c>
      <c r="AG36" s="32">
        <f>IF($B36="","",IF($B$2="Todos",SUMIFS(BD!$AF$3:$AF$5001,BD!$A$3:$A$5001,$B36),SUMIFS(BD!$AF$3:$AF$5001,BD!$A$3:$A$5001,$B36,BD!$B$3:$B$5001,$D$2)))</f>
        <v>0</v>
      </c>
      <c r="AH36" s="32">
        <f>IF($B36="","",IF($B$2="Todos",SUMIFS(BD!$AG$3:$AG$5001,BD!$A$3:$A$5001,$B36),SUMIFS(BD!$AG$3:$AG$5001,BD!$A$3:$A$5001,$B36,BD!$B$3:$B$5001,$D$2)))</f>
        <v>0</v>
      </c>
      <c r="AI36" s="49">
        <f>$B$5</f>
        <v>0.7</v>
      </c>
      <c r="AJ36" s="49">
        <f>$B$6</f>
        <v>0.9</v>
      </c>
      <c r="AY36" s="60">
        <f>IF(OR($B36="",N(VALUE($AH$335))=0),"",IF(INDEX($C36:$AH36,VALUE($AH$335))="","",IF(N(VALUE($AJ$335))=0,INDEX($C36:$AH36,VALUE($AH$335)),IF(N(INDEX($C36:$AH36,N(VALUE($AJ$335))))&gt;0,INDEX($C36:$AH36,VALUE($AH$335))/INDEX($C36:$AH36,N(VALUE($AJ$335))),""))))</f>
        <v>0</v>
      </c>
      <c r="AZ36" s="60">
        <f>IF(OR($B36="",N(VALUE($AI$335))=0),"",IF(INDEX($C36:$AH36,VALUE($AI$335))="","",IF(N(VALUE($AK$335))=0,INDEX($C36:$AH36,VALUE($AI$335)),IF(N(INDEX($C36:$AH36,N(VALUE($AK$335))))&gt;0,INDEX($C36:$AH36,VALUE($AI$335))/INDEX($C36:$AH36,N(VALUE($AK$335))),""))))</f>
        <v>0</v>
      </c>
      <c r="BA36" s="60">
        <f>IF(OR($B36="",N(VALUE($AP$335))=0),"",IF(INDEX($C36:$AH36,VALUE($AP$335))="","",IF(N(VALUE($AR$335))=0,INDEX($C36:$AH36,VALUE($AP$335)),IF(N(INDEX($C36:$AH36,N(VALUE($AR$335))))&gt;0,INDEX($C36:$AH36,VALUE($AP$335))/INDEX($C36:$AH36,N(VALUE($AR$335))),""))))</f>
        <v>0</v>
      </c>
      <c r="BB36" s="60">
        <f>IF(OR($B36="",N(VALUE($AQ$335))=0),"",IF(INDEX($C36:$AH36,VALUE($AQ$335))="","",IF(N(VALUE($AS$335))=0,INDEX($C36:$AH36,VALUE($AQ$335)),IF(N(INDEX($C36:$AH36,N(VALUE($AS$335))))&gt;0,INDEX($C36:$AH36,VALUE($AQ$335))/INDEX($C36:$AH36,N(VALUE($AS$335))),""))))</f>
        <v>0</v>
      </c>
    </row>
    <row r="37">
      <c r="A37" s="28">
        <v>26</v>
      </c>
      <c r="B37" s="45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6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32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>
        <f>IF($B37="","",IF($B$2="Todos",SUMIFS(BD!$K$3:$K$5001,BD!$A$3:$A$5001,$B37),SUMIFS(BD!$K$3:$K$5001,BD!$A$3:$A$5001,$B37,BD!$B$3:$B$5001,$D$2)))</f>
        <v>0</v>
      </c>
      <c r="L37" s="32">
        <f>IF($B37="","",IF($B$2="Todos",SUMIFS(BD!$L$3:$L$5001,BD!$A$3:$A$5001,$B37),SUMIFS(BD!$L$3:$L$5001,BD!$A$3:$A$5001,$B37,BD!$B$3:$B$5001,$D$2)))</f>
        <v>0</v>
      </c>
      <c r="M37" s="32">
        <f>IF($B37="","",IF($B$2="Todos",SUMIFS(BD!$M$3:$M$5001,BD!$A$3:$A$5001,$B37),SUMIFS(BD!$M$3:$M$5001,BD!$A$3:$A$5001,$B37,BD!$B$3:$B$5001,$D$2)))</f>
        <v>0</v>
      </c>
      <c r="N37" s="32">
        <f>IF($B37="","",IF($B$2="Todos",SUMIFS(BD!$N$3:$N$5001,BD!$A$3:$A$5001,$B37),SUMIFS(BD!$N$3:$N$5001,BD!$A$3:$A$5001,$B37,BD!$B$3:$B$5001,$D$2)))</f>
        <v>0</v>
      </c>
      <c r="O37" s="32">
        <f>IF($B37="","",IF($B$2="Todos",SUMIFS(BD!$O$3:$O$5001,BD!$A$3:$A$5001,$B37),SUMIFS(BD!$O$3:$O$5001,BD!$A$3:$A$5001,$B37,BD!$B$3:$B$5001,$D$2)))</f>
        <v>0</v>
      </c>
      <c r="P37" s="32">
        <f>IF($B37="","",IF($B$2="Todos",SUMIFS(BD!$P$3:$P$5001,BD!$A$3:$A$5001,$B37),SUMIFS(BD!$P$3:$P$5001,BD!$A$3:$A$5001,$B37,BD!$B$3:$B$5001,$D$2)))</f>
        <v>0</v>
      </c>
      <c r="Q37" s="32">
        <f>IF($B37="","",IF($B$2="Todos",SUMIFS(BD!$Q$3:$Q$5001,BD!$A$3:$A$5001,$B37),SUMIFS(BD!$Q$3:$Q$5001,BD!$A$3:$A$5001,$B37,BD!$B$3:$B$5001,$D$2)))</f>
        <v>0</v>
      </c>
      <c r="R37" s="32">
        <f>IF($B37="","",IF($B$2="Todos",SUMIFS(BD!$R$3:$R$5001,BD!$A$3:$A$5001,$B37),SUMIFS(BD!$R$3:$R$5001,BD!$A$3:$A$5001,$B37,BD!$B$3:$B$5001,$D$2)))</f>
        <v>0</v>
      </c>
      <c r="S37" s="32">
        <f>IF($B37="","",IF($B$2="Todos",SUMIFS(BD!$S$3:$S$5001,BD!$A$3:$A$5001,$B37),SUMIFS(BD!$S$3:$S$5001,BD!$A$3:$A$5001,$B37,BD!$B$3:$B$5001,$D$2)))</f>
        <v>0</v>
      </c>
      <c r="T37" s="46">
        <f>IF($B37="","",IF($B$2="Todos",SUMIFS(BD!$T$3:$T$5001,BD!$A$3:$A$5001,$B37),SUMIFS(BD!$T$3:$T$5001,BD!$A$3:$A$5001,$B37,BD!$B$3:$B$5001,$D$2)))</f>
        <v>0</v>
      </c>
      <c r="U37" s="32">
        <f>IF($B37="","",IF($B$2="Todos",SUMIFS(BD!$U$3:$U$5001,BD!$A$3:$A$5001,$B37),SUMIFS(BD!$U$3:$U$5001,BD!$A$3:$A$5001,$B37,BD!$B$3:$B$5001,$D$2)))</f>
        <v>0</v>
      </c>
      <c r="V37" s="32">
        <f>IF($B37="","",IF($B$2="Todos",SUMIFS(BD!$V$3:$V$5001,BD!$A$3:$A$5001,$B37),SUMIFS(BD!$V$3:$V$5001,BD!$A$3:$A$5001,$B37,BD!$B$3:$B$5001,$D$2)))</f>
        <v>0</v>
      </c>
      <c r="W37" s="32" t="str">
        <f>IF($B$2="Todos",IF(COUNT($C$164:$K$164)=0,"",SUM($C$164:$K$164)),IFERROR(INDEX($C$164:$K$164,MATCH($D$2,$C$138:$K$138,0)),""))</f>
        <v/>
      </c>
      <c r="X37" s="47" t="str">
        <f>IF(Y37="","",IF($B$2="Todos",IF($B$4&gt;0,$B$4,IF($B$2="Todos",IF(COUNT($C$234:$K$234)=0,"",SUM($C$234:$K$234)),IFERROR(INDEX($C$234:$K$234,MATCH($D$2,$C$208:$K$208,0)),""))),IFERROR(INDEX($C$234:$K$234,MATCH($D$2,$C$208:$K$208,0)),"")))</f>
        <v/>
      </c>
      <c r="Y37" s="32" t="str">
        <f>IF($B$2="Todos",IF(COUNT($C$199:$K$199)=0,"",SUM($C$199:$K$199)),IFERROR(INDEX($C$199:$K$199,MATCH($D$2,$C$173:$K$173,0)),""))</f>
        <v/>
      </c>
      <c r="Z37" s="48" t="str">
        <f>IF(AND(ISNUMBER(Y37),ISNUMBER(X37)),IF(X37&gt;0,Y37/X37,""),"")</f>
        <v/>
      </c>
      <c r="AA37" s="32" t="str">
        <f>IF($B$2="Todos",IF(COUNT($C$269:$K$269)=0,"",SUM($C$269:$K$269)),IFERROR(INDEX($C$269:$K$269,MATCH($D$2,$C$243:$K$243,0)),""))</f>
        <v/>
      </c>
      <c r="AB37" s="32">
        <f>IF($B37="","",IF($B$2="Todos",SUMIFS(BD!$AA$3:$AA$5001,BD!$A$3:$A$5001,$B37),SUMIFS(BD!$AA$3:$AA$5001,BD!$A$3:$A$5001,$B37,BD!$B$3:$B$5001,$D$2)))</f>
        <v>0</v>
      </c>
      <c r="AC37" s="32">
        <f>IF($B37="","",IF($B$2="Todos",SUMIFS(BD!$AB$3:$AB$5001,BD!$A$3:$A$5001,$B37),SUMIFS(BD!$AB$3:$AB$5001,BD!$A$3:$A$5001,$B37,BD!$B$3:$B$5001,$D$2)))</f>
        <v>0</v>
      </c>
      <c r="AD37" s="32">
        <f>IF($B37="","",IF($B$2="Todos",SUMIFS(BD!$AC$3:$AC$5001,BD!$A$3:$A$5001,$B37),SUMIFS(BD!$AC$3:$AC$5001,BD!$A$3:$A$5001,$B37,BD!$B$3:$B$5001,$D$2)))</f>
        <v>0</v>
      </c>
      <c r="AE37" s="32">
        <f>IF($B37="","",IF($B$2="Todos",SUMIFS(BD!$AD$3:$AD$5001,BD!$A$3:$A$5001,$B37),SUMIFS(BD!$AD$3:$AD$5001,BD!$A$3:$A$5001,$B37,BD!$B$3:$B$5001,$D$2)))</f>
        <v>0</v>
      </c>
      <c r="AF37" s="32">
        <f>IF($B37="","",IF($B$2="Todos",SUMIFS(BD!$AE$3:$AE$5001,BD!$A$3:$A$5001,$B37),SUMIFS(BD!$AE$3:$AE$5001,BD!$A$3:$A$5001,$B37,BD!$B$3:$B$5001,$D$2)))</f>
        <v>0</v>
      </c>
      <c r="AG37" s="32">
        <f>IF($B37="","",IF($B$2="Todos",SUMIFS(BD!$AF$3:$AF$5001,BD!$A$3:$A$5001,$B37),SUMIFS(BD!$AF$3:$AF$5001,BD!$A$3:$A$5001,$B37,BD!$B$3:$B$5001,$D$2)))</f>
        <v>0</v>
      </c>
      <c r="AH37" s="32">
        <f>IF($B37="","",IF($B$2="Todos",SUMIFS(BD!$AG$3:$AG$5001,BD!$A$3:$A$5001,$B37),SUMIFS(BD!$AG$3:$AG$5001,BD!$A$3:$A$5001,$B37,BD!$B$3:$B$5001,$D$2)))</f>
        <v>0</v>
      </c>
      <c r="AI37" s="49">
        <f>$B$5</f>
        <v>0.7</v>
      </c>
      <c r="AJ37" s="49">
        <f>$B$6</f>
        <v>0.9</v>
      </c>
      <c r="AY37" s="60">
        <f>IF(OR($B37="",N(VALUE($AH$335))=0),"",IF(INDEX($C37:$AH37,VALUE($AH$335))="","",IF(N(VALUE($AJ$335))=0,INDEX($C37:$AH37,VALUE($AH$335)),IF(N(INDEX($C37:$AH37,N(VALUE($AJ$335))))&gt;0,INDEX($C37:$AH37,VALUE($AH$335))/INDEX($C37:$AH37,N(VALUE($AJ$335))),""))))</f>
        <v>0</v>
      </c>
      <c r="AZ37" s="60">
        <f>IF(OR($B37="",N(VALUE($AI$335))=0),"",IF(INDEX($C37:$AH37,VALUE($AI$335))="","",IF(N(VALUE($AK$335))=0,INDEX($C37:$AH37,VALUE($AI$335)),IF(N(INDEX($C37:$AH37,N(VALUE($AK$335))))&gt;0,INDEX($C37:$AH37,VALUE($AI$335))/INDEX($C37:$AH37,N(VALUE($AK$335))),""))))</f>
        <v>0</v>
      </c>
      <c r="BA37" s="60">
        <f>IF(OR($B37="",N(VALUE($AP$335))=0),"",IF(INDEX($C37:$AH37,VALUE($AP$335))="","",IF(N(VALUE($AR$335))=0,INDEX($C37:$AH37,VALUE($AP$335)),IF(N(INDEX($C37:$AH37,N(VALUE($AR$335))))&gt;0,INDEX($C37:$AH37,VALUE($AP$335))/INDEX($C37:$AH37,N(VALUE($AR$335))),""))))</f>
        <v>0</v>
      </c>
      <c r="BB37" s="60">
        <f>IF(OR($B37="",N(VALUE($AQ$335))=0),"",IF(INDEX($C37:$AH37,VALUE($AQ$335))="","",IF(N(VALUE($AS$335))=0,INDEX($C37:$AH37,VALUE($AQ$335)),IF(N(INDEX($C37:$AH37,N(VALUE($AS$335))))&gt;0,INDEX($C37:$AH37,VALUE($AQ$335))/INDEX($C37:$AH37,N(VALUE($AS$335))),""))))</f>
        <v>0</v>
      </c>
    </row>
    <row r="38">
      <c r="A38" s="28">
        <v>27</v>
      </c>
      <c r="B38" s="45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6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32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>
        <f>IF($B38="","",IF($B$2="Todos",SUMIFS(BD!$K$3:$K$5001,BD!$A$3:$A$5001,$B38),SUMIFS(BD!$K$3:$K$5001,BD!$A$3:$A$5001,$B38,BD!$B$3:$B$5001,$D$2)))</f>
        <v>0</v>
      </c>
      <c r="L38" s="32">
        <f>IF($B38="","",IF($B$2="Todos",SUMIFS(BD!$L$3:$L$5001,BD!$A$3:$A$5001,$B38),SUMIFS(BD!$L$3:$L$5001,BD!$A$3:$A$5001,$B38,BD!$B$3:$B$5001,$D$2)))</f>
        <v>0</v>
      </c>
      <c r="M38" s="32">
        <f>IF($B38="","",IF($B$2="Todos",SUMIFS(BD!$M$3:$M$5001,BD!$A$3:$A$5001,$B38),SUMIFS(BD!$M$3:$M$5001,BD!$A$3:$A$5001,$B38,BD!$B$3:$B$5001,$D$2)))</f>
        <v>0</v>
      </c>
      <c r="N38" s="32">
        <f>IF($B38="","",IF($B$2="Todos",SUMIFS(BD!$N$3:$N$5001,BD!$A$3:$A$5001,$B38),SUMIFS(BD!$N$3:$N$5001,BD!$A$3:$A$5001,$B38,BD!$B$3:$B$5001,$D$2)))</f>
        <v>0</v>
      </c>
      <c r="O38" s="32">
        <f>IF($B38="","",IF($B$2="Todos",SUMIFS(BD!$O$3:$O$5001,BD!$A$3:$A$5001,$B38),SUMIFS(BD!$O$3:$O$5001,BD!$A$3:$A$5001,$B38,BD!$B$3:$B$5001,$D$2)))</f>
        <v>0</v>
      </c>
      <c r="P38" s="32">
        <f>IF($B38="","",IF($B$2="Todos",SUMIFS(BD!$P$3:$P$5001,BD!$A$3:$A$5001,$B38),SUMIFS(BD!$P$3:$P$5001,BD!$A$3:$A$5001,$B38,BD!$B$3:$B$5001,$D$2)))</f>
        <v>0</v>
      </c>
      <c r="Q38" s="32">
        <f>IF($B38="","",IF($B$2="Todos",SUMIFS(BD!$Q$3:$Q$5001,BD!$A$3:$A$5001,$B38),SUMIFS(BD!$Q$3:$Q$5001,BD!$A$3:$A$5001,$B38,BD!$B$3:$B$5001,$D$2)))</f>
        <v>0</v>
      </c>
      <c r="R38" s="32">
        <f>IF($B38="","",IF($B$2="Todos",SUMIFS(BD!$R$3:$R$5001,BD!$A$3:$A$5001,$B38),SUMIFS(BD!$R$3:$R$5001,BD!$A$3:$A$5001,$B38,BD!$B$3:$B$5001,$D$2)))</f>
        <v>0</v>
      </c>
      <c r="S38" s="32">
        <f>IF($B38="","",IF($B$2="Todos",SUMIFS(BD!$S$3:$S$5001,BD!$A$3:$A$5001,$B38),SUMIFS(BD!$S$3:$S$5001,BD!$A$3:$A$5001,$B38,BD!$B$3:$B$5001,$D$2)))</f>
        <v>0</v>
      </c>
      <c r="T38" s="46">
        <f>IF($B38="","",IF($B$2="Todos",SUMIFS(BD!$T$3:$T$5001,BD!$A$3:$A$5001,$B38),SUMIFS(BD!$T$3:$T$5001,BD!$A$3:$A$5001,$B38,BD!$B$3:$B$5001,$D$2)))</f>
        <v>0</v>
      </c>
      <c r="U38" s="32">
        <f>IF($B38="","",IF($B$2="Todos",SUMIFS(BD!$U$3:$U$5001,BD!$A$3:$A$5001,$B38),SUMIFS(BD!$U$3:$U$5001,BD!$A$3:$A$5001,$B38,BD!$B$3:$B$5001,$D$2)))</f>
        <v>0</v>
      </c>
      <c r="V38" s="32">
        <f>IF($B38="","",IF($B$2="Todos",SUMIFS(BD!$V$3:$V$5001,BD!$A$3:$A$5001,$B38),SUMIFS(BD!$V$3:$V$5001,BD!$A$3:$A$5001,$B38,BD!$B$3:$B$5001,$D$2)))</f>
        <v>0</v>
      </c>
      <c r="W38" s="32" t="str">
        <f>IF($B$2="Todos",IF(COUNT($C$165:$K$165)=0,"",SUM($C$165:$K$165)),IFERROR(INDEX($C$165:$K$165,MATCH($D$2,$C$138:$K$138,0)),""))</f>
        <v/>
      </c>
      <c r="X38" s="47" t="str">
        <f>IF(Y38="","",IF($B$2="Todos",IF($B$4&gt;0,$B$4,IF($B$2="Todos",IF(COUNT($C$235:$K$235)=0,"",SUM($C$235:$K$235)),IFERROR(INDEX($C$235:$K$235,MATCH($D$2,$C$208:$K$208,0)),""))),IFERROR(INDEX($C$235:$K$235,MATCH($D$2,$C$208:$K$208,0)),"")))</f>
        <v/>
      </c>
      <c r="Y38" s="32" t="str">
        <f>IF($B$2="Todos",IF(COUNT($C$200:$K$200)=0,"",SUM($C$200:$K$200)),IFERROR(INDEX($C$200:$K$200,MATCH($D$2,$C$173:$K$173,0)),""))</f>
        <v/>
      </c>
      <c r="Z38" s="48" t="str">
        <f>IF(AND(ISNUMBER(Y38),ISNUMBER(X38)),IF(X38&gt;0,Y38/X38,""),"")</f>
        <v/>
      </c>
      <c r="AA38" s="32" t="str">
        <f>IF($B$2="Todos",IF(COUNT($C$270:$K$270)=0,"",SUM($C$270:$K$270)),IFERROR(INDEX($C$270:$K$270,MATCH($D$2,$C$243:$K$243,0)),""))</f>
        <v/>
      </c>
      <c r="AB38" s="32">
        <f>IF($B38="","",IF($B$2="Todos",SUMIFS(BD!$AA$3:$AA$5001,BD!$A$3:$A$5001,$B38),SUMIFS(BD!$AA$3:$AA$5001,BD!$A$3:$A$5001,$B38,BD!$B$3:$B$5001,$D$2)))</f>
        <v>0</v>
      </c>
      <c r="AC38" s="32">
        <f>IF($B38="","",IF($B$2="Todos",SUMIFS(BD!$AB$3:$AB$5001,BD!$A$3:$A$5001,$B38),SUMIFS(BD!$AB$3:$AB$5001,BD!$A$3:$A$5001,$B38,BD!$B$3:$B$5001,$D$2)))</f>
        <v>0</v>
      </c>
      <c r="AD38" s="32">
        <f>IF($B38="","",IF($B$2="Todos",SUMIFS(BD!$AC$3:$AC$5001,BD!$A$3:$A$5001,$B38),SUMIFS(BD!$AC$3:$AC$5001,BD!$A$3:$A$5001,$B38,BD!$B$3:$B$5001,$D$2)))</f>
        <v>0</v>
      </c>
      <c r="AE38" s="32">
        <f>IF($B38="","",IF($B$2="Todos",SUMIFS(BD!$AD$3:$AD$5001,BD!$A$3:$A$5001,$B38),SUMIFS(BD!$AD$3:$AD$5001,BD!$A$3:$A$5001,$B38,BD!$B$3:$B$5001,$D$2)))</f>
        <v>0</v>
      </c>
      <c r="AF38" s="32">
        <f>IF($B38="","",IF($B$2="Todos",SUMIFS(BD!$AE$3:$AE$5001,BD!$A$3:$A$5001,$B38),SUMIFS(BD!$AE$3:$AE$5001,BD!$A$3:$A$5001,$B38,BD!$B$3:$B$5001,$D$2)))</f>
        <v>0</v>
      </c>
      <c r="AG38" s="32">
        <f>IF($B38="","",IF($B$2="Todos",SUMIFS(BD!$AF$3:$AF$5001,BD!$A$3:$A$5001,$B38),SUMIFS(BD!$AF$3:$AF$5001,BD!$A$3:$A$5001,$B38,BD!$B$3:$B$5001,$D$2)))</f>
        <v>0</v>
      </c>
      <c r="AH38" s="32">
        <f>IF($B38="","",IF($B$2="Todos",SUMIFS(BD!$AG$3:$AG$5001,BD!$A$3:$A$5001,$B38),SUMIFS(BD!$AG$3:$AG$5001,BD!$A$3:$A$5001,$B38,BD!$B$3:$B$5001,$D$2)))</f>
        <v>0</v>
      </c>
      <c r="AI38" s="49">
        <f>$B$5</f>
        <v>0.7</v>
      </c>
      <c r="AJ38" s="49">
        <f>$B$6</f>
        <v>0.9</v>
      </c>
      <c r="AY38" s="60">
        <f>IF(OR($B38="",N(VALUE($AH$335))=0),"",IF(INDEX($C38:$AH38,VALUE($AH$335))="","",IF(N(VALUE($AJ$335))=0,INDEX($C38:$AH38,VALUE($AH$335)),IF(N(INDEX($C38:$AH38,N(VALUE($AJ$335))))&gt;0,INDEX($C38:$AH38,VALUE($AH$335))/INDEX($C38:$AH38,N(VALUE($AJ$335))),""))))</f>
        <v>0</v>
      </c>
      <c r="AZ38" s="60">
        <f>IF(OR($B38="",N(VALUE($AI$335))=0),"",IF(INDEX($C38:$AH38,VALUE($AI$335))="","",IF(N(VALUE($AK$335))=0,INDEX($C38:$AH38,VALUE($AI$335)),IF(N(INDEX($C38:$AH38,N(VALUE($AK$335))))&gt;0,INDEX($C38:$AH38,VALUE($AI$335))/INDEX($C38:$AH38,N(VALUE($AK$335))),""))))</f>
        <v>0</v>
      </c>
      <c r="BA38" s="60">
        <f>IF(OR($B38="",N(VALUE($AP$335))=0),"",IF(INDEX($C38:$AH38,VALUE($AP$335))="","",IF(N(VALUE($AR$335))=0,INDEX($C38:$AH38,VALUE($AP$335)),IF(N(INDEX($C38:$AH38,N(VALUE($AR$335))))&gt;0,INDEX($C38:$AH38,VALUE($AP$335))/INDEX($C38:$AH38,N(VALUE($AR$335))),""))))</f>
        <v>0</v>
      </c>
      <c r="BB38" s="60">
        <f>IF(OR($B38="",N(VALUE($AQ$335))=0),"",IF(INDEX($C38:$AH38,VALUE($AQ$335))="","",IF(N(VALUE($AS$335))=0,INDEX($C38:$AH38,VALUE($AQ$335)),IF(N(INDEX($C38:$AH38,N(VALUE($AS$335))))&gt;0,INDEX($C38:$AH38,VALUE($AQ$335))/INDEX($C38:$AH38,N(VALUE($AS$335))),""))))</f>
        <v>0</v>
      </c>
    </row>
    <row r="39">
      <c r="A39" s="28">
        <v>28</v>
      </c>
      <c r="B39" s="45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6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32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>
        <f>IF($B39="","",IF($B$2="Todos",SUMIFS(BD!$K$3:$K$5001,BD!$A$3:$A$5001,$B39),SUMIFS(BD!$K$3:$K$5001,BD!$A$3:$A$5001,$B39,BD!$B$3:$B$5001,$D$2)))</f>
        <v>0</v>
      </c>
      <c r="L39" s="32">
        <f>IF($B39="","",IF($B$2="Todos",SUMIFS(BD!$L$3:$L$5001,BD!$A$3:$A$5001,$B39),SUMIFS(BD!$L$3:$L$5001,BD!$A$3:$A$5001,$B39,BD!$B$3:$B$5001,$D$2)))</f>
        <v>0</v>
      </c>
      <c r="M39" s="32">
        <f>IF($B39="","",IF($B$2="Todos",SUMIFS(BD!$M$3:$M$5001,BD!$A$3:$A$5001,$B39),SUMIFS(BD!$M$3:$M$5001,BD!$A$3:$A$5001,$B39,BD!$B$3:$B$5001,$D$2)))</f>
        <v>0</v>
      </c>
      <c r="N39" s="32">
        <f>IF($B39="","",IF($B$2="Todos",SUMIFS(BD!$N$3:$N$5001,BD!$A$3:$A$5001,$B39),SUMIFS(BD!$N$3:$N$5001,BD!$A$3:$A$5001,$B39,BD!$B$3:$B$5001,$D$2)))</f>
        <v>0</v>
      </c>
      <c r="O39" s="32">
        <f>IF($B39="","",IF($B$2="Todos",SUMIFS(BD!$O$3:$O$5001,BD!$A$3:$A$5001,$B39),SUMIFS(BD!$O$3:$O$5001,BD!$A$3:$A$5001,$B39,BD!$B$3:$B$5001,$D$2)))</f>
        <v>0</v>
      </c>
      <c r="P39" s="32">
        <f>IF($B39="","",IF($B$2="Todos",SUMIFS(BD!$P$3:$P$5001,BD!$A$3:$A$5001,$B39),SUMIFS(BD!$P$3:$P$5001,BD!$A$3:$A$5001,$B39,BD!$B$3:$B$5001,$D$2)))</f>
        <v>0</v>
      </c>
      <c r="Q39" s="32">
        <f>IF($B39="","",IF($B$2="Todos",SUMIFS(BD!$Q$3:$Q$5001,BD!$A$3:$A$5001,$B39),SUMIFS(BD!$Q$3:$Q$5001,BD!$A$3:$A$5001,$B39,BD!$B$3:$B$5001,$D$2)))</f>
        <v>0</v>
      </c>
      <c r="R39" s="32">
        <f>IF($B39="","",IF($B$2="Todos",SUMIFS(BD!$R$3:$R$5001,BD!$A$3:$A$5001,$B39),SUMIFS(BD!$R$3:$R$5001,BD!$A$3:$A$5001,$B39,BD!$B$3:$B$5001,$D$2)))</f>
        <v>0</v>
      </c>
      <c r="S39" s="32">
        <f>IF($B39="","",IF($B$2="Todos",SUMIFS(BD!$S$3:$S$5001,BD!$A$3:$A$5001,$B39),SUMIFS(BD!$S$3:$S$5001,BD!$A$3:$A$5001,$B39,BD!$B$3:$B$5001,$D$2)))</f>
        <v>0</v>
      </c>
      <c r="T39" s="46">
        <f>IF($B39="","",IF($B$2="Todos",SUMIFS(BD!$T$3:$T$5001,BD!$A$3:$A$5001,$B39),SUMIFS(BD!$T$3:$T$5001,BD!$A$3:$A$5001,$B39,BD!$B$3:$B$5001,$D$2)))</f>
        <v>0</v>
      </c>
      <c r="U39" s="32">
        <f>IF($B39="","",IF($B$2="Todos",SUMIFS(BD!$U$3:$U$5001,BD!$A$3:$A$5001,$B39),SUMIFS(BD!$U$3:$U$5001,BD!$A$3:$A$5001,$B39,BD!$B$3:$B$5001,$D$2)))</f>
        <v>0</v>
      </c>
      <c r="V39" s="32">
        <f>IF($B39="","",IF($B$2="Todos",SUMIFS(BD!$V$3:$V$5001,BD!$A$3:$A$5001,$B39),SUMIFS(BD!$V$3:$V$5001,BD!$A$3:$A$5001,$B39,BD!$B$3:$B$5001,$D$2)))</f>
        <v>0</v>
      </c>
      <c r="W39" s="32" t="str">
        <f>IF($B$2="Todos",IF(COUNT($C$166:$K$166)=0,"",SUM($C$166:$K$166)),IFERROR(INDEX($C$166:$K$166,MATCH($D$2,$C$138:$K$138,0)),""))</f>
        <v/>
      </c>
      <c r="X39" s="47" t="str">
        <f>IF(Y39="","",IF($B$2="Todos",IF($B$4&gt;0,$B$4,IF($B$2="Todos",IF(COUNT($C$236:$K$236)=0,"",SUM($C$236:$K$236)),IFERROR(INDEX($C$236:$K$236,MATCH($D$2,$C$208:$K$208,0)),""))),IFERROR(INDEX($C$236:$K$236,MATCH($D$2,$C$208:$K$208,0)),"")))</f>
        <v/>
      </c>
      <c r="Y39" s="32" t="str">
        <f>IF($B$2="Todos",IF(COUNT($C$201:$K$201)=0,"",SUM($C$201:$K$201)),IFERROR(INDEX($C$201:$K$201,MATCH($D$2,$C$173:$K$173,0)),""))</f>
        <v/>
      </c>
      <c r="Z39" s="48" t="str">
        <f>IF(AND(ISNUMBER(Y39),ISNUMBER(X39)),IF(X39&gt;0,Y39/X39,""),"")</f>
        <v/>
      </c>
      <c r="AA39" s="32" t="str">
        <f>IF($B$2="Todos",IF(COUNT($C$271:$K$271)=0,"",SUM($C$271:$K$271)),IFERROR(INDEX($C$271:$K$271,MATCH($D$2,$C$243:$K$243,0)),""))</f>
        <v/>
      </c>
      <c r="AB39" s="32">
        <f>IF($B39="","",IF($B$2="Todos",SUMIFS(BD!$AA$3:$AA$5001,BD!$A$3:$A$5001,$B39),SUMIFS(BD!$AA$3:$AA$5001,BD!$A$3:$A$5001,$B39,BD!$B$3:$B$5001,$D$2)))</f>
        <v>0</v>
      </c>
      <c r="AC39" s="32">
        <f>IF($B39="","",IF($B$2="Todos",SUMIFS(BD!$AB$3:$AB$5001,BD!$A$3:$A$5001,$B39),SUMIFS(BD!$AB$3:$AB$5001,BD!$A$3:$A$5001,$B39,BD!$B$3:$B$5001,$D$2)))</f>
        <v>0</v>
      </c>
      <c r="AD39" s="32">
        <f>IF($B39="","",IF($B$2="Todos",SUMIFS(BD!$AC$3:$AC$5001,BD!$A$3:$A$5001,$B39),SUMIFS(BD!$AC$3:$AC$5001,BD!$A$3:$A$5001,$B39,BD!$B$3:$B$5001,$D$2)))</f>
        <v>0</v>
      </c>
      <c r="AE39" s="32">
        <f>IF($B39="","",IF($B$2="Todos",SUMIFS(BD!$AD$3:$AD$5001,BD!$A$3:$A$5001,$B39),SUMIFS(BD!$AD$3:$AD$5001,BD!$A$3:$A$5001,$B39,BD!$B$3:$B$5001,$D$2)))</f>
        <v>0</v>
      </c>
      <c r="AF39" s="32">
        <f>IF($B39="","",IF($B$2="Todos",SUMIFS(BD!$AE$3:$AE$5001,BD!$A$3:$A$5001,$B39),SUMIFS(BD!$AE$3:$AE$5001,BD!$A$3:$A$5001,$B39,BD!$B$3:$B$5001,$D$2)))</f>
        <v>0</v>
      </c>
      <c r="AG39" s="32">
        <f>IF($B39="","",IF($B$2="Todos",SUMIFS(BD!$AF$3:$AF$5001,BD!$A$3:$A$5001,$B39),SUMIFS(BD!$AF$3:$AF$5001,BD!$A$3:$A$5001,$B39,BD!$B$3:$B$5001,$D$2)))</f>
        <v>0</v>
      </c>
      <c r="AH39" s="32">
        <f>IF($B39="","",IF($B$2="Todos",SUMIFS(BD!$AG$3:$AG$5001,BD!$A$3:$A$5001,$B39),SUMIFS(BD!$AG$3:$AG$5001,BD!$A$3:$A$5001,$B39,BD!$B$3:$B$5001,$D$2)))</f>
        <v>0</v>
      </c>
      <c r="AI39" s="49">
        <f>$B$5</f>
        <v>0.7</v>
      </c>
      <c r="AJ39" s="49">
        <f>$B$6</f>
        <v>0.9</v>
      </c>
      <c r="AY39" s="60">
        <f>IF(OR($B39="",N(VALUE($AH$335))=0),"",IF(INDEX($C39:$AH39,VALUE($AH$335))="","",IF(N(VALUE($AJ$335))=0,INDEX($C39:$AH39,VALUE($AH$335)),IF(N(INDEX($C39:$AH39,N(VALUE($AJ$335))))&gt;0,INDEX($C39:$AH39,VALUE($AH$335))/INDEX($C39:$AH39,N(VALUE($AJ$335))),""))))</f>
        <v>0</v>
      </c>
      <c r="AZ39" s="60">
        <f>IF(OR($B39="",N(VALUE($AI$335))=0),"",IF(INDEX($C39:$AH39,VALUE($AI$335))="","",IF(N(VALUE($AK$335))=0,INDEX($C39:$AH39,VALUE($AI$335)),IF(N(INDEX($C39:$AH39,N(VALUE($AK$335))))&gt;0,INDEX($C39:$AH39,VALUE($AI$335))/INDEX($C39:$AH39,N(VALUE($AK$335))),""))))</f>
        <v>0</v>
      </c>
      <c r="BA39" s="60">
        <f>IF(OR($B39="",N(VALUE($AP$335))=0),"",IF(INDEX($C39:$AH39,VALUE($AP$335))="","",IF(N(VALUE($AR$335))=0,INDEX($C39:$AH39,VALUE($AP$335)),IF(N(INDEX($C39:$AH39,N(VALUE($AR$335))))&gt;0,INDEX($C39:$AH39,VALUE($AP$335))/INDEX($C39:$AH39,N(VALUE($AR$335))),""))))</f>
        <v>0</v>
      </c>
      <c r="BB39" s="60">
        <f>IF(OR($B39="",N(VALUE($AQ$335))=0),"",IF(INDEX($C39:$AH39,VALUE($AQ$335))="","",IF(N(VALUE($AS$335))=0,INDEX($C39:$AH39,VALUE($AQ$335)),IF(N(INDEX($C39:$AH39,N(VALUE($AS$335))))&gt;0,INDEX($C39:$AH39,VALUE($AQ$335))/INDEX($C39:$AH39,N(VALUE($AS$335))),""))))</f>
        <v>0</v>
      </c>
    </row>
    <row r="40">
      <c r="A40" s="28">
        <v>29</v>
      </c>
      <c r="B40" s="45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6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32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>
        <f>IF($B40="","",IF($B$2="Todos",SUMIFS(BD!$K$3:$K$5001,BD!$A$3:$A$5001,$B40),SUMIFS(BD!$K$3:$K$5001,BD!$A$3:$A$5001,$B40,BD!$B$3:$B$5001,$D$2)))</f>
        <v>0</v>
      </c>
      <c r="L40" s="32">
        <f>IF($B40="","",IF($B$2="Todos",SUMIFS(BD!$L$3:$L$5001,BD!$A$3:$A$5001,$B40),SUMIFS(BD!$L$3:$L$5001,BD!$A$3:$A$5001,$B40,BD!$B$3:$B$5001,$D$2)))</f>
        <v>0</v>
      </c>
      <c r="M40" s="32">
        <f>IF($B40="","",IF($B$2="Todos",SUMIFS(BD!$M$3:$M$5001,BD!$A$3:$A$5001,$B40),SUMIFS(BD!$M$3:$M$5001,BD!$A$3:$A$5001,$B40,BD!$B$3:$B$5001,$D$2)))</f>
        <v>0</v>
      </c>
      <c r="N40" s="32">
        <f>IF($B40="","",IF($B$2="Todos",SUMIFS(BD!$N$3:$N$5001,BD!$A$3:$A$5001,$B40),SUMIFS(BD!$N$3:$N$5001,BD!$A$3:$A$5001,$B40,BD!$B$3:$B$5001,$D$2)))</f>
        <v>0</v>
      </c>
      <c r="O40" s="32">
        <f>IF($B40="","",IF($B$2="Todos",SUMIFS(BD!$O$3:$O$5001,BD!$A$3:$A$5001,$B40),SUMIFS(BD!$O$3:$O$5001,BD!$A$3:$A$5001,$B40,BD!$B$3:$B$5001,$D$2)))</f>
        <v>0</v>
      </c>
      <c r="P40" s="32">
        <f>IF($B40="","",IF($B$2="Todos",SUMIFS(BD!$P$3:$P$5001,BD!$A$3:$A$5001,$B40),SUMIFS(BD!$P$3:$P$5001,BD!$A$3:$A$5001,$B40,BD!$B$3:$B$5001,$D$2)))</f>
        <v>0</v>
      </c>
      <c r="Q40" s="32">
        <f>IF($B40="","",IF($B$2="Todos",SUMIFS(BD!$Q$3:$Q$5001,BD!$A$3:$A$5001,$B40),SUMIFS(BD!$Q$3:$Q$5001,BD!$A$3:$A$5001,$B40,BD!$B$3:$B$5001,$D$2)))</f>
        <v>0</v>
      </c>
      <c r="R40" s="32">
        <f>IF($B40="","",IF($B$2="Todos",SUMIFS(BD!$R$3:$R$5001,BD!$A$3:$A$5001,$B40),SUMIFS(BD!$R$3:$R$5001,BD!$A$3:$A$5001,$B40,BD!$B$3:$B$5001,$D$2)))</f>
        <v>0</v>
      </c>
      <c r="S40" s="32">
        <f>IF($B40="","",IF($B$2="Todos",SUMIFS(BD!$S$3:$S$5001,BD!$A$3:$A$5001,$B40),SUMIFS(BD!$S$3:$S$5001,BD!$A$3:$A$5001,$B40,BD!$B$3:$B$5001,$D$2)))</f>
        <v>0</v>
      </c>
      <c r="T40" s="46">
        <f>IF($B40="","",IF($B$2="Todos",SUMIFS(BD!$T$3:$T$5001,BD!$A$3:$A$5001,$B40),SUMIFS(BD!$T$3:$T$5001,BD!$A$3:$A$5001,$B40,BD!$B$3:$B$5001,$D$2)))</f>
        <v>0</v>
      </c>
      <c r="U40" s="32">
        <f>IF($B40="","",IF($B$2="Todos",SUMIFS(BD!$U$3:$U$5001,BD!$A$3:$A$5001,$B40),SUMIFS(BD!$U$3:$U$5001,BD!$A$3:$A$5001,$B40,BD!$B$3:$B$5001,$D$2)))</f>
        <v>0</v>
      </c>
      <c r="V40" s="32">
        <f>IF($B40="","",IF($B$2="Todos",SUMIFS(BD!$V$3:$V$5001,BD!$A$3:$A$5001,$B40),SUMIFS(BD!$V$3:$V$5001,BD!$A$3:$A$5001,$B40,BD!$B$3:$B$5001,$D$2)))</f>
        <v>0</v>
      </c>
      <c r="W40" s="32" t="str">
        <f>IF($B$2="Todos",IF(COUNT($C$167:$K$167)=0,"",SUM($C$167:$K$167)),IFERROR(INDEX($C$167:$K$167,MATCH($D$2,$C$138:$K$138,0)),""))</f>
        <v/>
      </c>
      <c r="X40" s="47" t="str">
        <f>IF(Y40="","",IF($B$2="Todos",IF($B$4&gt;0,$B$4,IF($B$2="Todos",IF(COUNT($C$237:$K$237)=0,"",SUM($C$237:$K$237)),IFERROR(INDEX($C$237:$K$237,MATCH($D$2,$C$208:$K$208,0)),""))),IFERROR(INDEX($C$237:$K$237,MATCH($D$2,$C$208:$K$208,0)),"")))</f>
        <v/>
      </c>
      <c r="Y40" s="32" t="str">
        <f>IF($B$2="Todos",IF(COUNT($C$202:$K$202)=0,"",SUM($C$202:$K$202)),IFERROR(INDEX($C$202:$K$202,MATCH($D$2,$C$173:$K$173,0)),""))</f>
        <v/>
      </c>
      <c r="Z40" s="48" t="str">
        <f>IF(AND(ISNUMBER(Y40),ISNUMBER(X40)),IF(X40&gt;0,Y40/X40,""),"")</f>
        <v/>
      </c>
      <c r="AA40" s="32" t="str">
        <f>IF($B$2="Todos",IF(COUNT($C$272:$K$272)=0,"",SUM($C$272:$K$272)),IFERROR(INDEX($C$272:$K$272,MATCH($D$2,$C$243:$K$243,0)),""))</f>
        <v/>
      </c>
      <c r="AB40" s="32">
        <f>IF($B40="","",IF($B$2="Todos",SUMIFS(BD!$AA$3:$AA$5001,BD!$A$3:$A$5001,$B40),SUMIFS(BD!$AA$3:$AA$5001,BD!$A$3:$A$5001,$B40,BD!$B$3:$B$5001,$D$2)))</f>
        <v>0</v>
      </c>
      <c r="AC40" s="32">
        <f>IF($B40="","",IF($B$2="Todos",SUMIFS(BD!$AB$3:$AB$5001,BD!$A$3:$A$5001,$B40),SUMIFS(BD!$AB$3:$AB$5001,BD!$A$3:$A$5001,$B40,BD!$B$3:$B$5001,$D$2)))</f>
        <v>0</v>
      </c>
      <c r="AD40" s="32">
        <f>IF($B40="","",IF($B$2="Todos",SUMIFS(BD!$AC$3:$AC$5001,BD!$A$3:$A$5001,$B40),SUMIFS(BD!$AC$3:$AC$5001,BD!$A$3:$A$5001,$B40,BD!$B$3:$B$5001,$D$2)))</f>
        <v>0</v>
      </c>
      <c r="AE40" s="32">
        <f>IF($B40="","",IF($B$2="Todos",SUMIFS(BD!$AD$3:$AD$5001,BD!$A$3:$A$5001,$B40),SUMIFS(BD!$AD$3:$AD$5001,BD!$A$3:$A$5001,$B40,BD!$B$3:$B$5001,$D$2)))</f>
        <v>0</v>
      </c>
      <c r="AF40" s="32">
        <f>IF($B40="","",IF($B$2="Todos",SUMIFS(BD!$AE$3:$AE$5001,BD!$A$3:$A$5001,$B40),SUMIFS(BD!$AE$3:$AE$5001,BD!$A$3:$A$5001,$B40,BD!$B$3:$B$5001,$D$2)))</f>
        <v>0</v>
      </c>
      <c r="AG40" s="32">
        <f>IF($B40="","",IF($B$2="Todos",SUMIFS(BD!$AF$3:$AF$5001,BD!$A$3:$A$5001,$B40),SUMIFS(BD!$AF$3:$AF$5001,BD!$A$3:$A$5001,$B40,BD!$B$3:$B$5001,$D$2)))</f>
        <v>0</v>
      </c>
      <c r="AH40" s="32">
        <f>IF($B40="","",IF($B$2="Todos",SUMIFS(BD!$AG$3:$AG$5001,BD!$A$3:$A$5001,$B40),SUMIFS(BD!$AG$3:$AG$5001,BD!$A$3:$A$5001,$B40,BD!$B$3:$B$5001,$D$2)))</f>
        <v>0</v>
      </c>
      <c r="AI40" s="49">
        <f>$B$5</f>
        <v>0.7</v>
      </c>
      <c r="AJ40" s="49">
        <f>$B$6</f>
        <v>0.9</v>
      </c>
      <c r="AY40" s="60">
        <f>IF(OR($B40="",N(VALUE($AH$335))=0),"",IF(INDEX($C40:$AH40,VALUE($AH$335))="","",IF(N(VALUE($AJ$335))=0,INDEX($C40:$AH40,VALUE($AH$335)),IF(N(INDEX($C40:$AH40,N(VALUE($AJ$335))))&gt;0,INDEX($C40:$AH40,VALUE($AH$335))/INDEX($C40:$AH40,N(VALUE($AJ$335))),""))))</f>
        <v>0</v>
      </c>
      <c r="AZ40" s="60">
        <f>IF(OR($B40="",N(VALUE($AI$335))=0),"",IF(INDEX($C40:$AH40,VALUE($AI$335))="","",IF(N(VALUE($AK$335))=0,INDEX($C40:$AH40,VALUE($AI$335)),IF(N(INDEX($C40:$AH40,N(VALUE($AK$335))))&gt;0,INDEX($C40:$AH40,VALUE($AI$335))/INDEX($C40:$AH40,N(VALUE($AK$335))),""))))</f>
        <v>0</v>
      </c>
      <c r="BA40" s="60">
        <f>IF(OR($B40="",N(VALUE($AP$335))=0),"",IF(INDEX($C40:$AH40,VALUE($AP$335))="","",IF(N(VALUE($AR$335))=0,INDEX($C40:$AH40,VALUE($AP$335)),IF(N(INDEX($C40:$AH40,N(VALUE($AR$335))))&gt;0,INDEX($C40:$AH40,VALUE($AP$335))/INDEX($C40:$AH40,N(VALUE($AR$335))),""))))</f>
        <v>0</v>
      </c>
      <c r="BB40" s="60">
        <f>IF(OR($B40="",N(VALUE($AQ$335))=0),"",IF(INDEX($C40:$AH40,VALUE($AQ$335))="","",IF(N(VALUE($AS$335))=0,INDEX($C40:$AH40,VALUE($AQ$335)),IF(N(INDEX($C40:$AH40,N(VALUE($AS$335))))&gt;0,INDEX($C40:$AH40,VALUE($AQ$335))/INDEX($C40:$AH40,N(VALUE($AS$335))),""))))</f>
        <v>0</v>
      </c>
    </row>
    <row r="41">
      <c r="A41" s="28">
        <v>30</v>
      </c>
      <c r="B41" s="45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6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32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>
        <f>IF($B41="","",IF($B$2="Todos",SUMIFS(BD!$K$3:$K$5001,BD!$A$3:$A$5001,$B41),SUMIFS(BD!$K$3:$K$5001,BD!$A$3:$A$5001,$B41,BD!$B$3:$B$5001,$D$2)))</f>
        <v>0</v>
      </c>
      <c r="L41" s="32">
        <f>IF($B41="","",IF($B$2="Todos",SUMIFS(BD!$L$3:$L$5001,BD!$A$3:$A$5001,$B41),SUMIFS(BD!$L$3:$L$5001,BD!$A$3:$A$5001,$B41,BD!$B$3:$B$5001,$D$2)))</f>
        <v>0</v>
      </c>
      <c r="M41" s="32">
        <f>IF($B41="","",IF($B$2="Todos",SUMIFS(BD!$M$3:$M$5001,BD!$A$3:$A$5001,$B41),SUMIFS(BD!$M$3:$M$5001,BD!$A$3:$A$5001,$B41,BD!$B$3:$B$5001,$D$2)))</f>
        <v>0</v>
      </c>
      <c r="N41" s="32">
        <f>IF($B41="","",IF($B$2="Todos",SUMIFS(BD!$N$3:$N$5001,BD!$A$3:$A$5001,$B41),SUMIFS(BD!$N$3:$N$5001,BD!$A$3:$A$5001,$B41,BD!$B$3:$B$5001,$D$2)))</f>
        <v>0</v>
      </c>
      <c r="O41" s="32">
        <f>IF($B41="","",IF($B$2="Todos",SUMIFS(BD!$O$3:$O$5001,BD!$A$3:$A$5001,$B41),SUMIFS(BD!$O$3:$O$5001,BD!$A$3:$A$5001,$B41,BD!$B$3:$B$5001,$D$2)))</f>
        <v>0</v>
      </c>
      <c r="P41" s="32">
        <f>IF($B41="","",IF($B$2="Todos",SUMIFS(BD!$P$3:$P$5001,BD!$A$3:$A$5001,$B41),SUMIFS(BD!$P$3:$P$5001,BD!$A$3:$A$5001,$B41,BD!$B$3:$B$5001,$D$2)))</f>
        <v>0</v>
      </c>
      <c r="Q41" s="32">
        <f>IF($B41="","",IF($B$2="Todos",SUMIFS(BD!$Q$3:$Q$5001,BD!$A$3:$A$5001,$B41),SUMIFS(BD!$Q$3:$Q$5001,BD!$A$3:$A$5001,$B41,BD!$B$3:$B$5001,$D$2)))</f>
        <v>0</v>
      </c>
      <c r="R41" s="32">
        <f>IF($B41="","",IF($B$2="Todos",SUMIFS(BD!$R$3:$R$5001,BD!$A$3:$A$5001,$B41),SUMIFS(BD!$R$3:$R$5001,BD!$A$3:$A$5001,$B41,BD!$B$3:$B$5001,$D$2)))</f>
        <v>0</v>
      </c>
      <c r="S41" s="32">
        <f>IF($B41="","",IF($B$2="Todos",SUMIFS(BD!$S$3:$S$5001,BD!$A$3:$A$5001,$B41),SUMIFS(BD!$S$3:$S$5001,BD!$A$3:$A$5001,$B41,BD!$B$3:$B$5001,$D$2)))</f>
        <v>0</v>
      </c>
      <c r="T41" s="46">
        <f>IF($B41="","",IF($B$2="Todos",SUMIFS(BD!$T$3:$T$5001,BD!$A$3:$A$5001,$B41),SUMIFS(BD!$T$3:$T$5001,BD!$A$3:$A$5001,$B41,BD!$B$3:$B$5001,$D$2)))</f>
        <v>0</v>
      </c>
      <c r="U41" s="32">
        <f>IF($B41="","",IF($B$2="Todos",SUMIFS(BD!$U$3:$U$5001,BD!$A$3:$A$5001,$B41),SUMIFS(BD!$U$3:$U$5001,BD!$A$3:$A$5001,$B41,BD!$B$3:$B$5001,$D$2)))</f>
        <v>0</v>
      </c>
      <c r="V41" s="32">
        <f>IF($B41="","",IF($B$2="Todos",SUMIFS(BD!$V$3:$V$5001,BD!$A$3:$A$5001,$B41),SUMIFS(BD!$V$3:$V$5001,BD!$A$3:$A$5001,$B41,BD!$B$3:$B$5001,$D$2)))</f>
        <v>0</v>
      </c>
      <c r="W41" s="32" t="str">
        <f>IF($B$2="Todos",IF(COUNT($C$168:$K$168)=0,"",SUM($C$168:$K$168)),IFERROR(INDEX($C$168:$K$168,MATCH($D$2,$C$138:$K$138,0)),""))</f>
        <v/>
      </c>
      <c r="X41" s="47" t="str">
        <f>IF(Y41="","",IF($B$2="Todos",IF($B$4&gt;0,$B$4,IF($B$2="Todos",IF(COUNT($C$238:$K$238)=0,"",SUM($C$238:$K$238)),IFERROR(INDEX($C$238:$K$238,MATCH($D$2,$C$208:$K$208,0)),""))),IFERROR(INDEX($C$238:$K$238,MATCH($D$2,$C$208:$K$208,0)),"")))</f>
        <v/>
      </c>
      <c r="Y41" s="32" t="str">
        <f>IF($B$2="Todos",IF(COUNT($C$203:$K$203)=0,"",SUM($C$203:$K$203)),IFERROR(INDEX($C$203:$K$203,MATCH($D$2,$C$173:$K$173,0)),""))</f>
        <v/>
      </c>
      <c r="Z41" s="48" t="str">
        <f>IF(AND(ISNUMBER(Y41),ISNUMBER(X41)),IF(X41&gt;0,Y41/X41,""),"")</f>
        <v/>
      </c>
      <c r="AA41" s="32" t="str">
        <f>IF($B$2="Todos",IF(COUNT($C$273:$K$273)=0,"",SUM($C$273:$K$273)),IFERROR(INDEX($C$273:$K$273,MATCH($D$2,$C$243:$K$243,0)),""))</f>
        <v/>
      </c>
      <c r="AB41" s="32">
        <f>IF($B41="","",IF($B$2="Todos",SUMIFS(BD!$AA$3:$AA$5001,BD!$A$3:$A$5001,$B41),SUMIFS(BD!$AA$3:$AA$5001,BD!$A$3:$A$5001,$B41,BD!$B$3:$B$5001,$D$2)))</f>
        <v>0</v>
      </c>
      <c r="AC41" s="32">
        <f>IF($B41="","",IF($B$2="Todos",SUMIFS(BD!$AB$3:$AB$5001,BD!$A$3:$A$5001,$B41),SUMIFS(BD!$AB$3:$AB$5001,BD!$A$3:$A$5001,$B41,BD!$B$3:$B$5001,$D$2)))</f>
        <v>0</v>
      </c>
      <c r="AD41" s="32">
        <f>IF($B41="","",IF($B$2="Todos",SUMIFS(BD!$AC$3:$AC$5001,BD!$A$3:$A$5001,$B41),SUMIFS(BD!$AC$3:$AC$5001,BD!$A$3:$A$5001,$B41,BD!$B$3:$B$5001,$D$2)))</f>
        <v>0</v>
      </c>
      <c r="AE41" s="32">
        <f>IF($B41="","",IF($B$2="Todos",SUMIFS(BD!$AD$3:$AD$5001,BD!$A$3:$A$5001,$B41),SUMIFS(BD!$AD$3:$AD$5001,BD!$A$3:$A$5001,$B41,BD!$B$3:$B$5001,$D$2)))</f>
        <v>0</v>
      </c>
      <c r="AF41" s="32">
        <f>IF($B41="","",IF($B$2="Todos",SUMIFS(BD!$AE$3:$AE$5001,BD!$A$3:$A$5001,$B41),SUMIFS(BD!$AE$3:$AE$5001,BD!$A$3:$A$5001,$B41,BD!$B$3:$B$5001,$D$2)))</f>
        <v>0</v>
      </c>
      <c r="AG41" s="32">
        <f>IF($B41="","",IF($B$2="Todos",SUMIFS(BD!$AF$3:$AF$5001,BD!$A$3:$A$5001,$B41),SUMIFS(BD!$AF$3:$AF$5001,BD!$A$3:$A$5001,$B41,BD!$B$3:$B$5001,$D$2)))</f>
        <v>0</v>
      </c>
      <c r="AH41" s="32">
        <f>IF($B41="","",IF($B$2="Todos",SUMIFS(BD!$AG$3:$AG$5001,BD!$A$3:$A$5001,$B41),SUMIFS(BD!$AG$3:$AG$5001,BD!$A$3:$A$5001,$B41,BD!$B$3:$B$5001,$D$2)))</f>
        <v>0</v>
      </c>
      <c r="AI41" s="49">
        <f>$B$5</f>
        <v>0.7</v>
      </c>
      <c r="AJ41" s="49">
        <f>$B$6</f>
        <v>0.9</v>
      </c>
      <c r="AY41" s="60">
        <f>IF(OR($B41="",N(VALUE($AH$335))=0),"",IF(INDEX($C41:$AH41,VALUE($AH$335))="","",IF(N(VALUE($AJ$335))=0,INDEX($C41:$AH41,VALUE($AH$335)),IF(N(INDEX($C41:$AH41,N(VALUE($AJ$335))))&gt;0,INDEX($C41:$AH41,VALUE($AH$335))/INDEX($C41:$AH41,N(VALUE($AJ$335))),""))))</f>
        <v>0</v>
      </c>
      <c r="AZ41" s="60">
        <f>IF(OR($B41="",N(VALUE($AI$335))=0),"",IF(INDEX($C41:$AH41,VALUE($AI$335))="","",IF(N(VALUE($AK$335))=0,INDEX($C41:$AH41,VALUE($AI$335)),IF(N(INDEX($C41:$AH41,N(VALUE($AK$335))))&gt;0,INDEX($C41:$AH41,VALUE($AI$335))/INDEX($C41:$AH41,N(VALUE($AK$335))),""))))</f>
        <v>0</v>
      </c>
      <c r="BA41" s="60">
        <f>IF(OR($B41="",N(VALUE($AP$335))=0),"",IF(INDEX($C41:$AH41,VALUE($AP$335))="","",IF(N(VALUE($AR$335))=0,INDEX($C41:$AH41,VALUE($AP$335)),IF(N(INDEX($C41:$AH41,N(VALUE($AR$335))))&gt;0,INDEX($C41:$AH41,VALUE($AP$335))/INDEX($C41:$AH41,N(VALUE($AR$335))),""))))</f>
        <v>0</v>
      </c>
      <c r="BB41" s="60">
        <f>IF(OR($B41="",N(VALUE($AQ$335))=0),"",IF(INDEX($C41:$AH41,VALUE($AQ$335))="","",IF(N(VALUE($AS$335))=0,INDEX($C41:$AH41,VALUE($AQ$335)),IF(N(INDEX($C41:$AH41,N(VALUE($AS$335))))&gt;0,INDEX($C41:$AH41,VALUE($AQ$335))/INDEX($C41:$AH41,N(VALUE($AS$335))),""))))</f>
        <v>0</v>
      </c>
    </row>
    <row r="42">
      <c r="A42" s="28">
        <v>31</v>
      </c>
      <c r="B42" s="45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6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32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>
        <f>IF($B42="","",IF($B$2="Todos",SUMIFS(BD!$K$3:$K$5001,BD!$A$3:$A$5001,$B42),SUMIFS(BD!$K$3:$K$5001,BD!$A$3:$A$5001,$B42,BD!$B$3:$B$5001,$D$2)))</f>
        <v>0</v>
      </c>
      <c r="L42" s="32">
        <f>IF($B42="","",IF($B$2="Todos",SUMIFS(BD!$L$3:$L$5001,BD!$A$3:$A$5001,$B42),SUMIFS(BD!$L$3:$L$5001,BD!$A$3:$A$5001,$B42,BD!$B$3:$B$5001,$D$2)))</f>
        <v>0</v>
      </c>
      <c r="M42" s="32">
        <f>IF($B42="","",IF($B$2="Todos",SUMIFS(BD!$M$3:$M$5001,BD!$A$3:$A$5001,$B42),SUMIFS(BD!$M$3:$M$5001,BD!$A$3:$A$5001,$B42,BD!$B$3:$B$5001,$D$2)))</f>
        <v>0</v>
      </c>
      <c r="N42" s="32">
        <f>IF($B42="","",IF($B$2="Todos",SUMIFS(BD!$N$3:$N$5001,BD!$A$3:$A$5001,$B42),SUMIFS(BD!$N$3:$N$5001,BD!$A$3:$A$5001,$B42,BD!$B$3:$B$5001,$D$2)))</f>
        <v>0</v>
      </c>
      <c r="O42" s="32">
        <f>IF($B42="","",IF($B$2="Todos",SUMIFS(BD!$O$3:$O$5001,BD!$A$3:$A$5001,$B42),SUMIFS(BD!$O$3:$O$5001,BD!$A$3:$A$5001,$B42,BD!$B$3:$B$5001,$D$2)))</f>
        <v>0</v>
      </c>
      <c r="P42" s="32">
        <f>IF($B42="","",IF($B$2="Todos",SUMIFS(BD!$P$3:$P$5001,BD!$A$3:$A$5001,$B42),SUMIFS(BD!$P$3:$P$5001,BD!$A$3:$A$5001,$B42,BD!$B$3:$B$5001,$D$2)))</f>
        <v>0</v>
      </c>
      <c r="Q42" s="32">
        <f>IF($B42="","",IF($B$2="Todos",SUMIFS(BD!$Q$3:$Q$5001,BD!$A$3:$A$5001,$B42),SUMIFS(BD!$Q$3:$Q$5001,BD!$A$3:$A$5001,$B42,BD!$B$3:$B$5001,$D$2)))</f>
        <v>0</v>
      </c>
      <c r="R42" s="32">
        <f>IF($B42="","",IF($B$2="Todos",SUMIFS(BD!$R$3:$R$5001,BD!$A$3:$A$5001,$B42),SUMIFS(BD!$R$3:$R$5001,BD!$A$3:$A$5001,$B42,BD!$B$3:$B$5001,$D$2)))</f>
        <v>0</v>
      </c>
      <c r="S42" s="32">
        <f>IF($B42="","",IF($B$2="Todos",SUMIFS(BD!$S$3:$S$5001,BD!$A$3:$A$5001,$B42),SUMIFS(BD!$S$3:$S$5001,BD!$A$3:$A$5001,$B42,BD!$B$3:$B$5001,$D$2)))</f>
        <v>0</v>
      </c>
      <c r="T42" s="46">
        <f>IF($B42="","",IF($B$2="Todos",SUMIFS(BD!$T$3:$T$5001,BD!$A$3:$A$5001,$B42),SUMIFS(BD!$T$3:$T$5001,BD!$A$3:$A$5001,$B42,BD!$B$3:$B$5001,$D$2)))</f>
        <v>0</v>
      </c>
      <c r="U42" s="32">
        <f>IF($B42="","",IF($B$2="Todos",SUMIFS(BD!$U$3:$U$5001,BD!$A$3:$A$5001,$B42),SUMIFS(BD!$U$3:$U$5001,BD!$A$3:$A$5001,$B42,BD!$B$3:$B$5001,$D$2)))</f>
        <v>0</v>
      </c>
      <c r="V42" s="32">
        <f>IF($B42="","",IF($B$2="Todos",SUMIFS(BD!$V$3:$V$5001,BD!$A$3:$A$5001,$B42),SUMIFS(BD!$V$3:$V$5001,BD!$A$3:$A$5001,$B42,BD!$B$3:$B$5001,$D$2)))</f>
        <v>0</v>
      </c>
      <c r="W42" s="32" t="str">
        <f>IF($B$2="Todos",IF(COUNT($C$169:$K$169)=0,"",SUM($C$169:$K$169)),IFERROR(INDEX($C$169:$K$169,MATCH($D$2,$C$138:$K$138,0)),""))</f>
        <v/>
      </c>
      <c r="X42" s="47" t="str">
        <f>IF(Y42="","",IF($B$2="Todos",IF($B$4&gt;0,$B$4,IF($B$2="Todos",IF(COUNT($C$239:$K$239)=0,"",SUM($C$239:$K$239)),IFERROR(INDEX($C$239:$K$239,MATCH($D$2,$C$208:$K$208,0)),""))),IFERROR(INDEX($C$239:$K$239,MATCH($D$2,$C$208:$K$208,0)),"")))</f>
        <v/>
      </c>
      <c r="Y42" s="32" t="str">
        <f>IF($B$2="Todos",IF(COUNT($C$204:$K$204)=0,"",SUM($C$204:$K$204)),IFERROR(INDEX($C$204:$K$204,MATCH($D$2,$C$173:$K$173,0)),""))</f>
        <v/>
      </c>
      <c r="Z42" s="48" t="str">
        <f>IF(AND(ISNUMBER(Y42),ISNUMBER(X42)),IF(X42&gt;0,Y42/X42,""),"")</f>
        <v/>
      </c>
      <c r="AA42" s="32" t="str">
        <f>IF($B$2="Todos",IF(COUNT($C$274:$K$274)=0,"",SUM($C$274:$K$274)),IFERROR(INDEX($C$274:$K$274,MATCH($D$2,$C$243:$K$243,0)),""))</f>
        <v/>
      </c>
      <c r="AB42" s="32">
        <f>IF($B42="","",IF($B$2="Todos",SUMIFS(BD!$AA$3:$AA$5001,BD!$A$3:$A$5001,$B42),SUMIFS(BD!$AA$3:$AA$5001,BD!$A$3:$A$5001,$B42,BD!$B$3:$B$5001,$D$2)))</f>
        <v>0</v>
      </c>
      <c r="AC42" s="32">
        <f>IF($B42="","",IF($B$2="Todos",SUMIFS(BD!$AB$3:$AB$5001,BD!$A$3:$A$5001,$B42),SUMIFS(BD!$AB$3:$AB$5001,BD!$A$3:$A$5001,$B42,BD!$B$3:$B$5001,$D$2)))</f>
        <v>0</v>
      </c>
      <c r="AD42" s="32">
        <f>IF($B42="","",IF($B$2="Todos",SUMIFS(BD!$AC$3:$AC$5001,BD!$A$3:$A$5001,$B42),SUMIFS(BD!$AC$3:$AC$5001,BD!$A$3:$A$5001,$B42,BD!$B$3:$B$5001,$D$2)))</f>
        <v>0</v>
      </c>
      <c r="AE42" s="32">
        <f>IF($B42="","",IF($B$2="Todos",SUMIFS(BD!$AD$3:$AD$5001,BD!$A$3:$A$5001,$B42),SUMIFS(BD!$AD$3:$AD$5001,BD!$A$3:$A$5001,$B42,BD!$B$3:$B$5001,$D$2)))</f>
        <v>0</v>
      </c>
      <c r="AF42" s="32">
        <f>IF($B42="","",IF($B$2="Todos",SUMIFS(BD!$AE$3:$AE$5001,BD!$A$3:$A$5001,$B42),SUMIFS(BD!$AE$3:$AE$5001,BD!$A$3:$A$5001,$B42,BD!$B$3:$B$5001,$D$2)))</f>
        <v>0</v>
      </c>
      <c r="AG42" s="32">
        <f>IF($B42="","",IF($B$2="Todos",SUMIFS(BD!$AF$3:$AF$5001,BD!$A$3:$A$5001,$B42),SUMIFS(BD!$AF$3:$AF$5001,BD!$A$3:$A$5001,$B42,BD!$B$3:$B$5001,$D$2)))</f>
        <v>0</v>
      </c>
      <c r="AH42" s="32">
        <f>IF($B42="","",IF($B$2="Todos",SUMIFS(BD!$AG$3:$AG$5001,BD!$A$3:$A$5001,$B42),SUMIFS(BD!$AG$3:$AG$5001,BD!$A$3:$A$5001,$B42,BD!$B$3:$B$5001,$D$2)))</f>
        <v>0</v>
      </c>
      <c r="AI42" s="49">
        <f>$B$5</f>
        <v>0.7</v>
      </c>
      <c r="AJ42" s="49">
        <f>$B$6</f>
        <v>0.9</v>
      </c>
      <c r="AY42" s="60">
        <f>IF(OR($B42="",N(VALUE($AH$335))=0),"",IF(INDEX($C42:$AH42,VALUE($AH$335))="","",IF(N(VALUE($AJ$335))=0,INDEX($C42:$AH42,VALUE($AH$335)),IF(N(INDEX($C42:$AH42,N(VALUE($AJ$335))))&gt;0,INDEX($C42:$AH42,VALUE($AH$335))/INDEX($C42:$AH42,N(VALUE($AJ$335))),""))))</f>
        <v>0</v>
      </c>
      <c r="AZ42" s="60">
        <f>IF(OR($B42="",N(VALUE($AI$335))=0),"",IF(INDEX($C42:$AH42,VALUE($AI$335))="","",IF(N(VALUE($AK$335))=0,INDEX($C42:$AH42,VALUE($AI$335)),IF(N(INDEX($C42:$AH42,N(VALUE($AK$335))))&gt;0,INDEX($C42:$AH42,VALUE($AI$335))/INDEX($C42:$AH42,N(VALUE($AK$335))),""))))</f>
        <v>0</v>
      </c>
      <c r="BA42" s="60">
        <f>IF(OR($B42="",N(VALUE($AP$335))=0),"",IF(INDEX($C42:$AH42,VALUE($AP$335))="","",IF(N(VALUE($AR$335))=0,INDEX($C42:$AH42,VALUE($AP$335)),IF(N(INDEX($C42:$AH42,N(VALUE($AR$335))))&gt;0,INDEX($C42:$AH42,VALUE($AP$335))/INDEX($C42:$AH42,N(VALUE($AR$335))),""))))</f>
        <v>0</v>
      </c>
      <c r="BB42" s="60">
        <f>IF(OR($B42="",N(VALUE($AQ$335))=0),"",IF(INDEX($C42:$AH42,VALUE($AQ$335))="","",IF(N(VALUE($AS$335))=0,INDEX($C42:$AH42,VALUE($AQ$335)),IF(N(INDEX($C42:$AH42,N(VALUE($AS$335))))&gt;0,INDEX($C42:$AH42,VALUE($AQ$335))/INDEX($C42:$AH42,N(VALUE($AS$335))),""))))</f>
        <v>0</v>
      </c>
    </row>
    <row r="43">
      <c r="A43" s="50" t="inlineStr">
        <is>
          <t xml:space="preserve">Realizado no mês (soma · último valor em estoque)</t>
        </is>
      </c>
      <c r="C43" s="52">
        <f>SUM(C12:C42)</f>
        <v>0</v>
      </c>
      <c r="D43" s="52">
        <f>SUM(D12:D42)</f>
        <v>0</v>
      </c>
      <c r="E43" s="58">
        <f>SUM(E12:E42)</f>
        <v>0</v>
      </c>
      <c r="F43" s="52">
        <f>SUM(F12:F42)</f>
        <v>0</v>
      </c>
      <c r="G43" s="52">
        <f>SUM(G12:G42)</f>
        <v>0</v>
      </c>
      <c r="H43" s="52">
        <f>SUM(H12:H42)</f>
        <v>0</v>
      </c>
      <c r="I43" s="52">
        <f>SUM(I12:I42)</f>
        <v>0</v>
      </c>
      <c r="J43" s="52">
        <f>SUM(J12:J42)</f>
        <v>0</v>
      </c>
      <c r="K43" s="52">
        <f>SUM(K12:K42)</f>
        <v>0</v>
      </c>
      <c r="L43" s="52">
        <f>SUM(L12:L42)</f>
        <v>0</v>
      </c>
      <c r="M43" s="52">
        <f>SUM(M12:M42)</f>
        <v>0</v>
      </c>
      <c r="N43" s="52">
        <f>SUM(N12:N42)</f>
        <v>0</v>
      </c>
      <c r="O43" s="52">
        <f>SUM(O12:O42)</f>
        <v>0</v>
      </c>
      <c r="P43" s="52">
        <f>SUM(P12:P42)</f>
        <v>0</v>
      </c>
      <c r="Q43" s="52">
        <f>SUM(Q12:Q42)</f>
        <v>0</v>
      </c>
      <c r="R43" s="52">
        <f>SUM(R12:R42)</f>
        <v>0</v>
      </c>
      <c r="S43" s="52">
        <f>SUM(S12:S42)</f>
        <v>0</v>
      </c>
      <c r="T43" s="58">
        <f>SUM(T12:T42)</f>
        <v>0</v>
      </c>
      <c r="U43" s="52">
        <f>SUM(U12:U42)</f>
        <v>0</v>
      </c>
      <c r="V43" s="52">
        <f>SUM(V12:V42)</f>
        <v>0</v>
      </c>
      <c r="W43" s="52" t="str">
        <f>IFERROR(LOOKUP(9.99E+307,W12:W42),"")</f>
        <v/>
      </c>
      <c r="X43" s="52" t="str">
        <f>IFERROR(LOOKUP(9.99E+307,X12:X42),"")</f>
        <v/>
      </c>
      <c r="Y43" s="52" t="str">
        <f>IFERROR(LOOKUP(9.99E+307,Y12:Y42),"")</f>
        <v/>
      </c>
      <c r="Z43" s="59" t="str">
        <f>IFERROR(LOOKUP(9.99E+307,Z12:Z42),"")</f>
        <v/>
      </c>
      <c r="AA43" s="52" t="str">
        <f>IFERROR(LOOKUP(9.99E+307,AA12:AA42),"")</f>
        <v/>
      </c>
      <c r="AB43" s="52">
        <f>SUM(AB12:AB42)</f>
        <v>0</v>
      </c>
      <c r="AC43" s="52">
        <f>SUM(AC12:AC42)</f>
        <v>0</v>
      </c>
      <c r="AD43" s="52">
        <f>SUM(AD12:AD42)</f>
        <v>0</v>
      </c>
      <c r="AE43" s="52">
        <f>SUM(AE12:AE42)</f>
        <v>0</v>
      </c>
      <c r="AF43" s="52">
        <f>SUM(AF12:AF42)</f>
        <v>0</v>
      </c>
      <c r="AG43" s="52">
        <f>SUM(AG12:AG42)</f>
        <v>0</v>
      </c>
      <c r="AH43" s="52">
        <f>SUM(AH12:AH42)</f>
        <v>0</v>
      </c>
    </row>
    <row r="44">
      <c r="A44" s="51" t="inlineStr">
        <is>
          <t xml:space="preserve">Média por dia</t>
        </is>
      </c>
      <c r="C44" s="53" t="str">
        <f>IFERROR(AVERAGEIF(C12:C42,"&gt;0"),"")</f>
        <v/>
      </c>
      <c r="D44" s="53" t="str">
        <f>IFERROR(AVERAGEIF(D12:D42,"&gt;0"),"")</f>
        <v/>
      </c>
      <c r="E44" s="53" t="str">
        <f>IFERROR(AVERAGEIF(E12:E42,"&gt;0"),"")</f>
        <v/>
      </c>
      <c r="F44" s="53" t="str">
        <f>IFERROR(AVERAGEIF(F12:F42,"&gt;0"),"")</f>
        <v/>
      </c>
      <c r="G44" s="53" t="str">
        <f>IFERROR(AVERAGEIF(G12:G42,"&gt;0"),"")</f>
        <v/>
      </c>
      <c r="H44" s="53" t="str">
        <f>IFERROR(AVERAGEIF(H12:H42,"&gt;0"),"")</f>
        <v/>
      </c>
      <c r="I44" s="53" t="str">
        <f>IFERROR(AVERAGEIF(I12:I42,"&gt;0"),"")</f>
        <v/>
      </c>
      <c r="J44" s="53" t="str">
        <f>IFERROR(AVERAGEIF(J12:J42,"&gt;0"),"")</f>
        <v/>
      </c>
      <c r="K44" s="53" t="str">
        <f>IFERROR(AVERAGEIF(K12:K42,"&gt;0"),"")</f>
        <v/>
      </c>
      <c r="L44" s="53" t="str">
        <f>IFERROR(AVERAGEIF(L12:L42,"&gt;0"),"")</f>
        <v/>
      </c>
      <c r="M44" s="53" t="str">
        <f>IFERROR(AVERAGEIF(M12:M42,"&gt;0"),"")</f>
        <v/>
      </c>
      <c r="N44" s="53" t="str">
        <f>IFERROR(AVERAGEIF(N12:N42,"&gt;0"),"")</f>
        <v/>
      </c>
      <c r="O44" s="53" t="str">
        <f>IFERROR(AVERAGEIF(O12:O42,"&gt;0"),"")</f>
        <v/>
      </c>
      <c r="P44" s="53" t="str">
        <f>IFERROR(AVERAGEIF(P12:P42,"&gt;0"),"")</f>
        <v/>
      </c>
      <c r="Q44" s="53" t="str">
        <f>IFERROR(AVERAGEIF(Q12:Q42,"&gt;0"),"")</f>
        <v/>
      </c>
      <c r="R44" s="53" t="str">
        <f>IFERROR(AVERAGEIF(R12:R42,"&gt;0"),"")</f>
        <v/>
      </c>
      <c r="S44" s="53" t="str">
        <f>IFERROR(AVERAGEIF(S12:S42,"&gt;0"),"")</f>
        <v/>
      </c>
      <c r="T44" s="53" t="str">
        <f>IFERROR(AVERAGEIF(T12:T42,"&gt;0"),"")</f>
        <v/>
      </c>
      <c r="U44" s="53" t="str">
        <f>IFERROR(AVERAGEIF(U12:U42,"&gt;0"),"")</f>
        <v/>
      </c>
      <c r="V44" s="53" t="str">
        <f>IFERROR(AVERAGEIF(V12:V42,"&gt;0"),"")</f>
        <v/>
      </c>
      <c r="W44" s="53" t="str">
        <f>IFERROR(AVERAGE(W12:W42),"")</f>
        <v/>
      </c>
      <c r="X44" s="53" t="str">
        <f>IFERROR(AVERAGE(X12:X42),"")</f>
        <v/>
      </c>
      <c r="Y44" s="53" t="str">
        <f>IFERROR(AVERAGE(Y12:Y42),"")</f>
        <v/>
      </c>
      <c r="Z44" s="55" t="str">
        <f>IFERROR(AVERAGE(Z12:Z42),"")</f>
        <v/>
      </c>
      <c r="AA44" s="53" t="str">
        <f>IFERROR(AVERAGE(AA12:AA42),"")</f>
        <v/>
      </c>
      <c r="AB44" s="53" t="str">
        <f>IFERROR(AVERAGEIF(AB12:AB42,"&gt;0"),"")</f>
        <v/>
      </c>
      <c r="AC44" s="53" t="str">
        <f>IFERROR(AVERAGEIF(AC12:AC42,"&gt;0"),"")</f>
        <v/>
      </c>
      <c r="AD44" s="53" t="str">
        <f>IFERROR(AVERAGEIF(AD12:AD42,"&gt;0"),"")</f>
        <v/>
      </c>
      <c r="AE44" s="53" t="str">
        <f>IFERROR(AVERAGEIF(AE12:AE42,"&gt;0"),"")</f>
        <v/>
      </c>
      <c r="AF44" s="53" t="str">
        <f>IFERROR(AVERAGEIF(AF12:AF42,"&gt;0"),"")</f>
        <v/>
      </c>
      <c r="AG44" s="53" t="str">
        <f>IFERROR(AVERAGEIF(AG12:AG42,"&gt;0"),"")</f>
        <v/>
      </c>
      <c r="AH44" s="53" t="str">
        <f>IFERROR(AVERAGEIF(AH12:AH42,"&gt;0"),"")</f>
        <v/>
      </c>
    </row>
    <row r="45">
      <c r="A45" s="51" t="inlineStr">
        <is>
          <t xml:space="preserve">Máximo em um dia</t>
        </is>
      </c>
      <c r="C45" s="54">
        <f>IF(COUNT(C12:C42)=0,"",MAX(C12:C42))</f>
        <v>0</v>
      </c>
      <c r="D45" s="54">
        <f>IF(COUNT(D12:D42)=0,"",MAX(D12:D42))</f>
        <v>0</v>
      </c>
      <c r="E45" s="53">
        <f>IF(COUNT(E12:E42)=0,"",MAX(E12:E42))</f>
        <v>0</v>
      </c>
      <c r="F45" s="54">
        <f>IF(COUNT(F12:F42)=0,"",MAX(F12:F42))</f>
        <v>0</v>
      </c>
      <c r="G45" s="54">
        <f>IF(COUNT(G12:G42)=0,"",MAX(G12:G42))</f>
        <v>0</v>
      </c>
      <c r="H45" s="54">
        <f>IF(COUNT(H12:H42)=0,"",MAX(H12:H42))</f>
        <v>0</v>
      </c>
      <c r="I45" s="54">
        <f>IF(COUNT(I12:I42)=0,"",MAX(I12:I42))</f>
        <v>0</v>
      </c>
      <c r="J45" s="54">
        <f>IF(COUNT(J12:J42)=0,"",MAX(J12:J42))</f>
        <v>0</v>
      </c>
      <c r="K45" s="54">
        <f>IF(COUNT(K12:K42)=0,"",MAX(K12:K42))</f>
        <v>0</v>
      </c>
      <c r="L45" s="54">
        <f>IF(COUNT(L12:L42)=0,"",MAX(L12:L42))</f>
        <v>0</v>
      </c>
      <c r="M45" s="54">
        <f>IF(COUNT(M12:M42)=0,"",MAX(M12:M42))</f>
        <v>0</v>
      </c>
      <c r="N45" s="54">
        <f>IF(COUNT(N12:N42)=0,"",MAX(N12:N42))</f>
        <v>0</v>
      </c>
      <c r="O45" s="54">
        <f>IF(COUNT(O12:O42)=0,"",MAX(O12:O42))</f>
        <v>0</v>
      </c>
      <c r="P45" s="54">
        <f>IF(COUNT(P12:P42)=0,"",MAX(P12:P42))</f>
        <v>0</v>
      </c>
      <c r="Q45" s="54">
        <f>IF(COUNT(Q12:Q42)=0,"",MAX(Q12:Q42))</f>
        <v>0</v>
      </c>
      <c r="R45" s="54">
        <f>IF(COUNT(R12:R42)=0,"",MAX(R12:R42))</f>
        <v>0</v>
      </c>
      <c r="S45" s="54">
        <f>IF(COUNT(S12:S42)=0,"",MAX(S12:S42))</f>
        <v>0</v>
      </c>
      <c r="T45" s="53">
        <f>IF(COUNT(T12:T42)=0,"",MAX(T12:T42))</f>
        <v>0</v>
      </c>
      <c r="U45" s="54">
        <f>IF(COUNT(U12:U42)=0,"",MAX(U12:U42))</f>
        <v>0</v>
      </c>
      <c r="V45" s="54">
        <f>IF(COUNT(V12:V42)=0,"",MAX(V12:V42))</f>
        <v>0</v>
      </c>
      <c r="W45" s="54" t="str">
        <f>IF(COUNT(W12:W42)=0,"",MAX(W12:W42))</f>
        <v/>
      </c>
      <c r="X45" s="54" t="str">
        <f>IF(COUNT(X12:X42)=0,"",MAX(X12:X42))</f>
        <v/>
      </c>
      <c r="Y45" s="54" t="str">
        <f>IF(COUNT(Y12:Y42)=0,"",MAX(Y12:Y42))</f>
        <v/>
      </c>
      <c r="Z45" s="55" t="str">
        <f>IF(COUNT(Z12:Z42)=0,"",MAX(Z12:Z42))</f>
        <v/>
      </c>
      <c r="AA45" s="54" t="str">
        <f>IF(COUNT(AA12:AA42)=0,"",MAX(AA12:AA42))</f>
        <v/>
      </c>
      <c r="AB45" s="54">
        <f>IF(COUNT(AB12:AB42)=0,"",MAX(AB12:AB42))</f>
        <v>0</v>
      </c>
      <c r="AC45" s="54">
        <f>IF(COUNT(AC12:AC42)=0,"",MAX(AC12:AC42))</f>
        <v>0</v>
      </c>
      <c r="AD45" s="54">
        <f>IF(COUNT(AD12:AD42)=0,"",MAX(AD12:AD42))</f>
        <v>0</v>
      </c>
      <c r="AE45" s="54">
        <f>IF(COUNT(AE12:AE42)=0,"",MAX(AE12:AE42))</f>
        <v>0</v>
      </c>
      <c r="AF45" s="54">
        <f>IF(COUNT(AF12:AF42)=0,"",MAX(AF12:AF42))</f>
        <v>0</v>
      </c>
      <c r="AG45" s="54">
        <f>IF(COUNT(AG12:AG42)=0,"",MAX(AG12:AG42))</f>
        <v>0</v>
      </c>
      <c r="AH45" s="54">
        <f>IF(COUNT(AH12:AH42)=0,"",MAX(AH12:AH42))</f>
        <v>0</v>
      </c>
    </row>
    <row r="46">
      <c r="A46" s="51" t="inlineStr">
        <is>
          <t xml:space="preserve">Mês anterior (mesmo intervalo)</t>
        </is>
      </c>
      <c r="C46" s="54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4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3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4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4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4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4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4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4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54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54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54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54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54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54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54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54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53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54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54" t="str">
        <f>IF($B$9=0,"",IF($B$2="Todos",SUMIFS(BD!$V$3:$V$5001,BD!$A$3:$A$5001,"&gt;="&amp;$C$8,BD!$A$3:$A$5001,"&lt;="&amp;$D$8),SUMIFS(BD!$V$3:$V$5001,BD!$A$3:$A$5001,"&gt;="&amp;$C$8,BD!$A$3:$A$5001,"&lt;="&amp;$D$8,BD!$B$3:$B$5001,$D$2)))</f>
        <v/>
      </c>
      <c r="W46" s="54" t="str">
        <f>IF($B$9=0,"",IF($B$2="Todos",IF(COUNT($C$170:$K$170)=0,"",SUM($C$170:$K$170)),IFERROR(INDEX($C$170:$K$170,MATCH($D$2,$C$138:$K$138,0)),"")))</f>
        <v/>
      </c>
      <c r="X46" s="54" t="str">
        <f>IF(Y46="","",IF($B$2="Todos",IF($B$4&gt;0,$B$4,IF($B$2="Todos",IF(COUNT($C$240:$K$240)=0,"",SUM($C$240:$K$240)),IFERROR(INDEX($C$240:$K$240,MATCH($D$2,$C$208:$K$208,0)),""))),IFERROR(INDEX($C$240:$K$240,MATCH($D$2,$C$208:$K$208,0)),"")))</f>
        <v/>
      </c>
      <c r="Y46" s="54" t="str">
        <f>IF($B$9=0,"",IF($B$2="Todos",IF(COUNT($C$205:$K$205)=0,"",SUM($C$205:$K$205)),IFERROR(INDEX($C$205:$K$205,MATCH($D$2,$C$173:$K$173,0)),"")))</f>
        <v/>
      </c>
      <c r="Z46" s="55" t="str">
        <f>IF(AND(ISNUMBER(Y46),ISNUMBER(X46)),IF(X46&gt;0,Y46/X46,""),"")</f>
        <v/>
      </c>
      <c r="AA46" s="54" t="str">
        <f>IF($B$9=0,"",IF($B$2="Todos",IF(COUNT($C$275:$K$275)=0,"",SUM($C$275:$K$275)),IFERROR(INDEX($C$275:$K$275,MATCH($D$2,$C$243:$K$243,0)),"")))</f>
        <v/>
      </c>
      <c r="AB46" s="54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54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54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54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54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54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  <c r="AH46" s="54" t="str">
        <f>IF($B$9=0,"",IF($B$2="Todos",SUMIFS(BD!$AG$3:$AG$5001,BD!$A$3:$A$5001,"&gt;="&amp;$C$8,BD!$A$3:$A$5001,"&lt;="&amp;$D$8),SUMIFS(BD!$AG$3:$AG$5001,BD!$A$3:$A$5001,"&gt;="&amp;$C$8,BD!$A$3:$A$5001,"&lt;="&amp;$D$8,BD!$B$3:$B$5001,$D$2)))</f>
        <v/>
      </c>
    </row>
    <row r="47">
      <c r="A47" s="51" t="inlineStr">
        <is>
          <t xml:space="preserve">Variação vs mês anterior</t>
        </is>
      </c>
      <c r="C47" s="55" t="str">
        <f>IF(AND(ISNUMBER(C43),ISNUMBER(C46)),IF(C46&lt;&gt;0,C43/C46-1,""),"")</f>
        <v/>
      </c>
      <c r="D47" s="55" t="str">
        <f>IF(AND(ISNUMBER(D43),ISNUMBER(D46)),IF(D46&lt;&gt;0,D43/D46-1,""),"")</f>
        <v/>
      </c>
      <c r="E47" s="55" t="str">
        <f>IF(AND(ISNUMBER(E43),ISNUMBER(E46)),IF(E46&lt;&gt;0,E43/E46-1,""),"")</f>
        <v/>
      </c>
      <c r="F47" s="55" t="str">
        <f>IF(AND(ISNUMBER(F43),ISNUMBER(F46)),IF(F46&lt;&gt;0,F43/F46-1,""),"")</f>
        <v/>
      </c>
      <c r="G47" s="55" t="str">
        <f>IF(AND(ISNUMBER(G43),ISNUMBER(G46)),IF(G46&lt;&gt;0,G43/G46-1,""),"")</f>
        <v/>
      </c>
      <c r="H47" s="55" t="str">
        <f>IF(AND(ISNUMBER(H43),ISNUMBER(H46)),IF(H46&lt;&gt;0,H43/H46-1,""),"")</f>
        <v/>
      </c>
      <c r="I47" s="55" t="str">
        <f>IF(AND(ISNUMBER(I43),ISNUMBER(I46)),IF(I46&lt;&gt;0,I43/I46-1,""),"")</f>
        <v/>
      </c>
      <c r="J47" s="55" t="str">
        <f>IF(AND(ISNUMBER(J43),ISNUMBER(J46)),IF(J46&lt;&gt;0,J43/J46-1,""),"")</f>
        <v/>
      </c>
      <c r="K47" s="55" t="str">
        <f>IF(AND(ISNUMBER(K43),ISNUMBER(K46)),IF(K46&lt;&gt;0,K43/K46-1,""),"")</f>
        <v/>
      </c>
      <c r="L47" s="55" t="str">
        <f>IF(AND(ISNUMBER(L43),ISNUMBER(L46)),IF(L46&lt;&gt;0,L43/L46-1,""),"")</f>
        <v/>
      </c>
      <c r="M47" s="55" t="str">
        <f>IF(AND(ISNUMBER(M43),ISNUMBER(M46)),IF(M46&lt;&gt;0,M43/M46-1,""),"")</f>
        <v/>
      </c>
      <c r="N47" s="55" t="str">
        <f>IF(AND(ISNUMBER(N43),ISNUMBER(N46)),IF(N46&lt;&gt;0,N43/N46-1,""),"")</f>
        <v/>
      </c>
      <c r="O47" s="55" t="str">
        <f>IF(AND(ISNUMBER(O43),ISNUMBER(O46)),IF(O46&lt;&gt;0,O43/O46-1,""),"")</f>
        <v/>
      </c>
      <c r="P47" s="55" t="str">
        <f>IF(AND(ISNUMBER(P43),ISNUMBER(P46)),IF(P46&lt;&gt;0,P43/P46-1,""),"")</f>
        <v/>
      </c>
      <c r="Q47" s="55" t="str">
        <f>IF(AND(ISNUMBER(Q43),ISNUMBER(Q46)),IF(Q46&lt;&gt;0,Q43/Q46-1,""),"")</f>
        <v/>
      </c>
      <c r="R47" s="55" t="str">
        <f>IF(AND(ISNUMBER(R43),ISNUMBER(R46)),IF(R46&lt;&gt;0,R43/R46-1,""),"")</f>
        <v/>
      </c>
      <c r="S47" s="55" t="str">
        <f>IF(AND(ISNUMBER(S43),ISNUMBER(S46)),IF(S46&lt;&gt;0,S43/S46-1,""),"")</f>
        <v/>
      </c>
      <c r="T47" s="55" t="str">
        <f>IF(AND(ISNUMBER(T43),ISNUMBER(T46)),IF(T46&lt;&gt;0,T43/T46-1,""),"")</f>
        <v/>
      </c>
      <c r="U47" s="55" t="str">
        <f>IF(AND(ISNUMBER(U43),ISNUMBER(U46)),IF(U46&lt;&gt;0,U43/U46-1,""),"")</f>
        <v/>
      </c>
      <c r="V47" s="55" t="str">
        <f>IF(AND(ISNUMBER(V43),ISNUMBER(V46)),IF(V46&lt;&gt;0,V43/V46-1,""),"")</f>
        <v/>
      </c>
      <c r="W47" s="55" t="str">
        <f>IF(AND(ISNUMBER(W43),ISNUMBER(W46)),IF(W46&lt;&gt;0,W43/W46-1,""),"")</f>
        <v/>
      </c>
      <c r="X47" s="55" t="str">
        <f>IF(AND(ISNUMBER(X43),ISNUMBER(X46)),IF(X46&lt;&gt;0,X43/X46-1,""),"")</f>
        <v/>
      </c>
      <c r="Y47" s="55" t="str">
        <f>IF(AND(ISNUMBER(Y43),ISNUMBER(Y46)),IF(Y46&lt;&gt;0,Y43/Y46-1,""),"")</f>
        <v/>
      </c>
      <c r="Z47" s="55" t="str">
        <f>IF(AND(ISNUMBER(Z43),ISNUMBER(Z46)),IF(Z46&lt;&gt;0,Z43/Z46-1,""),"")</f>
        <v/>
      </c>
      <c r="AA47" s="55" t="str">
        <f>IF(AND(ISNUMBER(AA43),ISNUMBER(AA46)),IF(AA46&lt;&gt;0,AA43/AA46-1,""),"")</f>
        <v/>
      </c>
      <c r="AB47" s="55" t="str">
        <f>IF(AND(ISNUMBER(AB43),ISNUMBER(AB46)),IF(AB46&lt;&gt;0,AB43/AB46-1,""),"")</f>
        <v/>
      </c>
      <c r="AC47" s="55" t="str">
        <f>IF(AND(ISNUMBER(AC43),ISNUMBER(AC46)),IF(AC46&lt;&gt;0,AC43/AC46-1,""),"")</f>
        <v/>
      </c>
      <c r="AD47" s="55" t="str">
        <f>IF(AND(ISNUMBER(AD43),ISNUMBER(AD46)),IF(AD46&lt;&gt;0,AD43/AD46-1,""),"")</f>
        <v/>
      </c>
      <c r="AE47" s="55" t="str">
        <f>IF(AND(ISNUMBER(AE43),ISNUMBER(AE46)),IF(AE46&lt;&gt;0,AE43/AE46-1,""),"")</f>
        <v/>
      </c>
      <c r="AF47" s="55" t="str">
        <f>IF(AND(ISNUMBER(AF43),ISNUMBER(AF46)),IF(AF46&lt;&gt;0,AF43/AF46-1,""),"")</f>
        <v/>
      </c>
      <c r="AG47" s="55" t="str">
        <f>IF(AND(ISNUMBER(AG43),ISNUMBER(AG46)),IF(AG46&lt;&gt;0,AG43/AG46-1,""),"")</f>
        <v/>
      </c>
      <c r="AH47" s="55" t="str">
        <f>IF(AND(ISNUMBER(AH43),ISNUMBER(AH46)),IF(AH46&lt;&gt;0,AH43/AH46-1,""),"")</f>
        <v/>
      </c>
    </row>
    <row r="48">
      <c r="A48" s="51" t="inlineStr">
        <is>
          <t xml:space="preserve">Meta (seleção)</t>
        </is>
      </c>
      <c r="C48" s="54" t="str">
        <f>IFERROR(1/(1/INDEX(BD!$AK$23:$AT$23,MATCH($B$2,BD!$AK$22:$AT$22,0))),"")</f>
        <v/>
      </c>
      <c r="D48" s="54" t="str">
        <f>IFERROR(1/(1/INDEX(BD!$AK$24:$AT$24,MATCH($B$2,BD!$AK$22:$AT$22,0))),"")</f>
        <v/>
      </c>
      <c r="E48" s="54" t="str">
        <f>IFERROR(1/(1/INDEX(BD!$AK$25:$AT$25,MATCH($B$2,BD!$AK$22:$AT$22,0))),"")</f>
        <v/>
      </c>
      <c r="F48" s="54" t="str">
        <f>IFERROR(1/(1/INDEX(BD!$AK$26:$AT$26,MATCH($B$2,BD!$AK$22:$AT$22,0))),"")</f>
        <v/>
      </c>
      <c r="G48" s="54" t="str">
        <f>IFERROR(1/(1/INDEX(BD!$AK$27:$AT$27,MATCH($B$2,BD!$AK$22:$AT$22,0))),"")</f>
        <v/>
      </c>
      <c r="H48" s="54" t="str">
        <f>IFERROR(1/(1/INDEX(BD!$AK$28:$AT$28,MATCH($B$2,BD!$AK$22:$AT$22,0))),"")</f>
        <v/>
      </c>
      <c r="I48" s="54" t="str">
        <f>IFERROR(1/(1/INDEX(BD!$AK$29:$AT$29,MATCH($B$2,BD!$AK$22:$AT$22,0))),"")</f>
        <v/>
      </c>
      <c r="J48" s="54" t="str">
        <f>IFERROR(1/(1/INDEX(BD!$AK$30:$AT$30,MATCH($B$2,BD!$AK$22:$AT$22,0))),"")</f>
        <v/>
      </c>
      <c r="K48" s="54" t="str">
        <f>IFERROR(1/(1/INDEX(BD!$AK$31:$AT$31,MATCH($B$2,BD!$AK$22:$AT$22,0))),"")</f>
        <v/>
      </c>
      <c r="L48" s="54" t="str">
        <f>IFERROR(1/(1/INDEX(BD!$AK$32:$AT$32,MATCH($B$2,BD!$AK$22:$AT$22,0))),"")</f>
        <v/>
      </c>
      <c r="M48" s="54" t="str">
        <f>IFERROR(1/(1/INDEX(BD!$AK$33:$AT$33,MATCH($B$2,BD!$AK$22:$AT$22,0))),"")</f>
        <v/>
      </c>
      <c r="N48" s="54" t="str">
        <f>IFERROR(1/(1/INDEX(BD!$AK$34:$AT$34,MATCH($B$2,BD!$AK$22:$AT$22,0))),"")</f>
        <v/>
      </c>
      <c r="O48" s="54" t="str">
        <f>IFERROR(1/(1/INDEX(BD!$AK$35:$AT$35,MATCH($B$2,BD!$AK$22:$AT$22,0))),"")</f>
        <v/>
      </c>
      <c r="P48" s="54" t="str">
        <f>IFERROR(1/(1/INDEX(BD!$AK$36:$AT$36,MATCH($B$2,BD!$AK$22:$AT$22,0))),"")</f>
        <v/>
      </c>
      <c r="Q48" s="54" t="str">
        <f>IFERROR(1/(1/INDEX(BD!$AK$37:$AT$37,MATCH($B$2,BD!$AK$22:$AT$22,0))),"")</f>
        <v/>
      </c>
      <c r="R48" s="54" t="str">
        <f>IFERROR(1/(1/INDEX(BD!$AK$38:$AT$38,MATCH($B$2,BD!$AK$22:$AT$22,0))),"")</f>
        <v/>
      </c>
      <c r="S48" s="54" t="str">
        <f>IFERROR(1/(1/INDEX(BD!$AK$39:$AT$39,MATCH($B$2,BD!$AK$22:$AT$22,0))),"")</f>
        <v/>
      </c>
      <c r="T48" s="54" t="str">
        <f>IFERROR(1/(1/INDEX(BD!$AK$40:$AT$40,MATCH($B$2,BD!$AK$22:$AT$22,0))),"")</f>
        <v/>
      </c>
      <c r="U48" s="54" t="str">
        <f>IFERROR(1/(1/INDEX(BD!$AK$41:$AT$41,MATCH($B$2,BD!$AK$22:$AT$22,0))),"")</f>
        <v/>
      </c>
      <c r="V48" s="54" t="str">
        <f>IFERROR(1/(1/INDEX(BD!$AK$42:$AT$42,MATCH($B$2,BD!$AK$22:$AT$22,0))),"")</f>
        <v/>
      </c>
      <c r="W48" s="54" t="str">
        <f>IFERROR(1/(1/INDEX(BD!$AK$43:$AT$43,MATCH($B$2,BD!$AK$22:$AT$22,0))),"")</f>
        <v/>
      </c>
      <c r="X48" s="54" t="str">
        <f>IFERROR(1/(1/INDEX(BD!$AK$44:$AT$44,MATCH($B$2,BD!$AK$22:$AT$22,0))),"")</f>
        <v/>
      </c>
      <c r="Y48" s="54" t="str">
        <f>IFERROR(1/(1/INDEX(BD!$AK$45:$AT$45,MATCH($B$2,BD!$AK$22:$AT$22,0))),"")</f>
        <v/>
      </c>
      <c r="Z48" s="56" t="str">
        <f>IFERROR(1/(1/INDEX(BD!$AK$46:$AT$46,MATCH($B$2,BD!$AK$22:$AT$22,0))),"")</f>
        <v/>
      </c>
      <c r="AA48" s="54" t="str">
        <f>IFERROR(1/(1/INDEX(BD!$AK$47:$AT$47,MATCH($B$2,BD!$AK$22:$AT$22,0))),"")</f>
        <v/>
      </c>
      <c r="AB48" s="54" t="str">
        <f>IFERROR(1/(1/INDEX(BD!$AK$48:$AT$48,MATCH($B$2,BD!$AK$22:$AT$22,0))),"")</f>
        <v/>
      </c>
      <c r="AC48" s="54" t="str">
        <f>IFERROR(1/(1/INDEX(BD!$AK$49:$AT$49,MATCH($B$2,BD!$AK$22:$AT$22,0))),"")</f>
        <v/>
      </c>
      <c r="AD48" s="54" t="str">
        <f>IFERROR(1/(1/INDEX(BD!$AK$50:$AT$50,MATCH($B$2,BD!$AK$22:$AT$22,0))),"")</f>
        <v/>
      </c>
      <c r="AE48" s="54" t="str">
        <f>IFERROR(1/(1/INDEX(BD!$AK$51:$AT$51,MATCH($B$2,BD!$AK$22:$AT$22,0))),"")</f>
        <v/>
      </c>
      <c r="AF48" s="54" t="str">
        <f>IFERROR(1/(1/INDEX(BD!$AK$52:$AT$52,MATCH($B$2,BD!$AK$22:$AT$22,0))),"")</f>
        <v/>
      </c>
      <c r="AG48" s="54" t="str">
        <f>IFERROR(1/(1/INDEX(BD!$AK$53:$AT$53,MATCH($B$2,BD!$AK$22:$AT$22,0))),"")</f>
        <v/>
      </c>
      <c r="AH48" s="54" t="str">
        <f>IFERROR(1/(1/INDEX(BD!$AK$54:$AT$54,MATCH($B$2,BD!$AK$22:$AT$22,0))),"")</f>
        <v/>
      </c>
    </row>
    <row r="49">
      <c r="A49" s="51" t="inlineStr">
        <is>
          <t xml:space="preserve">% da meta</t>
        </is>
      </c>
      <c r="C49" s="56" t="str">
        <f>IF(AND(ISNUMBER(C48),ISNUMBER(C43)),IF(C48&gt;0,C43/C48,""),"")</f>
        <v/>
      </c>
      <c r="D49" s="56" t="str">
        <f>IF(AND(ISNUMBER(D48),ISNUMBER(D43)),IF(D48&gt;0,D43/D48,""),"")</f>
        <v/>
      </c>
      <c r="E49" s="56" t="str">
        <f>IF(AND(ISNUMBER(E48),ISNUMBER(E43)),IF(E48&gt;0,E43/E48,""),"")</f>
        <v/>
      </c>
      <c r="F49" s="56" t="str">
        <f>IF(AND(ISNUMBER(F48),ISNUMBER(F43)),IF(F48&gt;0,F43/F48,""),"")</f>
        <v/>
      </c>
      <c r="G49" s="56" t="str">
        <f>IF(AND(ISNUMBER(G48),ISNUMBER(G43)),IF(G48&gt;0,G43/G48,""),"")</f>
        <v/>
      </c>
      <c r="H49" s="56" t="str">
        <f>IF(AND(ISNUMBER(H48),ISNUMBER(H43)),IF(H48&gt;0,H43/H48,""),"")</f>
        <v/>
      </c>
      <c r="I49" s="56" t="str">
        <f>IF(AND(ISNUMBER(I48),ISNUMBER(I43)),IF(I48&gt;0,I43/I48,""),"")</f>
        <v/>
      </c>
      <c r="J49" s="56" t="str">
        <f>IF(AND(ISNUMBER(J48),ISNUMBER(J43)),IF(J48&gt;0,J43/J48,""),"")</f>
        <v/>
      </c>
      <c r="K49" s="56" t="str">
        <f>IF(AND(ISNUMBER(K48),ISNUMBER(K43)),IF(K48&gt;0,K43/K48,""),"")</f>
        <v/>
      </c>
      <c r="L49" s="56" t="str">
        <f>IF(AND(ISNUMBER(L48),ISNUMBER(L43)),IF(L48&gt;0,L43/L48,""),"")</f>
        <v/>
      </c>
      <c r="M49" s="56" t="str">
        <f>IF(AND(ISNUMBER(M48),ISNUMBER(M43)),IF(M48&gt;0,M43/M48,""),"")</f>
        <v/>
      </c>
      <c r="N49" s="56" t="str">
        <f>IF(AND(ISNUMBER(N48),ISNUMBER(N43)),IF(N48&gt;0,N43/N48,""),"")</f>
        <v/>
      </c>
      <c r="O49" s="56" t="str">
        <f>IF(AND(ISNUMBER(O48),ISNUMBER(O43)),IF(O48&gt;0,O43/O48,""),"")</f>
        <v/>
      </c>
      <c r="P49" s="56" t="str">
        <f>IF(AND(ISNUMBER(P48),ISNUMBER(P43)),IF(P48&gt;0,P43/P48,""),"")</f>
        <v/>
      </c>
      <c r="Q49" s="56" t="str">
        <f>IF(AND(ISNUMBER(Q48),ISNUMBER(Q43)),IF(Q48&gt;0,Q43/Q48,""),"")</f>
        <v/>
      </c>
      <c r="R49" s="56" t="str">
        <f>IF(AND(ISNUMBER(R48),ISNUMBER(R43)),IF(R48&gt;0,R43/R48,""),"")</f>
        <v/>
      </c>
      <c r="S49" s="56" t="str">
        <f>IF(AND(ISNUMBER(S48),ISNUMBER(S43)),IF(S48&gt;0,S43/S48,""),"")</f>
        <v/>
      </c>
      <c r="T49" s="56" t="str">
        <f>IF(AND(ISNUMBER(T48),ISNUMBER(T43)),IF(T48&gt;0,T43/T48,""),"")</f>
        <v/>
      </c>
      <c r="U49" s="56" t="str">
        <f>IF(AND(ISNUMBER(U48),ISNUMBER(U43)),IF(U48&gt;0,U43/U48,""),"")</f>
        <v/>
      </c>
      <c r="V49" s="56" t="str">
        <f>IF(AND(ISNUMBER(V48),ISNUMBER(V43)),IF(V48&gt;0,V43/V48,""),"")</f>
        <v/>
      </c>
      <c r="W49" s="56" t="str">
        <f>IF(AND(ISNUMBER(W48),ISNUMBER(W43)),IF(W48&gt;0,W43/W48,""),"")</f>
        <v/>
      </c>
      <c r="X49" s="56" t="str">
        <f>IF(AND(ISNUMBER(X48),ISNUMBER(X43)),IF(X48&gt;0,X43/X48,""),"")</f>
        <v/>
      </c>
      <c r="Y49" s="56" t="str">
        <f>IF(AND(ISNUMBER(Y48),ISNUMBER(Y43)),IF(Y48&gt;0,Y43/Y48,""),"")</f>
        <v/>
      </c>
      <c r="Z49" s="56" t="str">
        <f>IF(AND(ISNUMBER(Z48),ISNUMBER(Z43)),IF(Z48&gt;0,Z43/Z48,""),"")</f>
        <v/>
      </c>
      <c r="AA49" s="56" t="str">
        <f>IF(AND(ISNUMBER(AA48),ISNUMBER(AA43)),IF(AA48&gt;0,AA43/AA48,""),"")</f>
        <v/>
      </c>
      <c r="AB49" s="56" t="str">
        <f>IF(AND(ISNUMBER(AB48),ISNUMBER(AB43)),IF(AB48&gt;0,AB43/AB48,""),"")</f>
        <v/>
      </c>
      <c r="AC49" s="56" t="str">
        <f>IF(AND(ISNUMBER(AC48),ISNUMBER(AC43)),IF(AC48&gt;0,AC43/AC48,""),"")</f>
        <v/>
      </c>
      <c r="AD49" s="56" t="str">
        <f>IF(AND(ISNUMBER(AD48),ISNUMBER(AD43)),IF(AD48&gt;0,AD43/AD48,""),"")</f>
        <v/>
      </c>
      <c r="AE49" s="56" t="str">
        <f>IF(AND(ISNUMBER(AE48),ISNUMBER(AE43)),IF(AE48&gt;0,AE43/AE48,""),"")</f>
        <v/>
      </c>
      <c r="AF49" s="56" t="str">
        <f>IF(AND(ISNUMBER(AF48),ISNUMBER(AF43)),IF(AF48&gt;0,AF43/AF48,""),"")</f>
        <v/>
      </c>
      <c r="AG49" s="56" t="str">
        <f>IF(AND(ISNUMBER(AG48),ISNUMBER(AG43)),IF(AG48&gt;0,AG43/AG48,""),"")</f>
        <v/>
      </c>
      <c r="AH49" s="56" t="str">
        <f>IF(AND(ISNUMBER(AH48),ISNUMBER(AH43)),IF(AH48&gt;0,AH43/AH48,""),"")</f>
        <v/>
      </c>
    </row>
    <row r="50">
      <c r="A50" s="51" t="inlineStr">
        <is>
          <t xml:space="preserve">Status</t>
        </is>
      </c>
      <c r="C50" s="57" t="str">
        <f>IF(ISNUMBER(C49),IF(C49&gt;=1,"meta atingida","abaixo da meta"),"")</f>
        <v/>
      </c>
      <c r="D50" s="57" t="str">
        <f>IF(ISNUMBER(D49),IF(D49&gt;=1,"meta atingida","abaixo da meta"),"")</f>
        <v/>
      </c>
      <c r="E50" s="57" t="str">
        <f>IF(ISNUMBER(E49),IF(E49&gt;=1,"meta atingida","abaixo da meta"),"")</f>
        <v/>
      </c>
      <c r="F50" s="57" t="str">
        <f>IF(ISNUMBER(F49),IF(F49&gt;=1,"meta atingida","abaixo da meta"),"")</f>
        <v/>
      </c>
      <c r="G50" s="57" t="str">
        <f>IF(ISNUMBER(G49),IF(G49&gt;=1,"meta atingida","abaixo da meta"),"")</f>
        <v/>
      </c>
      <c r="H50" s="57" t="str">
        <f>IF(ISNUMBER(H49),IF(H49&gt;=1,"meta atingida","abaixo da meta"),"")</f>
        <v/>
      </c>
      <c r="I50" s="57" t="str">
        <f>IF(ISNUMBER(I49),IF(I49&gt;=1,"meta atingida","abaixo da meta"),"")</f>
        <v/>
      </c>
      <c r="J50" s="57" t="str">
        <f>IF(ISNUMBER(J49),IF(J49&gt;=1,"meta atingida","abaixo da meta"),"")</f>
        <v/>
      </c>
      <c r="K50" s="57" t="str">
        <f>IF(ISNUMBER(K49),IF(K49&gt;=1,"meta atingida","abaixo da meta"),"")</f>
        <v/>
      </c>
      <c r="L50" s="57" t="str">
        <f>IF(ISNUMBER(L49),IF(L49&gt;=1,"meta atingida","abaixo da meta"),"")</f>
        <v/>
      </c>
      <c r="M50" s="57" t="str">
        <f>IF(ISNUMBER(M49),IF(M49&gt;=1,"meta atingida","abaixo da meta"),"")</f>
        <v/>
      </c>
      <c r="N50" s="57" t="str">
        <f>IF(ISNUMBER(N49),IF(N49&gt;=1,"meta atingida","abaixo da meta"),"")</f>
        <v/>
      </c>
      <c r="O50" s="57" t="str">
        <f>IF(ISNUMBER(O49),IF(O49&gt;=1,"meta atingida","abaixo da meta"),"")</f>
        <v/>
      </c>
      <c r="P50" s="57" t="str">
        <f>IF(ISNUMBER(P49),IF(P49&gt;=1,"meta atingida","abaixo da meta"),"")</f>
        <v/>
      </c>
      <c r="Q50" s="57" t="str">
        <f>IF(ISNUMBER(Q49),IF(Q49&gt;=1,"meta atingida","abaixo da meta"),"")</f>
        <v/>
      </c>
      <c r="R50" s="57" t="str">
        <f>IF(ISNUMBER(R49),IF(R49&gt;=1,"meta atingida","abaixo da meta"),"")</f>
        <v/>
      </c>
      <c r="S50" s="57" t="str">
        <f>IF(ISNUMBER(S49),IF(S49&gt;=1,"meta atingida","abaixo da meta"),"")</f>
        <v/>
      </c>
      <c r="T50" s="57" t="str">
        <f>IF(ISNUMBER(T49),IF(T49&gt;=1,"meta atingida","abaixo da meta"),"")</f>
        <v/>
      </c>
      <c r="U50" s="57" t="str">
        <f>IF(AND(ISNUMBER(U48),ISNUMBER(U43)),IF(U43&lt;=U48,"dentro do limite","acima do limite"),"")</f>
        <v/>
      </c>
      <c r="V50" s="57" t="str">
        <f>IF(AND(ISNUMBER(V48),ISNUMBER(V43)),IF(V43&lt;=V48,"dentro do limite","acima do limite"),"")</f>
        <v/>
      </c>
      <c r="W50" s="57" t="str">
        <f>IF(AND(ISNUMBER(W48),ISNUMBER(W43)),IF(W43&lt;=W48,"dentro do limite","acima do limite"),"")</f>
        <v/>
      </c>
      <c r="X50" s="57" t="str">
        <f>IF(ISNUMBER(X49),IF(X49&gt;=1,"meta atingida","abaixo da meta"),"")</f>
        <v/>
      </c>
      <c r="Y50" s="57" t="str">
        <f>IF(ISNUMBER(Y49),IF(Y49&gt;=1,"meta atingida","abaixo da meta"),"")</f>
        <v/>
      </c>
      <c r="Z50" s="57" t="str">
        <f>IF(ISNUMBER(Z43),IF(Z43&gt;1,"excede o contratado",IF(Z43&gt;=$B$6,"ocupação alta",IF(Z43&gt;=$B$5,"ocupação média","ociosidade alta"))),"")</f>
        <v/>
      </c>
      <c r="AA50" s="57" t="str">
        <f>IF(ISNUMBER(AA49),IF(AA49&gt;=1,"meta atingida","abaixo da meta"),"")</f>
        <v/>
      </c>
      <c r="AB50" s="57" t="str">
        <f>IF(AND(ISNUMBER(AB48),ISNUMBER(AB43)),IF(AB43&lt;=AB48,"dentro do limite","acima do limite"),"")</f>
        <v/>
      </c>
      <c r="AC50" s="57" t="str">
        <f>IF(ISNUMBER(AC49),IF(AC49&gt;=1,"meta atingida","abaixo da meta"),"")</f>
        <v/>
      </c>
      <c r="AD50" s="57" t="str">
        <f>IF(ISNUMBER(AD49),IF(AD49&gt;=1,"meta atingida","abaixo da meta"),"")</f>
        <v/>
      </c>
      <c r="AE50" s="57" t="str">
        <f>IF(AND(ISNUMBER(AE48),ISNUMBER(AE43)),IF(AE43&lt;=AE48,"dentro do limite","acima do limite"),"")</f>
        <v/>
      </c>
      <c r="AF50" s="57" t="str">
        <f>IF(AND(ISNUMBER(AF48),ISNUMBER(AF43)),IF(AF43&lt;=AF48,"dentro do limite","acima do limite"),"")</f>
        <v/>
      </c>
      <c r="AG50" s="57" t="str">
        <f>IF(AND(ISNUMBER(AG48),ISNUMBER(AG43)),IF(AG43&lt;=AG48,"dentro do limite","acima do limite"),"")</f>
        <v/>
      </c>
      <c r="AH50" s="57" t="str">
        <f>IF(AND(ISNUMBER(AH48),ISNUMBER(AH43)),IF(AH43&lt;=AH48,"dentro do limite","acima do limite"),"")</f>
        <v/>
      </c>
    </row>
    <row r="90">
      <c r="A90" s="19" t="inlineStr">
        <is>
          <t xml:space="preserve">ACUMULADO SEMANAL — toneladas e pallets (seguem o filtro; mês do gráfico)</t>
        </is>
      </c>
    </row>
    <row r="91">
      <c r="A91" s="37" t="inlineStr">
        <is>
          <t xml:space="preserve">Semana</t>
        </is>
      </c>
      <c r="B91" s="37" t="inlineStr">
        <is>
          <t xml:space="preserve">Do dia</t>
        </is>
      </c>
      <c r="C91" s="37" t="inlineStr">
        <is>
          <t xml:space="preserve">Ao dia</t>
        </is>
      </c>
      <c r="D91" s="37" t="inlineStr">
        <is>
          <t xml:space="preserve">IN tons</t>
        </is>
      </c>
      <c r="E91" s="37" t="inlineStr">
        <is>
          <t xml:space="preserve">OUT tons</t>
        </is>
      </c>
      <c r="F91" s="37" t="inlineStr">
        <is>
          <t xml:space="preserve">IN pallets</t>
        </is>
      </c>
      <c r="G91" s="37" t="inlineStr">
        <is>
          <t xml:space="preserve">OUT pallets</t>
        </is>
      </c>
      <c r="AY91" s="37" t="inlineStr">
        <is>
          <t xml:space="preserve">Gráf A IN (semanal)</t>
        </is>
      </c>
      <c r="AZ91" s="37" t="inlineStr">
        <is>
          <t xml:space="preserve">Gráf A OUT (semanal)</t>
        </is>
      </c>
      <c r="BA91" s="37" t="inlineStr">
        <is>
          <t xml:space="preserve">Gráf B IN (semanal)</t>
        </is>
      </c>
      <c r="BB91" s="37" t="inlineStr">
        <is>
          <t xml:space="preserve">Gráf B OUT (semanal)</t>
        </is>
      </c>
    </row>
    <row r="92">
      <c r="A92" s="29" t="inlineStr">
        <is>
          <t xml:space="preserve">Sem 1 (01–07)</t>
        </is>
      </c>
      <c r="B92" s="28">
        <v>1</v>
      </c>
      <c r="C92" s="28">
        <v>7</v>
      </c>
      <c r="D92" s="60">
        <f>SUMIFS(E12:E42,A12:A42,"&gt;="&amp;$B92,A12:A42,"&lt;="&amp;$C92)</f>
        <v>0</v>
      </c>
      <c r="E92" s="60">
        <f>SUMIFS(T12:T42,A12:A42,"&gt;="&amp;$B92,A12:A42,"&lt;="&amp;$C92)</f>
        <v>0</v>
      </c>
      <c r="F92" s="32">
        <f>SUMIFS(D12:D42,A12:A42,"&gt;="&amp;$B92,A12:A42,"&lt;="&amp;$C92)</f>
        <v>0</v>
      </c>
      <c r="G92" s="32">
        <f>SUMIFS(S12:S42,A12:A42,"&gt;="&amp;$B92,A12:A42,"&lt;="&amp;$C92)</f>
        <v>0</v>
      </c>
      <c r="AY92" s="60">
        <f>IF(N(VALUE($AH$335))=0,"",IF(N(VALUE($AJ$335))=0,SUMIFS(AY$12:AY$42,$A$12:$A$42,"&gt;="&amp;$B92,$A$12:$A$42,"&lt;="&amp;$C92),IF(SUMIFS(INDEX($C$12:$AH$42,0,N(VALUE($AJ$335))),$A$12:$A$42,"&gt;="&amp;$B92,$A$12:$A$42,"&lt;="&amp;$C92)&gt;0,SUMIFS(INDEX($C$12:$AH$42,0,VALUE($AH$335)),$A$12:$A$42,"&gt;="&amp;$B92,$A$12:$A$42,"&lt;="&amp;$C92)/SUMIFS(INDEX($C$12:$AH$42,0,N(VALUE($AJ$335))),$A$12:$A$42,"&gt;="&amp;$B92,$A$12:$A$42,"&lt;="&amp;$C92),"")))</f>
        <v>0</v>
      </c>
      <c r="AZ92" s="60">
        <f>IF(N(VALUE($AI$335))=0,"",IF(N(VALUE($AK$335))=0,SUMIFS(AZ$12:AZ$42,$A$12:$A$42,"&gt;="&amp;$B92,$A$12:$A$42,"&lt;="&amp;$C92),IF(SUMIFS(INDEX($C$12:$AH$42,0,N(VALUE($AK$335))),$A$12:$A$42,"&gt;="&amp;$B92,$A$12:$A$42,"&lt;="&amp;$C92)&gt;0,SUMIFS(INDEX($C$12:$AH$42,0,VALUE($AI$335)),$A$12:$A$42,"&gt;="&amp;$B92,$A$12:$A$42,"&lt;="&amp;$C92)/SUMIFS(INDEX($C$12:$AH$42,0,N(VALUE($AK$335))),$A$12:$A$42,"&gt;="&amp;$B92,$A$12:$A$42,"&lt;="&amp;$C92),"")))</f>
        <v>0</v>
      </c>
      <c r="BA92" s="60">
        <f>IF(N(VALUE($AP$335))=0,"",IF(N(VALUE($AR$335))=0,SUMIFS(BA$12:BA$42,$A$12:$A$42,"&gt;="&amp;$B92,$A$12:$A$42,"&lt;="&amp;$C92),IF(SUMIFS(INDEX($C$12:$AH$42,0,N(VALUE($AR$335))),$A$12:$A$42,"&gt;="&amp;$B92,$A$12:$A$42,"&lt;="&amp;$C92)&gt;0,SUMIFS(INDEX($C$12:$AH$42,0,VALUE($AP$335)),$A$12:$A$42,"&gt;="&amp;$B92,$A$12:$A$42,"&lt;="&amp;$C92)/SUMIFS(INDEX($C$12:$AH$42,0,N(VALUE($AR$335))),$A$12:$A$42,"&gt;="&amp;$B92,$A$12:$A$42,"&lt;="&amp;$C92),"")))</f>
        <v>0</v>
      </c>
      <c r="BB92" s="60">
        <f>IF(N(VALUE($AQ$335))=0,"",IF(N(VALUE($AS$335))=0,SUMIFS(BB$12:BB$42,$A$12:$A$42,"&gt;="&amp;$B92,$A$12:$A$42,"&lt;="&amp;$C92),IF(SUMIFS(INDEX($C$12:$AH$42,0,N(VALUE($AS$335))),$A$12:$A$42,"&gt;="&amp;$B92,$A$12:$A$42,"&lt;="&amp;$C92)&gt;0,SUMIFS(INDEX($C$12:$AH$42,0,VALUE($AQ$335)),$A$12:$A$42,"&gt;="&amp;$B92,$A$12:$A$42,"&lt;="&amp;$C92)/SUMIFS(INDEX($C$12:$AH$42,0,N(VALUE($AS$335))),$A$12:$A$42,"&gt;="&amp;$B92,$A$12:$A$42,"&lt;="&amp;$C92),"")))</f>
        <v>0</v>
      </c>
    </row>
    <row r="93">
      <c r="A93" s="29" t="inlineStr">
        <is>
          <t xml:space="preserve">Sem 2 (08–14)</t>
        </is>
      </c>
      <c r="B93" s="28">
        <v>8</v>
      </c>
      <c r="C93" s="28">
        <v>14</v>
      </c>
      <c r="D93" s="60">
        <f>SUMIFS(E12:E42,A12:A42,"&gt;="&amp;$B93,A12:A42,"&lt;="&amp;$C93)</f>
        <v>0</v>
      </c>
      <c r="E93" s="60">
        <f>SUMIFS(T12:T42,A12:A42,"&gt;="&amp;$B93,A12:A42,"&lt;="&amp;$C93)</f>
        <v>0</v>
      </c>
      <c r="F93" s="32">
        <f>SUMIFS(D12:D42,A12:A42,"&gt;="&amp;$B93,A12:A42,"&lt;="&amp;$C93)</f>
        <v>0</v>
      </c>
      <c r="G93" s="32">
        <f>SUMIFS(S12:S42,A12:A42,"&gt;="&amp;$B93,A12:A42,"&lt;="&amp;$C93)</f>
        <v>0</v>
      </c>
      <c r="AY93" s="60">
        <f>IF(N(VALUE($AH$335))=0,"",IF(N(VALUE($AJ$335))=0,SUMIFS(AY$12:AY$42,$A$12:$A$42,"&gt;="&amp;$B93,$A$12:$A$42,"&lt;="&amp;$C93),IF(SUMIFS(INDEX($C$12:$AH$42,0,N(VALUE($AJ$335))),$A$12:$A$42,"&gt;="&amp;$B93,$A$12:$A$42,"&lt;="&amp;$C93)&gt;0,SUMIFS(INDEX($C$12:$AH$42,0,VALUE($AH$335)),$A$12:$A$42,"&gt;="&amp;$B93,$A$12:$A$42,"&lt;="&amp;$C93)/SUMIFS(INDEX($C$12:$AH$42,0,N(VALUE($AJ$335))),$A$12:$A$42,"&gt;="&amp;$B93,$A$12:$A$42,"&lt;="&amp;$C93),"")))</f>
        <v>0</v>
      </c>
      <c r="AZ93" s="60">
        <f>IF(N(VALUE($AI$335))=0,"",IF(N(VALUE($AK$335))=0,SUMIFS(AZ$12:AZ$42,$A$12:$A$42,"&gt;="&amp;$B93,$A$12:$A$42,"&lt;="&amp;$C93),IF(SUMIFS(INDEX($C$12:$AH$42,0,N(VALUE($AK$335))),$A$12:$A$42,"&gt;="&amp;$B93,$A$12:$A$42,"&lt;="&amp;$C93)&gt;0,SUMIFS(INDEX($C$12:$AH$42,0,VALUE($AI$335)),$A$12:$A$42,"&gt;="&amp;$B93,$A$12:$A$42,"&lt;="&amp;$C93)/SUMIFS(INDEX($C$12:$AH$42,0,N(VALUE($AK$335))),$A$12:$A$42,"&gt;="&amp;$B93,$A$12:$A$42,"&lt;="&amp;$C93),"")))</f>
        <v>0</v>
      </c>
      <c r="BA93" s="60">
        <f>IF(N(VALUE($AP$335))=0,"",IF(N(VALUE($AR$335))=0,SUMIFS(BA$12:BA$42,$A$12:$A$42,"&gt;="&amp;$B93,$A$12:$A$42,"&lt;="&amp;$C93),IF(SUMIFS(INDEX($C$12:$AH$42,0,N(VALUE($AR$335))),$A$12:$A$42,"&gt;="&amp;$B93,$A$12:$A$42,"&lt;="&amp;$C93)&gt;0,SUMIFS(INDEX($C$12:$AH$42,0,VALUE($AP$335)),$A$12:$A$42,"&gt;="&amp;$B93,$A$12:$A$42,"&lt;="&amp;$C93)/SUMIFS(INDEX($C$12:$AH$42,0,N(VALUE($AR$335))),$A$12:$A$42,"&gt;="&amp;$B93,$A$12:$A$42,"&lt;="&amp;$C93),"")))</f>
        <v>0</v>
      </c>
      <c r="BB93" s="60">
        <f>IF(N(VALUE($AQ$335))=0,"",IF(N(VALUE($AS$335))=0,SUMIFS(BB$12:BB$42,$A$12:$A$42,"&gt;="&amp;$B93,$A$12:$A$42,"&lt;="&amp;$C93),IF(SUMIFS(INDEX($C$12:$AH$42,0,N(VALUE($AS$335))),$A$12:$A$42,"&gt;="&amp;$B93,$A$12:$A$42,"&lt;="&amp;$C93)&gt;0,SUMIFS(INDEX($C$12:$AH$42,0,VALUE($AQ$335)),$A$12:$A$42,"&gt;="&amp;$B93,$A$12:$A$42,"&lt;="&amp;$C93)/SUMIFS(INDEX($C$12:$AH$42,0,N(VALUE($AS$335))),$A$12:$A$42,"&gt;="&amp;$B93,$A$12:$A$42,"&lt;="&amp;$C93),"")))</f>
        <v>0</v>
      </c>
    </row>
    <row r="94">
      <c r="A94" s="29" t="inlineStr">
        <is>
          <t xml:space="preserve">Sem 3 (15–21)</t>
        </is>
      </c>
      <c r="B94" s="28">
        <v>15</v>
      </c>
      <c r="C94" s="28">
        <v>21</v>
      </c>
      <c r="D94" s="60">
        <f>SUMIFS(E12:E42,A12:A42,"&gt;="&amp;$B94,A12:A42,"&lt;="&amp;$C94)</f>
        <v>0</v>
      </c>
      <c r="E94" s="60">
        <f>SUMIFS(T12:T42,A12:A42,"&gt;="&amp;$B94,A12:A42,"&lt;="&amp;$C94)</f>
        <v>0</v>
      </c>
      <c r="F94" s="32">
        <f>SUMIFS(D12:D42,A12:A42,"&gt;="&amp;$B94,A12:A42,"&lt;="&amp;$C94)</f>
        <v>0</v>
      </c>
      <c r="G94" s="32">
        <f>SUMIFS(S12:S42,A12:A42,"&gt;="&amp;$B94,A12:A42,"&lt;="&amp;$C94)</f>
        <v>0</v>
      </c>
      <c r="AY94" s="60">
        <f>IF(N(VALUE($AH$335))=0,"",IF(N(VALUE($AJ$335))=0,SUMIFS(AY$12:AY$42,$A$12:$A$42,"&gt;="&amp;$B94,$A$12:$A$42,"&lt;="&amp;$C94),IF(SUMIFS(INDEX($C$12:$AH$42,0,N(VALUE($AJ$335))),$A$12:$A$42,"&gt;="&amp;$B94,$A$12:$A$42,"&lt;="&amp;$C94)&gt;0,SUMIFS(INDEX($C$12:$AH$42,0,VALUE($AH$335)),$A$12:$A$42,"&gt;="&amp;$B94,$A$12:$A$42,"&lt;="&amp;$C94)/SUMIFS(INDEX($C$12:$AH$42,0,N(VALUE($AJ$335))),$A$12:$A$42,"&gt;="&amp;$B94,$A$12:$A$42,"&lt;="&amp;$C94),"")))</f>
        <v>0</v>
      </c>
      <c r="AZ94" s="60">
        <f>IF(N(VALUE($AI$335))=0,"",IF(N(VALUE($AK$335))=0,SUMIFS(AZ$12:AZ$42,$A$12:$A$42,"&gt;="&amp;$B94,$A$12:$A$42,"&lt;="&amp;$C94),IF(SUMIFS(INDEX($C$12:$AH$42,0,N(VALUE($AK$335))),$A$12:$A$42,"&gt;="&amp;$B94,$A$12:$A$42,"&lt;="&amp;$C94)&gt;0,SUMIFS(INDEX($C$12:$AH$42,0,VALUE($AI$335)),$A$12:$A$42,"&gt;="&amp;$B94,$A$12:$A$42,"&lt;="&amp;$C94)/SUMIFS(INDEX($C$12:$AH$42,0,N(VALUE($AK$335))),$A$12:$A$42,"&gt;="&amp;$B94,$A$12:$A$42,"&lt;="&amp;$C94),"")))</f>
        <v>0</v>
      </c>
      <c r="BA94" s="60">
        <f>IF(N(VALUE($AP$335))=0,"",IF(N(VALUE($AR$335))=0,SUMIFS(BA$12:BA$42,$A$12:$A$42,"&gt;="&amp;$B94,$A$12:$A$42,"&lt;="&amp;$C94),IF(SUMIFS(INDEX($C$12:$AH$42,0,N(VALUE($AR$335))),$A$12:$A$42,"&gt;="&amp;$B94,$A$12:$A$42,"&lt;="&amp;$C94)&gt;0,SUMIFS(INDEX($C$12:$AH$42,0,VALUE($AP$335)),$A$12:$A$42,"&gt;="&amp;$B94,$A$12:$A$42,"&lt;="&amp;$C94)/SUMIFS(INDEX($C$12:$AH$42,0,N(VALUE($AR$335))),$A$12:$A$42,"&gt;="&amp;$B94,$A$12:$A$42,"&lt;="&amp;$C94),"")))</f>
        <v>0</v>
      </c>
      <c r="BB94" s="60">
        <f>IF(N(VALUE($AQ$335))=0,"",IF(N(VALUE($AS$335))=0,SUMIFS(BB$12:BB$42,$A$12:$A$42,"&gt;="&amp;$B94,$A$12:$A$42,"&lt;="&amp;$C94),IF(SUMIFS(INDEX($C$12:$AH$42,0,N(VALUE($AS$335))),$A$12:$A$42,"&gt;="&amp;$B94,$A$12:$A$42,"&lt;="&amp;$C94)&gt;0,SUMIFS(INDEX($C$12:$AH$42,0,VALUE($AQ$335)),$A$12:$A$42,"&gt;="&amp;$B94,$A$12:$A$42,"&lt;="&amp;$C94)/SUMIFS(INDEX($C$12:$AH$42,0,N(VALUE($AS$335))),$A$12:$A$42,"&gt;="&amp;$B94,$A$12:$A$42,"&lt;="&amp;$C94),"")))</f>
        <v>0</v>
      </c>
    </row>
    <row r="95">
      <c r="A95" s="29" t="inlineStr">
        <is>
          <t xml:space="preserve">Sem 4 (22–28)</t>
        </is>
      </c>
      <c r="B95" s="28">
        <v>22</v>
      </c>
      <c r="C95" s="28">
        <v>28</v>
      </c>
      <c r="D95" s="60">
        <f>SUMIFS(E12:E42,A12:A42,"&gt;="&amp;$B95,A12:A42,"&lt;="&amp;$C95)</f>
        <v>0</v>
      </c>
      <c r="E95" s="60">
        <f>SUMIFS(T12:T42,A12:A42,"&gt;="&amp;$B95,A12:A42,"&lt;="&amp;$C95)</f>
        <v>0</v>
      </c>
      <c r="F95" s="32">
        <f>SUMIFS(D12:D42,A12:A42,"&gt;="&amp;$B95,A12:A42,"&lt;="&amp;$C95)</f>
        <v>0</v>
      </c>
      <c r="G95" s="32">
        <f>SUMIFS(S12:S42,A12:A42,"&gt;="&amp;$B95,A12:A42,"&lt;="&amp;$C95)</f>
        <v>0</v>
      </c>
      <c r="AY95" s="60">
        <f>IF(N(VALUE($AH$335))=0,"",IF(N(VALUE($AJ$335))=0,SUMIFS(AY$12:AY$42,$A$12:$A$42,"&gt;="&amp;$B95,$A$12:$A$42,"&lt;="&amp;$C95),IF(SUMIFS(INDEX($C$12:$AH$42,0,N(VALUE($AJ$335))),$A$12:$A$42,"&gt;="&amp;$B95,$A$12:$A$42,"&lt;="&amp;$C95)&gt;0,SUMIFS(INDEX($C$12:$AH$42,0,VALUE($AH$335)),$A$12:$A$42,"&gt;="&amp;$B95,$A$12:$A$42,"&lt;="&amp;$C95)/SUMIFS(INDEX($C$12:$AH$42,0,N(VALUE($AJ$335))),$A$12:$A$42,"&gt;="&amp;$B95,$A$12:$A$42,"&lt;="&amp;$C95),"")))</f>
        <v>0</v>
      </c>
      <c r="AZ95" s="60">
        <f>IF(N(VALUE($AI$335))=0,"",IF(N(VALUE($AK$335))=0,SUMIFS(AZ$12:AZ$42,$A$12:$A$42,"&gt;="&amp;$B95,$A$12:$A$42,"&lt;="&amp;$C95),IF(SUMIFS(INDEX($C$12:$AH$42,0,N(VALUE($AK$335))),$A$12:$A$42,"&gt;="&amp;$B95,$A$12:$A$42,"&lt;="&amp;$C95)&gt;0,SUMIFS(INDEX($C$12:$AH$42,0,VALUE($AI$335)),$A$12:$A$42,"&gt;="&amp;$B95,$A$12:$A$42,"&lt;="&amp;$C95)/SUMIFS(INDEX($C$12:$AH$42,0,N(VALUE($AK$335))),$A$12:$A$42,"&gt;="&amp;$B95,$A$12:$A$42,"&lt;="&amp;$C95),"")))</f>
        <v>0</v>
      </c>
      <c r="BA95" s="60">
        <f>IF(N(VALUE($AP$335))=0,"",IF(N(VALUE($AR$335))=0,SUMIFS(BA$12:BA$42,$A$12:$A$42,"&gt;="&amp;$B95,$A$12:$A$42,"&lt;="&amp;$C95),IF(SUMIFS(INDEX($C$12:$AH$42,0,N(VALUE($AR$335))),$A$12:$A$42,"&gt;="&amp;$B95,$A$12:$A$42,"&lt;="&amp;$C95)&gt;0,SUMIFS(INDEX($C$12:$AH$42,0,VALUE($AP$335)),$A$12:$A$42,"&gt;="&amp;$B95,$A$12:$A$42,"&lt;="&amp;$C95)/SUMIFS(INDEX($C$12:$AH$42,0,N(VALUE($AR$335))),$A$12:$A$42,"&gt;="&amp;$B95,$A$12:$A$42,"&lt;="&amp;$C95),"")))</f>
        <v>0</v>
      </c>
      <c r="BB95" s="60">
        <f>IF(N(VALUE($AQ$335))=0,"",IF(N(VALUE($AS$335))=0,SUMIFS(BB$12:BB$42,$A$12:$A$42,"&gt;="&amp;$B95,$A$12:$A$42,"&lt;="&amp;$C95),IF(SUMIFS(INDEX($C$12:$AH$42,0,N(VALUE($AS$335))),$A$12:$A$42,"&gt;="&amp;$B95,$A$12:$A$42,"&lt;="&amp;$C95)&gt;0,SUMIFS(INDEX($C$12:$AH$42,0,VALUE($AQ$335)),$A$12:$A$42,"&gt;="&amp;$B95,$A$12:$A$42,"&lt;="&amp;$C95)/SUMIFS(INDEX($C$12:$AH$42,0,N(VALUE($AS$335))),$A$12:$A$42,"&gt;="&amp;$B95,$A$12:$A$42,"&lt;="&amp;$C95),"")))</f>
        <v>0</v>
      </c>
    </row>
    <row r="96">
      <c r="A96" s="29" t="inlineStr">
        <is>
          <t xml:space="preserve">Sem 5 (29–fim)</t>
        </is>
      </c>
      <c r="B96" s="28">
        <v>29</v>
      </c>
      <c r="C96" s="28">
        <v>31</v>
      </c>
      <c r="D96" s="60">
        <f>SUMIFS(E12:E42,A12:A42,"&gt;="&amp;$B96,A12:A42,"&lt;="&amp;$C96)</f>
        <v>0</v>
      </c>
      <c r="E96" s="60">
        <f>SUMIFS(T12:T42,A12:A42,"&gt;="&amp;$B96,A12:A42,"&lt;="&amp;$C96)</f>
        <v>0</v>
      </c>
      <c r="F96" s="32">
        <f>SUMIFS(D12:D42,A12:A42,"&gt;="&amp;$B96,A12:A42,"&lt;="&amp;$C96)</f>
        <v>0</v>
      </c>
      <c r="G96" s="32">
        <f>SUMIFS(S12:S42,A12:A42,"&gt;="&amp;$B96,A12:A42,"&lt;="&amp;$C96)</f>
        <v>0</v>
      </c>
      <c r="AY96" s="60">
        <f>IF(N(VALUE($AH$335))=0,"",IF(N(VALUE($AJ$335))=0,SUMIFS(AY$12:AY$42,$A$12:$A$42,"&gt;="&amp;$B96,$A$12:$A$42,"&lt;="&amp;$C96),IF(SUMIFS(INDEX($C$12:$AH$42,0,N(VALUE($AJ$335))),$A$12:$A$42,"&gt;="&amp;$B96,$A$12:$A$42,"&lt;="&amp;$C96)&gt;0,SUMIFS(INDEX($C$12:$AH$42,0,VALUE($AH$335)),$A$12:$A$42,"&gt;="&amp;$B96,$A$12:$A$42,"&lt;="&amp;$C96)/SUMIFS(INDEX($C$12:$AH$42,0,N(VALUE($AJ$335))),$A$12:$A$42,"&gt;="&amp;$B96,$A$12:$A$42,"&lt;="&amp;$C96),"")))</f>
        <v>0</v>
      </c>
      <c r="AZ96" s="60">
        <f>IF(N(VALUE($AI$335))=0,"",IF(N(VALUE($AK$335))=0,SUMIFS(AZ$12:AZ$42,$A$12:$A$42,"&gt;="&amp;$B96,$A$12:$A$42,"&lt;="&amp;$C96),IF(SUMIFS(INDEX($C$12:$AH$42,0,N(VALUE($AK$335))),$A$12:$A$42,"&gt;="&amp;$B96,$A$12:$A$42,"&lt;="&amp;$C96)&gt;0,SUMIFS(INDEX($C$12:$AH$42,0,VALUE($AI$335)),$A$12:$A$42,"&gt;="&amp;$B96,$A$12:$A$42,"&lt;="&amp;$C96)/SUMIFS(INDEX($C$12:$AH$42,0,N(VALUE($AK$335))),$A$12:$A$42,"&gt;="&amp;$B96,$A$12:$A$42,"&lt;="&amp;$C96),"")))</f>
        <v>0</v>
      </c>
      <c r="BA96" s="60">
        <f>IF(N(VALUE($AP$335))=0,"",IF(N(VALUE($AR$335))=0,SUMIFS(BA$12:BA$42,$A$12:$A$42,"&gt;="&amp;$B96,$A$12:$A$42,"&lt;="&amp;$C96),IF(SUMIFS(INDEX($C$12:$AH$42,0,N(VALUE($AR$335))),$A$12:$A$42,"&gt;="&amp;$B96,$A$12:$A$42,"&lt;="&amp;$C96)&gt;0,SUMIFS(INDEX($C$12:$AH$42,0,VALUE($AP$335)),$A$12:$A$42,"&gt;="&amp;$B96,$A$12:$A$42,"&lt;="&amp;$C96)/SUMIFS(INDEX($C$12:$AH$42,0,N(VALUE($AR$335))),$A$12:$A$42,"&gt;="&amp;$B96,$A$12:$A$42,"&lt;="&amp;$C96),"")))</f>
        <v>0</v>
      </c>
      <c r="BB96" s="60">
        <f>IF(N(VALUE($AQ$335))=0,"",IF(N(VALUE($AS$335))=0,SUMIFS(BB$12:BB$42,$A$12:$A$42,"&gt;="&amp;$B96,$A$12:$A$42,"&lt;="&amp;$C96),IF(SUMIFS(INDEX($C$12:$AH$42,0,N(VALUE($AS$335))),$A$12:$A$42,"&gt;="&amp;$B96,$A$12:$A$42,"&lt;="&amp;$C96)&gt;0,SUMIFS(INDEX($C$12:$AH$42,0,VALUE($AQ$335)),$A$12:$A$42,"&gt;="&amp;$B96,$A$12:$A$42,"&lt;="&amp;$C96)/SUMIFS(INDEX($C$12:$AH$42,0,N(VALUE($AS$335))),$A$12:$A$42,"&gt;="&amp;$B96,$A$12:$A$42,"&lt;="&amp;$C96),"")))</f>
        <v>0</v>
      </c>
    </row>
    <row r="100">
      <c r="A100" s="19" t="inlineStr">
        <is>
          <t xml:space="preserve">POR CLIENTE — mês inteiro (todos os clientes). Estoque = último valor do mês.</t>
        </is>
      </c>
    </row>
    <row r="101" ht="30" customHeight="1">
      <c r="A101" s="37" t="inlineStr">
        <is>
          <t xml:space="preserve">Indicador</t>
        </is>
      </c>
      <c r="B101" s="37" t="inlineStr">
        <is>
          <t xml:space="preserve">Alpargatas</t>
        </is>
      </c>
      <c r="C101" s="37" t="inlineStr">
        <is>
          <t xml:space="preserve">Basf</t>
        </is>
      </c>
      <c r="D101" s="37" t="inlineStr">
        <is>
          <t xml:space="preserve">Beautybiz</t>
        </is>
      </c>
      <c r="E101" s="37" t="inlineStr">
        <is>
          <t xml:space="preserve">Boticário</t>
        </is>
      </c>
      <c r="F101" s="37" t="inlineStr">
        <is>
          <t xml:space="preserve">GE Vernova</t>
        </is>
      </c>
      <c r="G101" s="37" t="inlineStr">
        <is>
          <t xml:space="preserve">Omnilife</t>
        </is>
      </c>
      <c r="H101" s="37" t="inlineStr">
        <is>
          <t xml:space="preserve">Supply</t>
        </is>
      </c>
      <c r="I101" s="37" t="inlineStr">
        <is>
          <t xml:space="preserve">Vedacit</t>
        </is>
      </c>
      <c r="J101" s="37" t="inlineStr">
        <is>
          <t xml:space="preserve">Vestas</t>
        </is>
      </c>
      <c r="K101" s="37" t="inlineStr">
        <is>
          <t xml:space="preserve">TOTAL</t>
        </is>
      </c>
    </row>
    <row r="102">
      <c r="A102" s="29" t="inlineStr">
        <is>
          <t xml:space="preserve">IN · Veículos Recebidos</t>
        </is>
      </c>
      <c r="B102" s="32">
        <f>SUMIFS(BD!$C$3:$C$5001,BD!$B$3:$B$5001,B$101,BD!$A$3:$A$5001,"&gt;="&amp;$C$7,BD!$A$3:$A$5001,"&lt;="&amp;$D$7)</f>
        <v>0</v>
      </c>
      <c r="C102" s="32">
        <f>SUMIFS(BD!$C$3:$C$5001,BD!$B$3:$B$5001,C$101,BD!$A$3:$A$5001,"&gt;="&amp;$C$7,BD!$A$3:$A$5001,"&lt;="&amp;$D$7)</f>
        <v>0</v>
      </c>
      <c r="D102" s="32">
        <f>SUMIFS(BD!$C$3:$C$5001,BD!$B$3:$B$5001,D$101,BD!$A$3:$A$5001,"&gt;="&amp;$C$7,BD!$A$3:$A$5001,"&lt;="&amp;$D$7)</f>
        <v>0</v>
      </c>
      <c r="E102" s="32">
        <f>SUMIFS(BD!$C$3:$C$5001,BD!$B$3:$B$5001,E$101,BD!$A$3:$A$5001,"&gt;="&amp;$C$7,BD!$A$3:$A$5001,"&lt;="&amp;$D$7)</f>
        <v>0</v>
      </c>
      <c r="F102" s="32">
        <f>SUMIFS(BD!$C$3:$C$5001,BD!$B$3:$B$5001,F$101,BD!$A$3:$A$5001,"&gt;="&amp;$C$7,BD!$A$3:$A$5001,"&lt;="&amp;$D$7)</f>
        <v>0</v>
      </c>
      <c r="G102" s="32">
        <f>SUMIFS(BD!$C$3:$C$5001,BD!$B$3:$B$5001,G$101,BD!$A$3:$A$5001,"&gt;="&amp;$C$7,BD!$A$3:$A$5001,"&lt;="&amp;$D$7)</f>
        <v>0</v>
      </c>
      <c r="H102" s="32">
        <f>SUMIFS(BD!$C$3:$C$5001,BD!$B$3:$B$5001,H$101,BD!$A$3:$A$5001,"&gt;="&amp;$C$7,BD!$A$3:$A$5001,"&lt;="&amp;$D$7)</f>
        <v>0</v>
      </c>
      <c r="I102" s="32">
        <f>SUMIFS(BD!$C$3:$C$5001,BD!$B$3:$B$5001,I$101,BD!$A$3:$A$5001,"&gt;="&amp;$C$7,BD!$A$3:$A$5001,"&lt;="&amp;$D$7)</f>
        <v>0</v>
      </c>
      <c r="J102" s="32">
        <f>SUMIFS(BD!$C$3:$C$5001,BD!$B$3:$B$5001,J$101,BD!$A$3:$A$5001,"&gt;="&amp;$C$7,BD!$A$3:$A$5001,"&lt;="&amp;$D$7)</f>
        <v>0</v>
      </c>
      <c r="K102" s="61">
        <f>SUM(B102:J102)</f>
        <v>0</v>
      </c>
    </row>
    <row r="103">
      <c r="A103" s="29" t="inlineStr">
        <is>
          <t xml:space="preserve">IN · Pallets Movimentados</t>
        </is>
      </c>
      <c r="B103" s="32" t="inlineStr">
        <is>
          <t xml:space="preserve">—</t>
        </is>
      </c>
      <c r="C103" s="32">
        <f>SUMIFS(BD!$D$3:$D$5001,BD!$B$3:$B$5001,C$101,BD!$A$3:$A$5001,"&gt;="&amp;$C$7,BD!$A$3:$A$5001,"&lt;="&amp;$D$7)</f>
        <v>0</v>
      </c>
      <c r="D103" s="32">
        <f>SUMIFS(BD!$D$3:$D$5001,BD!$B$3:$B$5001,D$101,BD!$A$3:$A$5001,"&gt;="&amp;$C$7,BD!$A$3:$A$5001,"&lt;="&amp;$D$7)</f>
        <v>0</v>
      </c>
      <c r="E103" s="32" t="inlineStr">
        <is>
          <t xml:space="preserve">—</t>
        </is>
      </c>
      <c r="F103" s="32">
        <f>SUMIFS(BD!$D$3:$D$5001,BD!$B$3:$B$5001,F$101,BD!$A$3:$A$5001,"&gt;="&amp;$C$7,BD!$A$3:$A$5001,"&lt;="&amp;$D$7)</f>
        <v>0</v>
      </c>
      <c r="G103" s="32">
        <f>SUMIFS(BD!$D$3:$D$5001,BD!$B$3:$B$5001,G$101,BD!$A$3:$A$5001,"&gt;="&amp;$C$7,BD!$A$3:$A$5001,"&lt;="&amp;$D$7)</f>
        <v>0</v>
      </c>
      <c r="H103" s="32">
        <f>SUMIFS(BD!$D$3:$D$5001,BD!$B$3:$B$5001,H$101,BD!$A$3:$A$5001,"&gt;="&amp;$C$7,BD!$A$3:$A$5001,"&lt;="&amp;$D$7)</f>
        <v>0</v>
      </c>
      <c r="I103" s="32">
        <f>SUMIFS(BD!$D$3:$D$5001,BD!$B$3:$B$5001,I$101,BD!$A$3:$A$5001,"&gt;="&amp;$C$7,BD!$A$3:$A$5001,"&lt;="&amp;$D$7)</f>
        <v>0</v>
      </c>
      <c r="J103" s="32" t="inlineStr">
        <is>
          <t xml:space="preserve">—</t>
        </is>
      </c>
      <c r="K103" s="61">
        <f>SUM(B103:J103)</f>
        <v>0</v>
      </c>
    </row>
    <row r="104">
      <c r="A104" s="29" t="inlineStr">
        <is>
          <t xml:space="preserve">IN · Toneladas Movimentadas</t>
        </is>
      </c>
      <c r="B104" s="60" t="inlineStr">
        <is>
          <t xml:space="preserve">—</t>
        </is>
      </c>
      <c r="C104" s="60">
        <f>SUMIFS(BD!$E$3:$E$5001,BD!$B$3:$B$5001,C$101,BD!$A$3:$A$5001,"&gt;="&amp;$C$7,BD!$A$3:$A$5001,"&lt;="&amp;$D$7)</f>
        <v>0</v>
      </c>
      <c r="D104" s="60" t="inlineStr">
        <is>
          <t xml:space="preserve">—</t>
        </is>
      </c>
      <c r="E104" s="60" t="inlineStr">
        <is>
          <t xml:space="preserve">—</t>
        </is>
      </c>
      <c r="F104" s="60" t="inlineStr">
        <is>
          <t xml:space="preserve">—</t>
        </is>
      </c>
      <c r="G104" s="60" t="inlineStr">
        <is>
          <t xml:space="preserve">—</t>
        </is>
      </c>
      <c r="H104" s="60">
        <f>SUMIFS(BD!$E$3:$E$5001,BD!$B$3:$B$5001,H$101,BD!$A$3:$A$5001,"&gt;="&amp;$C$7,BD!$A$3:$A$5001,"&lt;="&amp;$D$7)</f>
        <v>0</v>
      </c>
      <c r="I104" s="60" t="inlineStr">
        <is>
          <t xml:space="preserve">—</t>
        </is>
      </c>
      <c r="J104" s="60" t="inlineStr">
        <is>
          <t xml:space="preserve">—</t>
        </is>
      </c>
      <c r="K104" s="62">
        <f>SUM(B104:J104)</f>
        <v>0</v>
      </c>
    </row>
    <row r="105">
      <c r="A105" s="29" t="inlineStr">
        <is>
          <t xml:space="preserve">IN · Linhas NF</t>
        </is>
      </c>
      <c r="B105" s="32" t="inlineStr">
        <is>
          <t xml:space="preserve">—</t>
        </is>
      </c>
      <c r="C105" s="32" t="inlineStr">
        <is>
          <t xml:space="preserve">—</t>
        </is>
      </c>
      <c r="D105" s="32" t="inlineStr">
        <is>
          <t xml:space="preserve">—</t>
        </is>
      </c>
      <c r="E105" s="32" t="inlineStr">
        <is>
          <t xml:space="preserve">—</t>
        </is>
      </c>
      <c r="F105" s="32">
        <f>SUMIFS(BD!$F$3:$F$5001,BD!$B$3:$B$5001,F$101,BD!$A$3:$A$5001,"&gt;="&amp;$C$7,BD!$A$3:$A$5001,"&lt;="&amp;$D$7)</f>
        <v>0</v>
      </c>
      <c r="G105" s="32" t="inlineStr">
        <is>
          <t xml:space="preserve">—</t>
        </is>
      </c>
      <c r="H105" s="32" t="inlineStr">
        <is>
          <t xml:space="preserve">—</t>
        </is>
      </c>
      <c r="I105" s="32" t="inlineStr">
        <is>
          <t xml:space="preserve">—</t>
        </is>
      </c>
      <c r="J105" s="32">
        <f>SUMIFS(BD!$F$3:$F$5001,BD!$B$3:$B$5001,J$101,BD!$A$3:$A$5001,"&gt;="&amp;$C$7,BD!$A$3:$A$5001,"&lt;="&amp;$D$7)</f>
        <v>0</v>
      </c>
      <c r="K105" s="61">
        <f>SUM(B105:J105)</f>
        <v>0</v>
      </c>
    </row>
    <row r="106">
      <c r="A106" s="29" t="inlineStr">
        <is>
          <t xml:space="preserve">IN · Caixas Movimentadas</t>
        </is>
      </c>
      <c r="B106" s="32">
        <f>SUMIFS(BD!$G$3:$G$5001,BD!$B$3:$B$5001,B$101,BD!$A$3:$A$5001,"&gt;="&amp;$C$7,BD!$A$3:$A$5001,"&lt;="&amp;$D$7)</f>
        <v>0</v>
      </c>
      <c r="C106" s="32" t="inlineStr">
        <is>
          <t xml:space="preserve">—</t>
        </is>
      </c>
      <c r="D106" s="32">
        <f>SUMIFS(BD!$G$3:$G$5001,BD!$B$3:$B$5001,D$101,BD!$A$3:$A$5001,"&gt;="&amp;$C$7,BD!$A$3:$A$5001,"&lt;="&amp;$D$7)</f>
        <v>0</v>
      </c>
      <c r="E106" s="32" t="inlineStr">
        <is>
          <t xml:space="preserve">—</t>
        </is>
      </c>
      <c r="F106" s="32" t="inlineStr">
        <is>
          <t xml:space="preserve">—</t>
        </is>
      </c>
      <c r="G106" s="32" t="inlineStr">
        <is>
          <t xml:space="preserve">—</t>
        </is>
      </c>
      <c r="H106" s="32" t="inlineStr">
        <is>
          <t xml:space="preserve">—</t>
        </is>
      </c>
      <c r="I106" s="32" t="inlineStr">
        <is>
          <t xml:space="preserve">—</t>
        </is>
      </c>
      <c r="J106" s="32" t="inlineStr">
        <is>
          <t xml:space="preserve">—</t>
        </is>
      </c>
      <c r="K106" s="61">
        <f>SUM(B106:J106)</f>
        <v>0</v>
      </c>
    </row>
    <row r="107">
      <c r="A107" s="29" t="inlineStr">
        <is>
          <t xml:space="preserve">IN · Peças Movimentadas</t>
        </is>
      </c>
      <c r="B107" s="32" t="inlineStr">
        <is>
          <t xml:space="preserve">—</t>
        </is>
      </c>
      <c r="C107" s="32" t="inlineStr">
        <is>
          <t xml:space="preserve">—</t>
        </is>
      </c>
      <c r="D107" s="32" t="inlineStr">
        <is>
          <t xml:space="preserve">—</t>
        </is>
      </c>
      <c r="E107" s="32" t="inlineStr">
        <is>
          <t xml:space="preserve">—</t>
        </is>
      </c>
      <c r="F107" s="32">
        <f>SUMIFS(BD!$H$3:$H$5001,BD!$B$3:$B$5001,F$101,BD!$A$3:$A$5001,"&gt;="&amp;$C$7,BD!$A$3:$A$5001,"&lt;="&amp;$D$7)</f>
        <v>0</v>
      </c>
      <c r="G107" s="32" t="inlineStr">
        <is>
          <t xml:space="preserve">—</t>
        </is>
      </c>
      <c r="H107" s="32" t="inlineStr">
        <is>
          <t xml:space="preserve">—</t>
        </is>
      </c>
      <c r="I107" s="32" t="inlineStr">
        <is>
          <t xml:space="preserve">—</t>
        </is>
      </c>
      <c r="J107" s="32" t="inlineStr">
        <is>
          <t xml:space="preserve">—</t>
        </is>
      </c>
      <c r="K107" s="61">
        <f>SUM(B107:J107)</f>
        <v>0</v>
      </c>
    </row>
    <row r="108">
      <c r="A108" s="29" t="inlineStr">
        <is>
          <t xml:space="preserve">IN · Itens Recebidos CX Mista</t>
        </is>
      </c>
      <c r="B108" s="32" t="inlineStr">
        <is>
          <t xml:space="preserve">—</t>
        </is>
      </c>
      <c r="C108" s="32" t="inlineStr">
        <is>
          <t xml:space="preserve">—</t>
        </is>
      </c>
      <c r="D108" s="32" t="inlineStr">
        <is>
          <t xml:space="preserve">—</t>
        </is>
      </c>
      <c r="E108" s="32">
        <f>SUMIFS(BD!$I$3:$I$5001,BD!$B$3:$B$5001,E$101,BD!$A$3:$A$5001,"&gt;="&amp;$C$7,BD!$A$3:$A$5001,"&lt;="&amp;$D$7)</f>
        <v>0</v>
      </c>
      <c r="F108" s="32" t="inlineStr">
        <is>
          <t xml:space="preserve">—</t>
        </is>
      </c>
      <c r="G108" s="32" t="inlineStr">
        <is>
          <t xml:space="preserve">—</t>
        </is>
      </c>
      <c r="H108" s="32" t="inlineStr">
        <is>
          <t xml:space="preserve">—</t>
        </is>
      </c>
      <c r="I108" s="32" t="inlineStr">
        <is>
          <t xml:space="preserve">—</t>
        </is>
      </c>
      <c r="J108" s="32" t="inlineStr">
        <is>
          <t xml:space="preserve">—</t>
        </is>
      </c>
      <c r="K108" s="61">
        <f>SUM(B108:J108)</f>
        <v>0</v>
      </c>
    </row>
    <row r="109">
      <c r="A109" s="29" t="inlineStr">
        <is>
          <t xml:space="preserve">IN · Caixas Fechadas</t>
        </is>
      </c>
      <c r="B109" s="32" t="inlineStr">
        <is>
          <t xml:space="preserve">—</t>
        </is>
      </c>
      <c r="C109" s="32" t="inlineStr">
        <is>
          <t xml:space="preserve">—</t>
        </is>
      </c>
      <c r="D109" s="32" t="inlineStr">
        <is>
          <t xml:space="preserve">—</t>
        </is>
      </c>
      <c r="E109" s="32">
        <f>SUMIFS(BD!$J$3:$J$5001,BD!$B$3:$B$5001,E$101,BD!$A$3:$A$5001,"&gt;="&amp;$C$7,BD!$A$3:$A$5001,"&lt;="&amp;$D$7)</f>
        <v>0</v>
      </c>
      <c r="F109" s="32" t="inlineStr">
        <is>
          <t xml:space="preserve">—</t>
        </is>
      </c>
      <c r="G109" s="32" t="inlineStr">
        <is>
          <t xml:space="preserve">—</t>
        </is>
      </c>
      <c r="H109" s="32" t="inlineStr">
        <is>
          <t xml:space="preserve">—</t>
        </is>
      </c>
      <c r="I109" s="32" t="inlineStr">
        <is>
          <t xml:space="preserve">—</t>
        </is>
      </c>
      <c r="J109" s="32" t="inlineStr">
        <is>
          <t xml:space="preserve">—</t>
        </is>
      </c>
      <c r="K109" s="61">
        <f>SUM(B109:J109)</f>
        <v>0</v>
      </c>
    </row>
    <row r="110">
      <c r="A110" s="29" t="inlineStr">
        <is>
          <t xml:space="preserve">IN · Caixas Mistas Recebidas</t>
        </is>
      </c>
      <c r="B110" s="32" t="inlineStr">
        <is>
          <t xml:space="preserve">—</t>
        </is>
      </c>
      <c r="C110" s="32" t="inlineStr">
        <is>
          <t xml:space="preserve">—</t>
        </is>
      </c>
      <c r="D110" s="32" t="inlineStr">
        <is>
          <t xml:space="preserve">—</t>
        </is>
      </c>
      <c r="E110" s="32">
        <f>SUMIFS(BD!$K$3:$K$5001,BD!$B$3:$B$5001,E$101,BD!$A$3:$A$5001,"&gt;="&amp;$C$7,BD!$A$3:$A$5001,"&lt;="&amp;$D$7)</f>
        <v>0</v>
      </c>
      <c r="F110" s="32" t="inlineStr">
        <is>
          <t xml:space="preserve">—</t>
        </is>
      </c>
      <c r="G110" s="32" t="inlineStr">
        <is>
          <t xml:space="preserve">—</t>
        </is>
      </c>
      <c r="H110" s="32" t="inlineStr">
        <is>
          <t xml:space="preserve">—</t>
        </is>
      </c>
      <c r="I110" s="32" t="inlineStr">
        <is>
          <t xml:space="preserve">—</t>
        </is>
      </c>
      <c r="J110" s="32" t="inlineStr">
        <is>
          <t xml:space="preserve">—</t>
        </is>
      </c>
      <c r="K110" s="61">
        <f>SUM(B110:J110)</f>
        <v>0</v>
      </c>
    </row>
    <row r="111">
      <c r="A111" s="29" t="inlineStr">
        <is>
          <t xml:space="preserve">OUT · Veículos Expedidos</t>
        </is>
      </c>
      <c r="B111" s="32">
        <f>SUMIFS(BD!$L$3:$L$5001,BD!$B$3:$B$5001,B$101,BD!$A$3:$A$5001,"&gt;="&amp;$C$7,BD!$A$3:$A$5001,"&lt;="&amp;$D$7)</f>
        <v>0</v>
      </c>
      <c r="C111" s="32">
        <f>SUMIFS(BD!$L$3:$L$5001,BD!$B$3:$B$5001,C$101,BD!$A$3:$A$5001,"&gt;="&amp;$C$7,BD!$A$3:$A$5001,"&lt;="&amp;$D$7)</f>
        <v>0</v>
      </c>
      <c r="D111" s="32">
        <f>SUMIFS(BD!$L$3:$L$5001,BD!$B$3:$B$5001,D$101,BD!$A$3:$A$5001,"&gt;="&amp;$C$7,BD!$A$3:$A$5001,"&lt;="&amp;$D$7)</f>
        <v>0</v>
      </c>
      <c r="E111" s="32">
        <f>SUMIFS(BD!$L$3:$L$5001,BD!$B$3:$B$5001,E$101,BD!$A$3:$A$5001,"&gt;="&amp;$C$7,BD!$A$3:$A$5001,"&lt;="&amp;$D$7)</f>
        <v>0</v>
      </c>
      <c r="F111" s="32">
        <f>SUMIFS(BD!$L$3:$L$5001,BD!$B$3:$B$5001,F$101,BD!$A$3:$A$5001,"&gt;="&amp;$C$7,BD!$A$3:$A$5001,"&lt;="&amp;$D$7)</f>
        <v>0</v>
      </c>
      <c r="G111" s="32">
        <f>SUMIFS(BD!$L$3:$L$5001,BD!$B$3:$B$5001,G$101,BD!$A$3:$A$5001,"&gt;="&amp;$C$7,BD!$A$3:$A$5001,"&lt;="&amp;$D$7)</f>
        <v>0</v>
      </c>
      <c r="H111" s="32">
        <f>SUMIFS(BD!$L$3:$L$5001,BD!$B$3:$B$5001,H$101,BD!$A$3:$A$5001,"&gt;="&amp;$C$7,BD!$A$3:$A$5001,"&lt;="&amp;$D$7)</f>
        <v>0</v>
      </c>
      <c r="I111" s="32">
        <f>SUMIFS(BD!$L$3:$L$5001,BD!$B$3:$B$5001,I$101,BD!$A$3:$A$5001,"&gt;="&amp;$C$7,BD!$A$3:$A$5001,"&lt;="&amp;$D$7)</f>
        <v>0</v>
      </c>
      <c r="J111" s="32">
        <f>SUMIFS(BD!$L$3:$L$5001,BD!$B$3:$B$5001,J$101,BD!$A$3:$A$5001,"&gt;="&amp;$C$7,BD!$A$3:$A$5001,"&lt;="&amp;$D$7)</f>
        <v>0</v>
      </c>
      <c r="K111" s="61">
        <f>SUM(B111:J111)</f>
        <v>0</v>
      </c>
    </row>
    <row r="112">
      <c r="A112" s="29" t="inlineStr">
        <is>
          <t xml:space="preserve">OUT · Pedidos Expedidos</t>
        </is>
      </c>
      <c r="B112" s="32" t="inlineStr">
        <is>
          <t xml:space="preserve">—</t>
        </is>
      </c>
      <c r="C112" s="32" t="inlineStr">
        <is>
          <t xml:space="preserve">—</t>
        </is>
      </c>
      <c r="D112" s="32">
        <f>SUMIFS(BD!$M$3:$M$5001,BD!$B$3:$B$5001,D$101,BD!$A$3:$A$5001,"&gt;="&amp;$C$7,BD!$A$3:$A$5001,"&lt;="&amp;$D$7)</f>
        <v>0</v>
      </c>
      <c r="E112" s="32" t="inlineStr">
        <is>
          <t xml:space="preserve">—</t>
        </is>
      </c>
      <c r="F112" s="32" t="inlineStr">
        <is>
          <t xml:space="preserve">—</t>
        </is>
      </c>
      <c r="G112" s="32" t="inlineStr">
        <is>
          <t xml:space="preserve">—</t>
        </is>
      </c>
      <c r="H112" s="32" t="inlineStr">
        <is>
          <t xml:space="preserve">—</t>
        </is>
      </c>
      <c r="I112" s="32" t="inlineStr">
        <is>
          <t xml:space="preserve">—</t>
        </is>
      </c>
      <c r="J112" s="32" t="inlineStr">
        <is>
          <t xml:space="preserve">—</t>
        </is>
      </c>
      <c r="K112" s="61">
        <f>SUM(B112:J112)</f>
        <v>0</v>
      </c>
    </row>
    <row r="113">
      <c r="A113" s="29" t="inlineStr">
        <is>
          <t xml:space="preserve">OUT · Pedidos Faturados</t>
        </is>
      </c>
      <c r="B113" s="32" t="inlineStr">
        <is>
          <t xml:space="preserve">—</t>
        </is>
      </c>
      <c r="C113" s="32" t="inlineStr">
        <is>
          <t xml:space="preserve">—</t>
        </is>
      </c>
      <c r="D113" s="32" t="inlineStr">
        <is>
          <t xml:space="preserve">—</t>
        </is>
      </c>
      <c r="E113" s="32">
        <f>SUMIFS(BD!$N$3:$N$5001,BD!$B$3:$B$5001,E$101,BD!$A$3:$A$5001,"&gt;="&amp;$C$7,BD!$A$3:$A$5001,"&lt;="&amp;$D$7)</f>
        <v>0</v>
      </c>
      <c r="F113" s="32" t="inlineStr">
        <is>
          <t xml:space="preserve">—</t>
        </is>
      </c>
      <c r="G113" s="32" t="inlineStr">
        <is>
          <t xml:space="preserve">—</t>
        </is>
      </c>
      <c r="H113" s="32" t="inlineStr">
        <is>
          <t xml:space="preserve">—</t>
        </is>
      </c>
      <c r="I113" s="32" t="inlineStr">
        <is>
          <t xml:space="preserve">—</t>
        </is>
      </c>
      <c r="J113" s="32" t="inlineStr">
        <is>
          <t xml:space="preserve">—</t>
        </is>
      </c>
      <c r="K113" s="61">
        <f>SUM(B113:J113)</f>
        <v>0</v>
      </c>
    </row>
    <row r="114">
      <c r="A114" s="29" t="inlineStr">
        <is>
          <t xml:space="preserve">OUT · Itens Expedidos</t>
        </is>
      </c>
      <c r="B114" s="32" t="inlineStr">
        <is>
          <t xml:space="preserve">—</t>
        </is>
      </c>
      <c r="C114" s="32" t="inlineStr">
        <is>
          <t xml:space="preserve">—</t>
        </is>
      </c>
      <c r="D114" s="32" t="inlineStr">
        <is>
          <t xml:space="preserve">—</t>
        </is>
      </c>
      <c r="E114" s="32">
        <f>SUMIFS(BD!$O$3:$O$5001,BD!$B$3:$B$5001,E$101,BD!$A$3:$A$5001,"&gt;="&amp;$C$7,BD!$A$3:$A$5001,"&lt;="&amp;$D$7)</f>
        <v>0</v>
      </c>
      <c r="F114" s="32" t="inlineStr">
        <is>
          <t xml:space="preserve">—</t>
        </is>
      </c>
      <c r="G114" s="32" t="inlineStr">
        <is>
          <t xml:space="preserve">—</t>
        </is>
      </c>
      <c r="H114" s="32" t="inlineStr">
        <is>
          <t xml:space="preserve">—</t>
        </is>
      </c>
      <c r="I114" s="32" t="inlineStr">
        <is>
          <t xml:space="preserve">—</t>
        </is>
      </c>
      <c r="J114" s="32" t="inlineStr">
        <is>
          <t xml:space="preserve">—</t>
        </is>
      </c>
      <c r="K114" s="61">
        <f>SUM(B114:J114)</f>
        <v>0</v>
      </c>
    </row>
    <row r="115">
      <c r="A115" s="29" t="inlineStr">
        <is>
          <t xml:space="preserve">OUT · Peças Movimentadas</t>
        </is>
      </c>
      <c r="B115" s="32" t="inlineStr">
        <is>
          <t xml:space="preserve">—</t>
        </is>
      </c>
      <c r="C115" s="32" t="inlineStr">
        <is>
          <t xml:space="preserve">—</t>
        </is>
      </c>
      <c r="D115" s="32" t="inlineStr">
        <is>
          <t xml:space="preserve">—</t>
        </is>
      </c>
      <c r="E115" s="32" t="inlineStr">
        <is>
          <t xml:space="preserve">—</t>
        </is>
      </c>
      <c r="F115" s="32">
        <f>SUMIFS(BD!$P$3:$P$5001,BD!$B$3:$B$5001,F$101,BD!$A$3:$A$5001,"&gt;="&amp;$C$7,BD!$A$3:$A$5001,"&lt;="&amp;$D$7)</f>
        <v>0</v>
      </c>
      <c r="G115" s="32" t="inlineStr">
        <is>
          <t xml:space="preserve">—</t>
        </is>
      </c>
      <c r="H115" s="32" t="inlineStr">
        <is>
          <t xml:space="preserve">—</t>
        </is>
      </c>
      <c r="I115" s="32" t="inlineStr">
        <is>
          <t xml:space="preserve">—</t>
        </is>
      </c>
      <c r="J115" s="32" t="inlineStr">
        <is>
          <t xml:space="preserve">—</t>
        </is>
      </c>
      <c r="K115" s="61">
        <f>SUM(B115:J115)</f>
        <v>0</v>
      </c>
    </row>
    <row r="116">
      <c r="A116" s="29" t="inlineStr">
        <is>
          <t xml:space="preserve">OUT · Linhas NF</t>
        </is>
      </c>
      <c r="B116" s="32" t="inlineStr">
        <is>
          <t xml:space="preserve">—</t>
        </is>
      </c>
      <c r="C116" s="32" t="inlineStr">
        <is>
          <t xml:space="preserve">—</t>
        </is>
      </c>
      <c r="D116" s="32" t="inlineStr">
        <is>
          <t xml:space="preserve">—</t>
        </is>
      </c>
      <c r="E116" s="32" t="inlineStr">
        <is>
          <t xml:space="preserve">—</t>
        </is>
      </c>
      <c r="F116" s="32">
        <f>SUMIFS(BD!$Q$3:$Q$5001,BD!$B$3:$B$5001,F$101,BD!$A$3:$A$5001,"&gt;="&amp;$C$7,BD!$A$3:$A$5001,"&lt;="&amp;$D$7)</f>
        <v>0</v>
      </c>
      <c r="G116" s="32" t="inlineStr">
        <is>
          <t xml:space="preserve">—</t>
        </is>
      </c>
      <c r="H116" s="32" t="inlineStr">
        <is>
          <t xml:space="preserve">—</t>
        </is>
      </c>
      <c r="I116" s="32" t="inlineStr">
        <is>
          <t xml:space="preserve">—</t>
        </is>
      </c>
      <c r="J116" s="32">
        <f>SUMIFS(BD!$Q$3:$Q$5001,BD!$B$3:$B$5001,J$101,BD!$A$3:$A$5001,"&gt;="&amp;$C$7,BD!$A$3:$A$5001,"&lt;="&amp;$D$7)</f>
        <v>0</v>
      </c>
      <c r="K116" s="61">
        <f>SUM(B116:J116)</f>
        <v>0</v>
      </c>
    </row>
    <row r="117">
      <c r="A117" s="29" t="inlineStr">
        <is>
          <t xml:space="preserve">OUT · Caixas Expedidas</t>
        </is>
      </c>
      <c r="B117" s="32">
        <f>SUMIFS(BD!$R$3:$R$5001,BD!$B$3:$B$5001,B$101,BD!$A$3:$A$5001,"&gt;="&amp;$C$7,BD!$A$3:$A$5001,"&lt;="&amp;$D$7)</f>
        <v>0</v>
      </c>
      <c r="C117" s="32" t="inlineStr">
        <is>
          <t xml:space="preserve">—</t>
        </is>
      </c>
      <c r="D117" s="32" t="inlineStr">
        <is>
          <t xml:space="preserve">—</t>
        </is>
      </c>
      <c r="E117" s="32" t="inlineStr">
        <is>
          <t xml:space="preserve">—</t>
        </is>
      </c>
      <c r="F117" s="32" t="inlineStr">
        <is>
          <t xml:space="preserve">—</t>
        </is>
      </c>
      <c r="G117" s="32" t="inlineStr">
        <is>
          <t xml:space="preserve">—</t>
        </is>
      </c>
      <c r="H117" s="32" t="inlineStr">
        <is>
          <t xml:space="preserve">—</t>
        </is>
      </c>
      <c r="I117" s="32" t="inlineStr">
        <is>
          <t xml:space="preserve">—</t>
        </is>
      </c>
      <c r="J117" s="32" t="inlineStr">
        <is>
          <t xml:space="preserve">—</t>
        </is>
      </c>
      <c r="K117" s="61">
        <f>SUM(B117:J117)</f>
        <v>0</v>
      </c>
    </row>
    <row r="118">
      <c r="A118" s="29" t="inlineStr">
        <is>
          <t xml:space="preserve">OUT · Pallets Movimentados</t>
        </is>
      </c>
      <c r="B118" s="32" t="inlineStr">
        <is>
          <t xml:space="preserve">—</t>
        </is>
      </c>
      <c r="C118" s="32">
        <f>SUMIFS(BD!$S$3:$S$5001,BD!$B$3:$B$5001,C$101,BD!$A$3:$A$5001,"&gt;="&amp;$C$7,BD!$A$3:$A$5001,"&lt;="&amp;$D$7)</f>
        <v>0</v>
      </c>
      <c r="D118" s="32">
        <f>SUMIFS(BD!$S$3:$S$5001,BD!$B$3:$B$5001,D$101,BD!$A$3:$A$5001,"&gt;="&amp;$C$7,BD!$A$3:$A$5001,"&lt;="&amp;$D$7)</f>
        <v>0</v>
      </c>
      <c r="E118" s="32">
        <f>SUMIFS(BD!$S$3:$S$5001,BD!$B$3:$B$5001,E$101,BD!$A$3:$A$5001,"&gt;="&amp;$C$7,BD!$A$3:$A$5001,"&lt;="&amp;$D$7)</f>
        <v>0</v>
      </c>
      <c r="F118" s="32">
        <f>SUMIFS(BD!$S$3:$S$5001,BD!$B$3:$B$5001,F$101,BD!$A$3:$A$5001,"&gt;="&amp;$C$7,BD!$A$3:$A$5001,"&lt;="&amp;$D$7)</f>
        <v>0</v>
      </c>
      <c r="G118" s="32">
        <f>SUMIFS(BD!$S$3:$S$5001,BD!$B$3:$B$5001,G$101,BD!$A$3:$A$5001,"&gt;="&amp;$C$7,BD!$A$3:$A$5001,"&lt;="&amp;$D$7)</f>
        <v>0</v>
      </c>
      <c r="H118" s="32">
        <f>SUMIFS(BD!$S$3:$S$5001,BD!$B$3:$B$5001,H$101,BD!$A$3:$A$5001,"&gt;="&amp;$C$7,BD!$A$3:$A$5001,"&lt;="&amp;$D$7)</f>
        <v>0</v>
      </c>
      <c r="I118" s="32">
        <f>SUMIFS(BD!$S$3:$S$5001,BD!$B$3:$B$5001,I$101,BD!$A$3:$A$5001,"&gt;="&amp;$C$7,BD!$A$3:$A$5001,"&lt;="&amp;$D$7)</f>
        <v>0</v>
      </c>
      <c r="J118" s="32" t="inlineStr">
        <is>
          <t xml:space="preserve">—</t>
        </is>
      </c>
      <c r="K118" s="61">
        <f>SUM(B118:J118)</f>
        <v>0</v>
      </c>
    </row>
    <row r="119">
      <c r="A119" s="29" t="inlineStr">
        <is>
          <t xml:space="preserve">OUT · Toneladas Movimentadas</t>
        </is>
      </c>
      <c r="B119" s="60" t="inlineStr">
        <is>
          <t xml:space="preserve">—</t>
        </is>
      </c>
      <c r="C119" s="60">
        <f>SUMIFS(BD!$T$3:$T$5001,BD!$B$3:$B$5001,C$101,BD!$A$3:$A$5001,"&gt;="&amp;$C$7,BD!$A$3:$A$5001,"&lt;="&amp;$D$7)</f>
        <v>0</v>
      </c>
      <c r="D119" s="60" t="inlineStr">
        <is>
          <t xml:space="preserve">—</t>
        </is>
      </c>
      <c r="E119" s="60" t="inlineStr">
        <is>
          <t xml:space="preserve">—</t>
        </is>
      </c>
      <c r="F119" s="60" t="inlineStr">
        <is>
          <t xml:space="preserve">—</t>
        </is>
      </c>
      <c r="G119" s="60" t="inlineStr">
        <is>
          <t xml:space="preserve">—</t>
        </is>
      </c>
      <c r="H119" s="60">
        <f>SUMIFS(BD!$T$3:$T$5001,BD!$B$3:$B$5001,H$101,BD!$A$3:$A$5001,"&gt;="&amp;$C$7,BD!$A$3:$A$5001,"&lt;="&amp;$D$7)</f>
        <v>0</v>
      </c>
      <c r="I119" s="60" t="inlineStr">
        <is>
          <t xml:space="preserve">—</t>
        </is>
      </c>
      <c r="J119" s="60" t="inlineStr">
        <is>
          <t xml:space="preserve">—</t>
        </is>
      </c>
      <c r="K119" s="62">
        <f>SUM(B119:J119)</f>
        <v>0</v>
      </c>
    </row>
    <row r="120">
      <c r="A120" s="29" t="inlineStr">
        <is>
          <t xml:space="preserve">NC · Incidentes</t>
        </is>
      </c>
      <c r="B120" s="32">
        <f>SUMIFS(BD!$U$3:$U$5001,BD!$B$3:$B$5001,B$101,BD!$A$3:$A$5001,"&gt;="&amp;$C$7,BD!$A$3:$A$5001,"&lt;="&amp;$D$7)</f>
        <v>0</v>
      </c>
      <c r="C120" s="32">
        <f>SUMIFS(BD!$U$3:$U$5001,BD!$B$3:$B$5001,C$101,BD!$A$3:$A$5001,"&gt;="&amp;$C$7,BD!$A$3:$A$5001,"&lt;="&amp;$D$7)</f>
        <v>0</v>
      </c>
      <c r="D120" s="32">
        <f>SUMIFS(BD!$U$3:$U$5001,BD!$B$3:$B$5001,D$101,BD!$A$3:$A$5001,"&gt;="&amp;$C$7,BD!$A$3:$A$5001,"&lt;="&amp;$D$7)</f>
        <v>0</v>
      </c>
      <c r="E120" s="32">
        <f>SUMIFS(BD!$U$3:$U$5001,BD!$B$3:$B$5001,E$101,BD!$A$3:$A$5001,"&gt;="&amp;$C$7,BD!$A$3:$A$5001,"&lt;="&amp;$D$7)</f>
        <v>0</v>
      </c>
      <c r="F120" s="32">
        <f>SUMIFS(BD!$U$3:$U$5001,BD!$B$3:$B$5001,F$101,BD!$A$3:$A$5001,"&gt;="&amp;$C$7,BD!$A$3:$A$5001,"&lt;="&amp;$D$7)</f>
        <v>0</v>
      </c>
      <c r="G120" s="32">
        <f>SUMIFS(BD!$U$3:$U$5001,BD!$B$3:$B$5001,G$101,BD!$A$3:$A$5001,"&gt;="&amp;$C$7,BD!$A$3:$A$5001,"&lt;="&amp;$D$7)</f>
        <v>0</v>
      </c>
      <c r="H120" s="32">
        <f>SUMIFS(BD!$U$3:$U$5001,BD!$B$3:$B$5001,H$101,BD!$A$3:$A$5001,"&gt;="&amp;$C$7,BD!$A$3:$A$5001,"&lt;="&amp;$D$7)</f>
        <v>0</v>
      </c>
      <c r="I120" s="32">
        <f>SUMIFS(BD!$U$3:$U$5001,BD!$B$3:$B$5001,I$101,BD!$A$3:$A$5001,"&gt;="&amp;$C$7,BD!$A$3:$A$5001,"&lt;="&amp;$D$7)</f>
        <v>0</v>
      </c>
      <c r="J120" s="32">
        <f>SUMIFS(BD!$U$3:$U$5001,BD!$B$3:$B$5001,J$101,BD!$A$3:$A$5001,"&gt;="&amp;$C$7,BD!$A$3:$A$5001,"&lt;="&amp;$D$7)</f>
        <v>0</v>
      </c>
      <c r="K120" s="61">
        <f>SUM(B120:J120)</f>
        <v>0</v>
      </c>
    </row>
    <row r="121">
      <c r="A121" s="29" t="inlineStr">
        <is>
          <t xml:space="preserve">NC · No show</t>
        </is>
      </c>
      <c r="B121" s="32">
        <f>SUMIFS(BD!$V$3:$V$5001,BD!$B$3:$B$5001,B$101,BD!$A$3:$A$5001,"&gt;="&amp;$C$7,BD!$A$3:$A$5001,"&lt;="&amp;$D$7)</f>
        <v>0</v>
      </c>
      <c r="C121" s="32">
        <f>SUMIFS(BD!$V$3:$V$5001,BD!$B$3:$B$5001,C$101,BD!$A$3:$A$5001,"&gt;="&amp;$C$7,BD!$A$3:$A$5001,"&lt;="&amp;$D$7)</f>
        <v>0</v>
      </c>
      <c r="D121" s="32">
        <f>SUMIFS(BD!$V$3:$V$5001,BD!$B$3:$B$5001,D$101,BD!$A$3:$A$5001,"&gt;="&amp;$C$7,BD!$A$3:$A$5001,"&lt;="&amp;$D$7)</f>
        <v>0</v>
      </c>
      <c r="E121" s="32">
        <f>SUMIFS(BD!$V$3:$V$5001,BD!$B$3:$B$5001,E$101,BD!$A$3:$A$5001,"&gt;="&amp;$C$7,BD!$A$3:$A$5001,"&lt;="&amp;$D$7)</f>
        <v>0</v>
      </c>
      <c r="F121" s="32">
        <f>SUMIFS(BD!$V$3:$V$5001,BD!$B$3:$B$5001,F$101,BD!$A$3:$A$5001,"&gt;="&amp;$C$7,BD!$A$3:$A$5001,"&lt;="&amp;$D$7)</f>
        <v>0</v>
      </c>
      <c r="G121" s="32">
        <f>SUMIFS(BD!$V$3:$V$5001,BD!$B$3:$B$5001,G$101,BD!$A$3:$A$5001,"&gt;="&amp;$C$7,BD!$A$3:$A$5001,"&lt;="&amp;$D$7)</f>
        <v>0</v>
      </c>
      <c r="H121" s="32">
        <f>SUMIFS(BD!$V$3:$V$5001,BD!$B$3:$B$5001,H$101,BD!$A$3:$A$5001,"&gt;="&amp;$C$7,BD!$A$3:$A$5001,"&lt;="&amp;$D$7)</f>
        <v>0</v>
      </c>
      <c r="I121" s="32">
        <f>SUMIFS(BD!$V$3:$V$5001,BD!$B$3:$B$5001,I$101,BD!$A$3:$A$5001,"&gt;="&amp;$C$7,BD!$A$3:$A$5001,"&lt;="&amp;$D$7)</f>
        <v>0</v>
      </c>
      <c r="J121" s="32">
        <f>SUMIFS(BD!$V$3:$V$5001,BD!$B$3:$B$5001,J$101,BD!$A$3:$A$5001,"&gt;="&amp;$C$7,BD!$A$3:$A$5001,"&lt;="&amp;$D$7)</f>
        <v>0</v>
      </c>
      <c r="K121" s="61">
        <f>SUM(B121:J121)</f>
        <v>0</v>
      </c>
    </row>
    <row r="122">
      <c r="A122" s="29" t="inlineStr">
        <is>
          <t xml:space="preserve">NC · Backlog</t>
        </is>
      </c>
      <c r="B122" s="32" t="str">
        <f>IF(COUNTIFS(BD!$B$3:$B$5001,B$101,BD!$A$3:$A$5001,"&gt;="&amp;$C$7,BD!$A$3:$A$5001,"&lt;="&amp;$D$7,BD!$W$3:$W$5001,"&lt;&gt;")=0,"",SUMIFS(BD!$W$3:$W$5001,BD!$B$3:$B$5001,B$101,BD!$A$3:$A$5001,_xlfn.MAXIFS(BD!$A$3:$A$5001,BD!$B$3:$B$5001,B$101,BD!$A$3:$A$5001,"&gt;="&amp;$C$7,BD!$A$3:$A$5001,"&lt;="&amp;$D$7,BD!$W$3:$W$5001,"&lt;&gt;")))</f>
        <v/>
      </c>
      <c r="C122" s="32" t="str">
        <f>IF(COUNTIFS(BD!$B$3:$B$5001,C$101,BD!$A$3:$A$5001,"&gt;="&amp;$C$7,BD!$A$3:$A$5001,"&lt;="&amp;$D$7,BD!$W$3:$W$5001,"&lt;&gt;")=0,"",SUMIFS(BD!$W$3:$W$5001,BD!$B$3:$B$5001,C$101,BD!$A$3:$A$5001,_xlfn.MAXIFS(BD!$A$3:$A$5001,BD!$B$3:$B$5001,C$101,BD!$A$3:$A$5001,"&gt;="&amp;$C$7,BD!$A$3:$A$5001,"&lt;="&amp;$D$7,BD!$W$3:$W$5001,"&lt;&gt;")))</f>
        <v/>
      </c>
      <c r="D122" s="32" t="str">
        <f>IF(COUNTIFS(BD!$B$3:$B$5001,D$101,BD!$A$3:$A$5001,"&gt;="&amp;$C$7,BD!$A$3:$A$5001,"&lt;="&amp;$D$7,BD!$W$3:$W$5001,"&lt;&gt;")=0,"",SUMIFS(BD!$W$3:$W$5001,BD!$B$3:$B$5001,D$101,BD!$A$3:$A$5001,_xlfn.MAXIFS(BD!$A$3:$A$5001,BD!$B$3:$B$5001,D$101,BD!$A$3:$A$5001,"&gt;="&amp;$C$7,BD!$A$3:$A$5001,"&lt;="&amp;$D$7,BD!$W$3:$W$5001,"&lt;&gt;")))</f>
        <v/>
      </c>
      <c r="E122" s="32" t="str">
        <f>IF(COUNTIFS(BD!$B$3:$B$5001,E$101,BD!$A$3:$A$5001,"&gt;="&amp;$C$7,BD!$A$3:$A$5001,"&lt;="&amp;$D$7,BD!$W$3:$W$5001,"&lt;&gt;")=0,"",SUMIFS(BD!$W$3:$W$5001,BD!$B$3:$B$5001,E$101,BD!$A$3:$A$5001,_xlfn.MAXIFS(BD!$A$3:$A$5001,BD!$B$3:$B$5001,E$101,BD!$A$3:$A$5001,"&gt;="&amp;$C$7,BD!$A$3:$A$5001,"&lt;="&amp;$D$7,BD!$W$3:$W$5001,"&lt;&gt;")))</f>
        <v/>
      </c>
      <c r="F122" s="32" t="str">
        <f>IF(COUNTIFS(BD!$B$3:$B$5001,F$101,BD!$A$3:$A$5001,"&gt;="&amp;$C$7,BD!$A$3:$A$5001,"&lt;="&amp;$D$7,BD!$W$3:$W$5001,"&lt;&gt;")=0,"",SUMIFS(BD!$W$3:$W$5001,BD!$B$3:$B$5001,F$101,BD!$A$3:$A$5001,_xlfn.MAXIFS(BD!$A$3:$A$5001,BD!$B$3:$B$5001,F$101,BD!$A$3:$A$5001,"&gt;="&amp;$C$7,BD!$A$3:$A$5001,"&lt;="&amp;$D$7,BD!$W$3:$W$5001,"&lt;&gt;")))</f>
        <v/>
      </c>
      <c r="G122" s="32" t="str">
        <f>IF(COUNTIFS(BD!$B$3:$B$5001,G$101,BD!$A$3:$A$5001,"&gt;="&amp;$C$7,BD!$A$3:$A$5001,"&lt;="&amp;$D$7,BD!$W$3:$W$5001,"&lt;&gt;")=0,"",SUMIFS(BD!$W$3:$W$5001,BD!$B$3:$B$5001,G$101,BD!$A$3:$A$5001,_xlfn.MAXIFS(BD!$A$3:$A$5001,BD!$B$3:$B$5001,G$101,BD!$A$3:$A$5001,"&gt;="&amp;$C$7,BD!$A$3:$A$5001,"&lt;="&amp;$D$7,BD!$W$3:$W$5001,"&lt;&gt;")))</f>
        <v/>
      </c>
      <c r="H122" s="32" t="str">
        <f>IF(COUNTIFS(BD!$B$3:$B$5001,H$101,BD!$A$3:$A$5001,"&gt;="&amp;$C$7,BD!$A$3:$A$5001,"&lt;="&amp;$D$7,BD!$W$3:$W$5001,"&lt;&gt;")=0,"",SUMIFS(BD!$W$3:$W$5001,BD!$B$3:$B$5001,H$101,BD!$A$3:$A$5001,_xlfn.MAXIFS(BD!$A$3:$A$5001,BD!$B$3:$B$5001,H$101,BD!$A$3:$A$5001,"&gt;="&amp;$C$7,BD!$A$3:$A$5001,"&lt;="&amp;$D$7,BD!$W$3:$W$5001,"&lt;&gt;")))</f>
        <v/>
      </c>
      <c r="I122" s="32" t="str">
        <f>IF(COUNTIFS(BD!$B$3:$B$5001,I$101,BD!$A$3:$A$5001,"&gt;="&amp;$C$7,BD!$A$3:$A$5001,"&lt;="&amp;$D$7,BD!$W$3:$W$5001,"&lt;&gt;")=0,"",SUMIFS(BD!$W$3:$W$5001,BD!$B$3:$B$5001,I$101,BD!$A$3:$A$5001,_xlfn.MAXIFS(BD!$A$3:$A$5001,BD!$B$3:$B$5001,I$101,BD!$A$3:$A$5001,"&gt;="&amp;$C$7,BD!$A$3:$A$5001,"&lt;="&amp;$D$7,BD!$W$3:$W$5001,"&lt;&gt;")))</f>
        <v/>
      </c>
      <c r="J122" s="32" t="str">
        <f>IF(COUNTIFS(BD!$B$3:$B$5001,J$101,BD!$A$3:$A$5001,"&gt;="&amp;$C$7,BD!$A$3:$A$5001,"&lt;="&amp;$D$7,BD!$W$3:$W$5001,"&lt;&gt;")=0,"",SUMIFS(BD!$W$3:$W$5001,BD!$B$3:$B$5001,J$101,BD!$A$3:$A$5001,_xlfn.MAXIFS(BD!$A$3:$A$5001,BD!$B$3:$B$5001,J$101,BD!$A$3:$A$5001,"&gt;="&amp;$C$7,BD!$A$3:$A$5001,"&lt;="&amp;$D$7,BD!$W$3:$W$5001,"&lt;&gt;")))</f>
        <v/>
      </c>
      <c r="K122" s="61">
        <f>SUM(B122:J122)</f>
        <v>0</v>
      </c>
    </row>
    <row r="123">
      <c r="A123" s="29" t="inlineStr">
        <is>
          <t xml:space="preserve">OCUPAÇÃO (P.P) · Posições Disponíveis</t>
        </is>
      </c>
      <c r="B123" s="32" t="str">
        <f>IF(COUNTIFS(BD!$B$3:$B$5001,B$101,BD!$A$3:$A$5001,"&gt;="&amp;$C$7,BD!$A$3:$A$5001,"&lt;="&amp;$D$7,BD!$Y$3:$Y$5001,"&lt;&gt;")=0,"",SUMIFS(BD!$X$3:$X$5001,BD!$B$3:$B$5001,B$101,BD!$A$3:$A$5001,_xlfn.MAXIFS(BD!$A$3:$A$5001,BD!$B$3:$B$5001,B$101,BD!$A$3:$A$5001,"&gt;="&amp;$C$7,BD!$A$3:$A$5001,"&lt;="&amp;$D$7,BD!$Y$3:$Y$5001,"&lt;&gt;")))</f>
        <v/>
      </c>
      <c r="C123" s="32" t="str">
        <f>IF(COUNTIFS(BD!$B$3:$B$5001,C$101,BD!$A$3:$A$5001,"&gt;="&amp;$C$7,BD!$A$3:$A$5001,"&lt;="&amp;$D$7,BD!$Y$3:$Y$5001,"&lt;&gt;")=0,"",SUMIFS(BD!$X$3:$X$5001,BD!$B$3:$B$5001,C$101,BD!$A$3:$A$5001,_xlfn.MAXIFS(BD!$A$3:$A$5001,BD!$B$3:$B$5001,C$101,BD!$A$3:$A$5001,"&gt;="&amp;$C$7,BD!$A$3:$A$5001,"&lt;="&amp;$D$7,BD!$Y$3:$Y$5001,"&lt;&gt;")))</f>
        <v/>
      </c>
      <c r="D123" s="32" t="str">
        <f>IF(COUNTIFS(BD!$B$3:$B$5001,D$101,BD!$A$3:$A$5001,"&gt;="&amp;$C$7,BD!$A$3:$A$5001,"&lt;="&amp;$D$7,BD!$Y$3:$Y$5001,"&lt;&gt;")=0,"",SUMIFS(BD!$X$3:$X$5001,BD!$B$3:$B$5001,D$101,BD!$A$3:$A$5001,_xlfn.MAXIFS(BD!$A$3:$A$5001,BD!$B$3:$B$5001,D$101,BD!$A$3:$A$5001,"&gt;="&amp;$C$7,BD!$A$3:$A$5001,"&lt;="&amp;$D$7,BD!$Y$3:$Y$5001,"&lt;&gt;")))</f>
        <v/>
      </c>
      <c r="E123" s="32" t="str">
        <f>IF(COUNTIFS(BD!$B$3:$B$5001,E$101,BD!$A$3:$A$5001,"&gt;="&amp;$C$7,BD!$A$3:$A$5001,"&lt;="&amp;$D$7,BD!$Y$3:$Y$5001,"&lt;&gt;")=0,"",SUMIFS(BD!$X$3:$X$5001,BD!$B$3:$B$5001,E$101,BD!$A$3:$A$5001,_xlfn.MAXIFS(BD!$A$3:$A$5001,BD!$B$3:$B$5001,E$101,BD!$A$3:$A$5001,"&gt;="&amp;$C$7,BD!$A$3:$A$5001,"&lt;="&amp;$D$7,BD!$Y$3:$Y$5001,"&lt;&gt;")))</f>
        <v/>
      </c>
      <c r="F123" s="32" t="str">
        <f>IF(COUNTIFS(BD!$B$3:$B$5001,F$101,BD!$A$3:$A$5001,"&gt;="&amp;$C$7,BD!$A$3:$A$5001,"&lt;="&amp;$D$7,BD!$Y$3:$Y$5001,"&lt;&gt;")=0,"",SUMIFS(BD!$X$3:$X$5001,BD!$B$3:$B$5001,F$101,BD!$A$3:$A$5001,_xlfn.MAXIFS(BD!$A$3:$A$5001,BD!$B$3:$B$5001,F$101,BD!$A$3:$A$5001,"&gt;="&amp;$C$7,BD!$A$3:$A$5001,"&lt;="&amp;$D$7,BD!$Y$3:$Y$5001,"&lt;&gt;")))</f>
        <v/>
      </c>
      <c r="G123" s="32" t="str">
        <f>IF(COUNTIFS(BD!$B$3:$B$5001,G$101,BD!$A$3:$A$5001,"&gt;="&amp;$C$7,BD!$A$3:$A$5001,"&lt;="&amp;$D$7,BD!$Y$3:$Y$5001,"&lt;&gt;")=0,"",SUMIFS(BD!$X$3:$X$5001,BD!$B$3:$B$5001,G$101,BD!$A$3:$A$5001,_xlfn.MAXIFS(BD!$A$3:$A$5001,BD!$B$3:$B$5001,G$101,BD!$A$3:$A$5001,"&gt;="&amp;$C$7,BD!$A$3:$A$5001,"&lt;="&amp;$D$7,BD!$Y$3:$Y$5001,"&lt;&gt;")))</f>
        <v/>
      </c>
      <c r="H123" s="32" t="str">
        <f>IF(COUNTIFS(BD!$B$3:$B$5001,H$101,BD!$A$3:$A$5001,"&gt;="&amp;$C$7,BD!$A$3:$A$5001,"&lt;="&amp;$D$7,BD!$Y$3:$Y$5001,"&lt;&gt;")=0,"",SUMIFS(BD!$X$3:$X$5001,BD!$B$3:$B$5001,H$101,BD!$A$3:$A$5001,_xlfn.MAXIFS(BD!$A$3:$A$5001,BD!$B$3:$B$5001,H$101,BD!$A$3:$A$5001,"&gt;="&amp;$C$7,BD!$A$3:$A$5001,"&lt;="&amp;$D$7,BD!$Y$3:$Y$5001,"&lt;&gt;")))</f>
        <v/>
      </c>
      <c r="I123" s="32" t="str">
        <f>IF(COUNTIFS(BD!$B$3:$B$5001,I$101,BD!$A$3:$A$5001,"&gt;="&amp;$C$7,BD!$A$3:$A$5001,"&lt;="&amp;$D$7,BD!$Y$3:$Y$5001,"&lt;&gt;")=0,"",SUMIFS(BD!$X$3:$X$5001,BD!$B$3:$B$5001,I$101,BD!$A$3:$A$5001,_xlfn.MAXIFS(BD!$A$3:$A$5001,BD!$B$3:$B$5001,I$101,BD!$A$3:$A$5001,"&gt;="&amp;$C$7,BD!$A$3:$A$5001,"&lt;="&amp;$D$7,BD!$Y$3:$Y$5001,"&lt;&gt;")))</f>
        <v/>
      </c>
      <c r="J123" s="32" t="str">
        <f>IF(COUNTIFS(BD!$B$3:$B$5001,J$101,BD!$A$3:$A$5001,"&gt;="&amp;$C$7,BD!$A$3:$A$5001,"&lt;="&amp;$D$7,BD!$Y$3:$Y$5001,"&lt;&gt;")=0,"",SUMIFS(BD!$X$3:$X$5001,BD!$B$3:$B$5001,J$101,BD!$A$3:$A$5001,_xlfn.MAXIFS(BD!$A$3:$A$5001,BD!$B$3:$B$5001,J$101,BD!$A$3:$A$5001,"&gt;="&amp;$C$7,BD!$A$3:$A$5001,"&lt;="&amp;$D$7,BD!$Y$3:$Y$5001,"&lt;&gt;")))</f>
        <v/>
      </c>
      <c r="K123" s="61">
        <f>IF($B$4&gt;0,$B$4,SUM(B123:J123))</f>
        <v>0</v>
      </c>
    </row>
    <row r="124">
      <c r="A124" s="29" t="inlineStr">
        <is>
          <t xml:space="preserve">OCUPAÇÃO (P.P) · Posições Ocupadas</t>
        </is>
      </c>
      <c r="B124" s="32" t="str">
        <f>IF(COUNTIFS(BD!$B$3:$B$5001,B$101,BD!$A$3:$A$5001,"&gt;="&amp;$C$7,BD!$A$3:$A$5001,"&lt;="&amp;$D$7,BD!$Y$3:$Y$5001,"&lt;&gt;")=0,"",SUMIFS(BD!$Y$3:$Y$5001,BD!$B$3:$B$5001,B$101,BD!$A$3:$A$5001,_xlfn.MAXIFS(BD!$A$3:$A$5001,BD!$B$3:$B$5001,B$101,BD!$A$3:$A$5001,"&gt;="&amp;$C$7,BD!$A$3:$A$5001,"&lt;="&amp;$D$7,BD!$Y$3:$Y$5001,"&lt;&gt;")))</f>
        <v/>
      </c>
      <c r="C124" s="32" t="str">
        <f>IF(COUNTIFS(BD!$B$3:$B$5001,C$101,BD!$A$3:$A$5001,"&gt;="&amp;$C$7,BD!$A$3:$A$5001,"&lt;="&amp;$D$7,BD!$Y$3:$Y$5001,"&lt;&gt;")=0,"",SUMIFS(BD!$Y$3:$Y$5001,BD!$B$3:$B$5001,C$101,BD!$A$3:$A$5001,_xlfn.MAXIFS(BD!$A$3:$A$5001,BD!$B$3:$B$5001,C$101,BD!$A$3:$A$5001,"&gt;="&amp;$C$7,BD!$A$3:$A$5001,"&lt;="&amp;$D$7,BD!$Y$3:$Y$5001,"&lt;&gt;")))</f>
        <v/>
      </c>
      <c r="D124" s="32" t="str">
        <f>IF(COUNTIFS(BD!$B$3:$B$5001,D$101,BD!$A$3:$A$5001,"&gt;="&amp;$C$7,BD!$A$3:$A$5001,"&lt;="&amp;$D$7,BD!$Y$3:$Y$5001,"&lt;&gt;")=0,"",SUMIFS(BD!$Y$3:$Y$5001,BD!$B$3:$B$5001,D$101,BD!$A$3:$A$5001,_xlfn.MAXIFS(BD!$A$3:$A$5001,BD!$B$3:$B$5001,D$101,BD!$A$3:$A$5001,"&gt;="&amp;$C$7,BD!$A$3:$A$5001,"&lt;="&amp;$D$7,BD!$Y$3:$Y$5001,"&lt;&gt;")))</f>
        <v/>
      </c>
      <c r="E124" s="32" t="str">
        <f>IF(COUNTIFS(BD!$B$3:$B$5001,E$101,BD!$A$3:$A$5001,"&gt;="&amp;$C$7,BD!$A$3:$A$5001,"&lt;="&amp;$D$7,BD!$Y$3:$Y$5001,"&lt;&gt;")=0,"",SUMIFS(BD!$Y$3:$Y$5001,BD!$B$3:$B$5001,E$101,BD!$A$3:$A$5001,_xlfn.MAXIFS(BD!$A$3:$A$5001,BD!$B$3:$B$5001,E$101,BD!$A$3:$A$5001,"&gt;="&amp;$C$7,BD!$A$3:$A$5001,"&lt;="&amp;$D$7,BD!$Y$3:$Y$5001,"&lt;&gt;")))</f>
        <v/>
      </c>
      <c r="F124" s="32" t="str">
        <f>IF(COUNTIFS(BD!$B$3:$B$5001,F$101,BD!$A$3:$A$5001,"&gt;="&amp;$C$7,BD!$A$3:$A$5001,"&lt;="&amp;$D$7,BD!$Y$3:$Y$5001,"&lt;&gt;")=0,"",SUMIFS(BD!$Y$3:$Y$5001,BD!$B$3:$B$5001,F$101,BD!$A$3:$A$5001,_xlfn.MAXIFS(BD!$A$3:$A$5001,BD!$B$3:$B$5001,F$101,BD!$A$3:$A$5001,"&gt;="&amp;$C$7,BD!$A$3:$A$5001,"&lt;="&amp;$D$7,BD!$Y$3:$Y$5001,"&lt;&gt;")))</f>
        <v/>
      </c>
      <c r="G124" s="32" t="str">
        <f>IF(COUNTIFS(BD!$B$3:$B$5001,G$101,BD!$A$3:$A$5001,"&gt;="&amp;$C$7,BD!$A$3:$A$5001,"&lt;="&amp;$D$7,BD!$Y$3:$Y$5001,"&lt;&gt;")=0,"",SUMIFS(BD!$Y$3:$Y$5001,BD!$B$3:$B$5001,G$101,BD!$A$3:$A$5001,_xlfn.MAXIFS(BD!$A$3:$A$5001,BD!$B$3:$B$5001,G$101,BD!$A$3:$A$5001,"&gt;="&amp;$C$7,BD!$A$3:$A$5001,"&lt;="&amp;$D$7,BD!$Y$3:$Y$5001,"&lt;&gt;")))</f>
        <v/>
      </c>
      <c r="H124" s="32" t="str">
        <f>IF(COUNTIFS(BD!$B$3:$B$5001,H$101,BD!$A$3:$A$5001,"&gt;="&amp;$C$7,BD!$A$3:$A$5001,"&lt;="&amp;$D$7,BD!$Y$3:$Y$5001,"&lt;&gt;")=0,"",SUMIFS(BD!$Y$3:$Y$5001,BD!$B$3:$B$5001,H$101,BD!$A$3:$A$5001,_xlfn.MAXIFS(BD!$A$3:$A$5001,BD!$B$3:$B$5001,H$101,BD!$A$3:$A$5001,"&gt;="&amp;$C$7,BD!$A$3:$A$5001,"&lt;="&amp;$D$7,BD!$Y$3:$Y$5001,"&lt;&gt;")))</f>
        <v/>
      </c>
      <c r="I124" s="32" t="str">
        <f>IF(COUNTIFS(BD!$B$3:$B$5001,I$101,BD!$A$3:$A$5001,"&gt;="&amp;$C$7,BD!$A$3:$A$5001,"&lt;="&amp;$D$7,BD!$Y$3:$Y$5001,"&lt;&gt;")=0,"",SUMIFS(BD!$Y$3:$Y$5001,BD!$B$3:$B$5001,I$101,BD!$A$3:$A$5001,_xlfn.MAXIFS(BD!$A$3:$A$5001,BD!$B$3:$B$5001,I$101,BD!$A$3:$A$5001,"&gt;="&amp;$C$7,BD!$A$3:$A$5001,"&lt;="&amp;$D$7,BD!$Y$3:$Y$5001,"&lt;&gt;")))</f>
        <v/>
      </c>
      <c r="J124" s="32" t="str">
        <f>IF(COUNTIFS(BD!$B$3:$B$5001,J$101,BD!$A$3:$A$5001,"&gt;="&amp;$C$7,BD!$A$3:$A$5001,"&lt;="&amp;$D$7,BD!$Y$3:$Y$5001,"&lt;&gt;")=0,"",SUMIFS(BD!$Y$3:$Y$5001,BD!$B$3:$B$5001,J$101,BD!$A$3:$A$5001,_xlfn.MAXIFS(BD!$A$3:$A$5001,BD!$B$3:$B$5001,J$101,BD!$A$3:$A$5001,"&gt;="&amp;$C$7,BD!$A$3:$A$5001,"&lt;="&amp;$D$7,BD!$Y$3:$Y$5001,"&lt;&gt;")))</f>
        <v/>
      </c>
      <c r="K124" s="61">
        <f>SUM(B124:J124)</f>
        <v>0</v>
      </c>
    </row>
    <row r="125">
      <c r="A125" s="29" t="inlineStr">
        <is>
          <t xml:space="preserve">OCUPAÇÃO (P.P) · Taxa de Ocupação</t>
        </is>
      </c>
      <c r="B125" s="49" t="str">
        <f>IF(AND(ISNUMBER(B124),ISNUMBER(B123)),IF(B123&gt;0,B124/B123,""),"")</f>
        <v/>
      </c>
      <c r="C125" s="49" t="str">
        <f>IF(AND(ISNUMBER(C124),ISNUMBER(C123)),IF(C123&gt;0,C124/C123,""),"")</f>
        <v/>
      </c>
      <c r="D125" s="49" t="str">
        <f>IF(AND(ISNUMBER(D124),ISNUMBER(D123)),IF(D123&gt;0,D124/D123,""),"")</f>
        <v/>
      </c>
      <c r="E125" s="49" t="str">
        <f>IF(AND(ISNUMBER(E124),ISNUMBER(E123)),IF(E123&gt;0,E124/E123,""),"")</f>
        <v/>
      </c>
      <c r="F125" s="49" t="str">
        <f>IF(AND(ISNUMBER(F124),ISNUMBER(F123)),IF(F123&gt;0,F124/F123,""),"")</f>
        <v/>
      </c>
      <c r="G125" s="49" t="str">
        <f>IF(AND(ISNUMBER(G124),ISNUMBER(G123)),IF(G123&gt;0,G124/G123,""),"")</f>
        <v/>
      </c>
      <c r="H125" s="49" t="str">
        <f>IF(AND(ISNUMBER(H124),ISNUMBER(H123)),IF(H123&gt;0,H124/H123,""),"")</f>
        <v/>
      </c>
      <c r="I125" s="49" t="str">
        <f>IF(AND(ISNUMBER(I124),ISNUMBER(I123)),IF(I123&gt;0,I124/I123,""),"")</f>
        <v/>
      </c>
      <c r="J125" s="49" t="str">
        <f>IF(AND(ISNUMBER(J124),ISNUMBER(J123)),IF(J123&gt;0,J124/J123,""),"")</f>
        <v/>
      </c>
      <c r="K125" s="63" t="str">
        <f>IFERROR(K124/K123,"")</f>
        <v/>
      </c>
    </row>
    <row r="126">
      <c r="A126" s="29" t="inlineStr">
        <is>
          <t xml:space="preserve">GENTE · Efetivo Op.</t>
        </is>
      </c>
      <c r="B126" s="32" t="str">
        <f>IF(COUNTIFS(BD!$B$3:$B$5001,B$101,BD!$A$3:$A$5001,"&gt;="&amp;$C$7,BD!$A$3:$A$5001,"&lt;="&amp;$D$7,BD!$Z$3:$Z$5001,"&lt;&gt;")=0,"",SUMIFS(BD!$Z$3:$Z$5001,BD!$B$3:$B$5001,B$101,BD!$A$3:$A$5001,_xlfn.MAXIFS(BD!$A$3:$A$5001,BD!$B$3:$B$5001,B$101,BD!$A$3:$A$5001,"&gt;="&amp;$C$7,BD!$A$3:$A$5001,"&lt;="&amp;$D$7,BD!$Z$3:$Z$5001,"&lt;&gt;")))</f>
        <v/>
      </c>
      <c r="C126" s="32" t="str">
        <f>IF(COUNTIFS(BD!$B$3:$B$5001,C$101,BD!$A$3:$A$5001,"&gt;="&amp;$C$7,BD!$A$3:$A$5001,"&lt;="&amp;$D$7,BD!$Z$3:$Z$5001,"&lt;&gt;")=0,"",SUMIFS(BD!$Z$3:$Z$5001,BD!$B$3:$B$5001,C$101,BD!$A$3:$A$5001,_xlfn.MAXIFS(BD!$A$3:$A$5001,BD!$B$3:$B$5001,C$101,BD!$A$3:$A$5001,"&gt;="&amp;$C$7,BD!$A$3:$A$5001,"&lt;="&amp;$D$7,BD!$Z$3:$Z$5001,"&lt;&gt;")))</f>
        <v/>
      </c>
      <c r="D126" s="32" t="str">
        <f>IF(COUNTIFS(BD!$B$3:$B$5001,D$101,BD!$A$3:$A$5001,"&gt;="&amp;$C$7,BD!$A$3:$A$5001,"&lt;="&amp;$D$7,BD!$Z$3:$Z$5001,"&lt;&gt;")=0,"",SUMIFS(BD!$Z$3:$Z$5001,BD!$B$3:$B$5001,D$101,BD!$A$3:$A$5001,_xlfn.MAXIFS(BD!$A$3:$A$5001,BD!$B$3:$B$5001,D$101,BD!$A$3:$A$5001,"&gt;="&amp;$C$7,BD!$A$3:$A$5001,"&lt;="&amp;$D$7,BD!$Z$3:$Z$5001,"&lt;&gt;")))</f>
        <v/>
      </c>
      <c r="E126" s="32" t="str">
        <f>IF(COUNTIFS(BD!$B$3:$B$5001,E$101,BD!$A$3:$A$5001,"&gt;="&amp;$C$7,BD!$A$3:$A$5001,"&lt;="&amp;$D$7,BD!$Z$3:$Z$5001,"&lt;&gt;")=0,"",SUMIFS(BD!$Z$3:$Z$5001,BD!$B$3:$B$5001,E$101,BD!$A$3:$A$5001,_xlfn.MAXIFS(BD!$A$3:$A$5001,BD!$B$3:$B$5001,E$101,BD!$A$3:$A$5001,"&gt;="&amp;$C$7,BD!$A$3:$A$5001,"&lt;="&amp;$D$7,BD!$Z$3:$Z$5001,"&lt;&gt;")))</f>
        <v/>
      </c>
      <c r="F126" s="32" t="str">
        <f>IF(COUNTIFS(BD!$B$3:$B$5001,F$101,BD!$A$3:$A$5001,"&gt;="&amp;$C$7,BD!$A$3:$A$5001,"&lt;="&amp;$D$7,BD!$Z$3:$Z$5001,"&lt;&gt;")=0,"",SUMIFS(BD!$Z$3:$Z$5001,BD!$B$3:$B$5001,F$101,BD!$A$3:$A$5001,_xlfn.MAXIFS(BD!$A$3:$A$5001,BD!$B$3:$B$5001,F$101,BD!$A$3:$A$5001,"&gt;="&amp;$C$7,BD!$A$3:$A$5001,"&lt;="&amp;$D$7,BD!$Z$3:$Z$5001,"&lt;&gt;")))</f>
        <v/>
      </c>
      <c r="G126" s="32" t="str">
        <f>IF(COUNTIFS(BD!$B$3:$B$5001,G$101,BD!$A$3:$A$5001,"&gt;="&amp;$C$7,BD!$A$3:$A$5001,"&lt;="&amp;$D$7,BD!$Z$3:$Z$5001,"&lt;&gt;")=0,"",SUMIFS(BD!$Z$3:$Z$5001,BD!$B$3:$B$5001,G$101,BD!$A$3:$A$5001,_xlfn.MAXIFS(BD!$A$3:$A$5001,BD!$B$3:$B$5001,G$101,BD!$A$3:$A$5001,"&gt;="&amp;$C$7,BD!$A$3:$A$5001,"&lt;="&amp;$D$7,BD!$Z$3:$Z$5001,"&lt;&gt;")))</f>
        <v/>
      </c>
      <c r="H126" s="32" t="str">
        <f>IF(COUNTIFS(BD!$B$3:$B$5001,H$101,BD!$A$3:$A$5001,"&gt;="&amp;$C$7,BD!$A$3:$A$5001,"&lt;="&amp;$D$7,BD!$Z$3:$Z$5001,"&lt;&gt;")=0,"",SUMIFS(BD!$Z$3:$Z$5001,BD!$B$3:$B$5001,H$101,BD!$A$3:$A$5001,_xlfn.MAXIFS(BD!$A$3:$A$5001,BD!$B$3:$B$5001,H$101,BD!$A$3:$A$5001,"&gt;="&amp;$C$7,BD!$A$3:$A$5001,"&lt;="&amp;$D$7,BD!$Z$3:$Z$5001,"&lt;&gt;")))</f>
        <v/>
      </c>
      <c r="I126" s="32" t="str">
        <f>IF(COUNTIFS(BD!$B$3:$B$5001,I$101,BD!$A$3:$A$5001,"&gt;="&amp;$C$7,BD!$A$3:$A$5001,"&lt;="&amp;$D$7,BD!$Z$3:$Z$5001,"&lt;&gt;")=0,"",SUMIFS(BD!$Z$3:$Z$5001,BD!$B$3:$B$5001,I$101,BD!$A$3:$A$5001,_xlfn.MAXIFS(BD!$A$3:$A$5001,BD!$B$3:$B$5001,I$101,BD!$A$3:$A$5001,"&gt;="&amp;$C$7,BD!$A$3:$A$5001,"&lt;="&amp;$D$7,BD!$Z$3:$Z$5001,"&lt;&gt;")))</f>
        <v/>
      </c>
      <c r="J126" s="32" t="str">
        <f>IF(COUNTIFS(BD!$B$3:$B$5001,J$101,BD!$A$3:$A$5001,"&gt;="&amp;$C$7,BD!$A$3:$A$5001,"&lt;="&amp;$D$7,BD!$Z$3:$Z$5001,"&lt;&gt;")=0,"",SUMIFS(BD!$Z$3:$Z$5001,BD!$B$3:$B$5001,J$101,BD!$A$3:$A$5001,_xlfn.MAXIFS(BD!$A$3:$A$5001,BD!$B$3:$B$5001,J$101,BD!$A$3:$A$5001,"&gt;="&amp;$C$7,BD!$A$3:$A$5001,"&lt;="&amp;$D$7,BD!$Z$3:$Z$5001,"&lt;&gt;")))</f>
        <v/>
      </c>
      <c r="K126" s="61">
        <f>SUM(B126:J126)</f>
        <v>0</v>
      </c>
    </row>
    <row r="127">
      <c r="A127" s="29" t="inlineStr">
        <is>
          <t xml:space="preserve">GENTE · Falta</t>
        </is>
      </c>
      <c r="B127" s="32">
        <f>SUMIFS(BD!$AA$3:$AA$5001,BD!$B$3:$B$5001,B$101,BD!$A$3:$A$5001,"&gt;="&amp;$C$7,BD!$A$3:$A$5001,"&lt;="&amp;$D$7)</f>
        <v>0</v>
      </c>
      <c r="C127" s="32">
        <f>SUMIFS(BD!$AA$3:$AA$5001,BD!$B$3:$B$5001,C$101,BD!$A$3:$A$5001,"&gt;="&amp;$C$7,BD!$A$3:$A$5001,"&lt;="&amp;$D$7)</f>
        <v>0</v>
      </c>
      <c r="D127" s="32">
        <f>SUMIFS(BD!$AA$3:$AA$5001,BD!$B$3:$B$5001,D$101,BD!$A$3:$A$5001,"&gt;="&amp;$C$7,BD!$A$3:$A$5001,"&lt;="&amp;$D$7)</f>
        <v>0</v>
      </c>
      <c r="E127" s="32">
        <f>SUMIFS(BD!$AA$3:$AA$5001,BD!$B$3:$B$5001,E$101,BD!$A$3:$A$5001,"&gt;="&amp;$C$7,BD!$A$3:$A$5001,"&lt;="&amp;$D$7)</f>
        <v>0</v>
      </c>
      <c r="F127" s="32">
        <f>SUMIFS(BD!$AA$3:$AA$5001,BD!$B$3:$B$5001,F$101,BD!$A$3:$A$5001,"&gt;="&amp;$C$7,BD!$A$3:$A$5001,"&lt;="&amp;$D$7)</f>
        <v>0</v>
      </c>
      <c r="G127" s="32">
        <f>SUMIFS(BD!$AA$3:$AA$5001,BD!$B$3:$B$5001,G$101,BD!$A$3:$A$5001,"&gt;="&amp;$C$7,BD!$A$3:$A$5001,"&lt;="&amp;$D$7)</f>
        <v>0</v>
      </c>
      <c r="H127" s="32">
        <f>SUMIFS(BD!$AA$3:$AA$5001,BD!$B$3:$B$5001,H$101,BD!$A$3:$A$5001,"&gt;="&amp;$C$7,BD!$A$3:$A$5001,"&lt;="&amp;$D$7)</f>
        <v>0</v>
      </c>
      <c r="I127" s="32">
        <f>SUMIFS(BD!$AA$3:$AA$5001,BD!$B$3:$B$5001,I$101,BD!$A$3:$A$5001,"&gt;="&amp;$C$7,BD!$A$3:$A$5001,"&lt;="&amp;$D$7)</f>
        <v>0</v>
      </c>
      <c r="J127" s="32">
        <f>SUMIFS(BD!$AA$3:$AA$5001,BD!$B$3:$B$5001,J$101,BD!$A$3:$A$5001,"&gt;="&amp;$C$7,BD!$A$3:$A$5001,"&lt;="&amp;$D$7)</f>
        <v>0</v>
      </c>
      <c r="K127" s="61">
        <f>SUM(B127:J127)</f>
        <v>0</v>
      </c>
    </row>
    <row r="128">
      <c r="A128" s="29" t="inlineStr">
        <is>
          <t xml:space="preserve">GENTE · Folga</t>
        </is>
      </c>
      <c r="B128" s="32">
        <f>SUMIFS(BD!$AB$3:$AB$5001,BD!$B$3:$B$5001,B$101,BD!$A$3:$A$5001,"&gt;="&amp;$C$7,BD!$A$3:$A$5001,"&lt;="&amp;$D$7)</f>
        <v>0</v>
      </c>
      <c r="C128" s="32">
        <f>SUMIFS(BD!$AB$3:$AB$5001,BD!$B$3:$B$5001,C$101,BD!$A$3:$A$5001,"&gt;="&amp;$C$7,BD!$A$3:$A$5001,"&lt;="&amp;$D$7)</f>
        <v>0</v>
      </c>
      <c r="D128" s="32">
        <f>SUMIFS(BD!$AB$3:$AB$5001,BD!$B$3:$B$5001,D$101,BD!$A$3:$A$5001,"&gt;="&amp;$C$7,BD!$A$3:$A$5001,"&lt;="&amp;$D$7)</f>
        <v>0</v>
      </c>
      <c r="E128" s="32">
        <f>SUMIFS(BD!$AB$3:$AB$5001,BD!$B$3:$B$5001,E$101,BD!$A$3:$A$5001,"&gt;="&amp;$C$7,BD!$A$3:$A$5001,"&lt;="&amp;$D$7)</f>
        <v>0</v>
      </c>
      <c r="F128" s="32">
        <f>SUMIFS(BD!$AB$3:$AB$5001,BD!$B$3:$B$5001,F$101,BD!$A$3:$A$5001,"&gt;="&amp;$C$7,BD!$A$3:$A$5001,"&lt;="&amp;$D$7)</f>
        <v>0</v>
      </c>
      <c r="G128" s="32">
        <f>SUMIFS(BD!$AB$3:$AB$5001,BD!$B$3:$B$5001,G$101,BD!$A$3:$A$5001,"&gt;="&amp;$C$7,BD!$A$3:$A$5001,"&lt;="&amp;$D$7)</f>
        <v>0</v>
      </c>
      <c r="H128" s="32">
        <f>SUMIFS(BD!$AB$3:$AB$5001,BD!$B$3:$B$5001,H$101,BD!$A$3:$A$5001,"&gt;="&amp;$C$7,BD!$A$3:$A$5001,"&lt;="&amp;$D$7)</f>
        <v>0</v>
      </c>
      <c r="I128" s="32">
        <f>SUMIFS(BD!$AB$3:$AB$5001,BD!$B$3:$B$5001,I$101,BD!$A$3:$A$5001,"&gt;="&amp;$C$7,BD!$A$3:$A$5001,"&lt;="&amp;$D$7)</f>
        <v>0</v>
      </c>
      <c r="J128" s="32">
        <f>SUMIFS(BD!$AB$3:$AB$5001,BD!$B$3:$B$5001,J$101,BD!$A$3:$A$5001,"&gt;="&amp;$C$7,BD!$A$3:$A$5001,"&lt;="&amp;$D$7)</f>
        <v>0</v>
      </c>
      <c r="K128" s="61">
        <f>SUM(B128:J128)</f>
        <v>0</v>
      </c>
    </row>
    <row r="129">
      <c r="A129" s="29" t="inlineStr">
        <is>
          <t xml:space="preserve">GENTE · Férias</t>
        </is>
      </c>
      <c r="B129" s="32">
        <f>SUMIFS(BD!$AC$3:$AC$5001,BD!$B$3:$B$5001,B$101,BD!$A$3:$A$5001,"&gt;="&amp;$C$7,BD!$A$3:$A$5001,"&lt;="&amp;$D$7)</f>
        <v>0</v>
      </c>
      <c r="C129" s="32">
        <f>SUMIFS(BD!$AC$3:$AC$5001,BD!$B$3:$B$5001,C$101,BD!$A$3:$A$5001,"&gt;="&amp;$C$7,BD!$A$3:$A$5001,"&lt;="&amp;$D$7)</f>
        <v>0</v>
      </c>
      <c r="D129" s="32">
        <f>SUMIFS(BD!$AC$3:$AC$5001,BD!$B$3:$B$5001,D$101,BD!$A$3:$A$5001,"&gt;="&amp;$C$7,BD!$A$3:$A$5001,"&lt;="&amp;$D$7)</f>
        <v>0</v>
      </c>
      <c r="E129" s="32">
        <f>SUMIFS(BD!$AC$3:$AC$5001,BD!$B$3:$B$5001,E$101,BD!$A$3:$A$5001,"&gt;="&amp;$C$7,BD!$A$3:$A$5001,"&lt;="&amp;$D$7)</f>
        <v>0</v>
      </c>
      <c r="F129" s="32">
        <f>SUMIFS(BD!$AC$3:$AC$5001,BD!$B$3:$B$5001,F$101,BD!$A$3:$A$5001,"&gt;="&amp;$C$7,BD!$A$3:$A$5001,"&lt;="&amp;$D$7)</f>
        <v>0</v>
      </c>
      <c r="G129" s="32">
        <f>SUMIFS(BD!$AC$3:$AC$5001,BD!$B$3:$B$5001,G$101,BD!$A$3:$A$5001,"&gt;="&amp;$C$7,BD!$A$3:$A$5001,"&lt;="&amp;$D$7)</f>
        <v>0</v>
      </c>
      <c r="H129" s="32">
        <f>SUMIFS(BD!$AC$3:$AC$5001,BD!$B$3:$B$5001,H$101,BD!$A$3:$A$5001,"&gt;="&amp;$C$7,BD!$A$3:$A$5001,"&lt;="&amp;$D$7)</f>
        <v>0</v>
      </c>
      <c r="I129" s="32">
        <f>SUMIFS(BD!$AC$3:$AC$5001,BD!$B$3:$B$5001,I$101,BD!$A$3:$A$5001,"&gt;="&amp;$C$7,BD!$A$3:$A$5001,"&lt;="&amp;$D$7)</f>
        <v>0</v>
      </c>
      <c r="J129" s="32">
        <f>SUMIFS(BD!$AC$3:$AC$5001,BD!$B$3:$B$5001,J$101,BD!$A$3:$A$5001,"&gt;="&amp;$C$7,BD!$A$3:$A$5001,"&lt;="&amp;$D$7)</f>
        <v>0</v>
      </c>
      <c r="K129" s="61">
        <f>SUM(B129:J129)</f>
        <v>0</v>
      </c>
    </row>
    <row r="130">
      <c r="A130" s="29" t="inlineStr">
        <is>
          <t xml:space="preserve">GENTE · Desligamento</t>
        </is>
      </c>
      <c r="B130" s="32">
        <f>SUMIFS(BD!$AD$3:$AD$5001,BD!$B$3:$B$5001,B$101,BD!$A$3:$A$5001,"&gt;="&amp;$C$7,BD!$A$3:$A$5001,"&lt;="&amp;$D$7)</f>
        <v>0</v>
      </c>
      <c r="C130" s="32">
        <f>SUMIFS(BD!$AD$3:$AD$5001,BD!$B$3:$B$5001,C$101,BD!$A$3:$A$5001,"&gt;="&amp;$C$7,BD!$A$3:$A$5001,"&lt;="&amp;$D$7)</f>
        <v>0</v>
      </c>
      <c r="D130" s="32">
        <f>SUMIFS(BD!$AD$3:$AD$5001,BD!$B$3:$B$5001,D$101,BD!$A$3:$A$5001,"&gt;="&amp;$C$7,BD!$A$3:$A$5001,"&lt;="&amp;$D$7)</f>
        <v>0</v>
      </c>
      <c r="E130" s="32">
        <f>SUMIFS(BD!$AD$3:$AD$5001,BD!$B$3:$B$5001,E$101,BD!$A$3:$A$5001,"&gt;="&amp;$C$7,BD!$A$3:$A$5001,"&lt;="&amp;$D$7)</f>
        <v>0</v>
      </c>
      <c r="F130" s="32">
        <f>SUMIFS(BD!$AD$3:$AD$5001,BD!$B$3:$B$5001,F$101,BD!$A$3:$A$5001,"&gt;="&amp;$C$7,BD!$A$3:$A$5001,"&lt;="&amp;$D$7)</f>
        <v>0</v>
      </c>
      <c r="G130" s="32">
        <f>SUMIFS(BD!$AD$3:$AD$5001,BD!$B$3:$B$5001,G$101,BD!$A$3:$A$5001,"&gt;="&amp;$C$7,BD!$A$3:$A$5001,"&lt;="&amp;$D$7)</f>
        <v>0</v>
      </c>
      <c r="H130" s="32">
        <f>SUMIFS(BD!$AD$3:$AD$5001,BD!$B$3:$B$5001,H$101,BD!$A$3:$A$5001,"&gt;="&amp;$C$7,BD!$A$3:$A$5001,"&lt;="&amp;$D$7)</f>
        <v>0</v>
      </c>
      <c r="I130" s="32">
        <f>SUMIFS(BD!$AD$3:$AD$5001,BD!$B$3:$B$5001,I$101,BD!$A$3:$A$5001,"&gt;="&amp;$C$7,BD!$A$3:$A$5001,"&lt;="&amp;$D$7)</f>
        <v>0</v>
      </c>
      <c r="J130" s="32">
        <f>SUMIFS(BD!$AD$3:$AD$5001,BD!$B$3:$B$5001,J$101,BD!$A$3:$A$5001,"&gt;="&amp;$C$7,BD!$A$3:$A$5001,"&lt;="&amp;$D$7)</f>
        <v>0</v>
      </c>
      <c r="K130" s="61">
        <f>SUM(B130:J130)</f>
        <v>0</v>
      </c>
    </row>
    <row r="131">
      <c r="A131" s="29" t="inlineStr">
        <is>
          <t xml:space="preserve">GENTE · Desvios Comportamentais</t>
        </is>
      </c>
      <c r="B131" s="32">
        <f>SUMIFS(BD!$AE$3:$AE$5001,BD!$B$3:$B$5001,B$101,BD!$A$3:$A$5001,"&gt;="&amp;$C$7,BD!$A$3:$A$5001,"&lt;="&amp;$D$7)</f>
        <v>0</v>
      </c>
      <c r="C131" s="32">
        <f>SUMIFS(BD!$AE$3:$AE$5001,BD!$B$3:$B$5001,C$101,BD!$A$3:$A$5001,"&gt;="&amp;$C$7,BD!$A$3:$A$5001,"&lt;="&amp;$D$7)</f>
        <v>0</v>
      </c>
      <c r="D131" s="32">
        <f>SUMIFS(BD!$AE$3:$AE$5001,BD!$B$3:$B$5001,D$101,BD!$A$3:$A$5001,"&gt;="&amp;$C$7,BD!$A$3:$A$5001,"&lt;="&amp;$D$7)</f>
        <v>0</v>
      </c>
      <c r="E131" s="32">
        <f>SUMIFS(BD!$AE$3:$AE$5001,BD!$B$3:$B$5001,E$101,BD!$A$3:$A$5001,"&gt;="&amp;$C$7,BD!$A$3:$A$5001,"&lt;="&amp;$D$7)</f>
        <v>0</v>
      </c>
      <c r="F131" s="32">
        <f>SUMIFS(BD!$AE$3:$AE$5001,BD!$B$3:$B$5001,F$101,BD!$A$3:$A$5001,"&gt;="&amp;$C$7,BD!$A$3:$A$5001,"&lt;="&amp;$D$7)</f>
        <v>0</v>
      </c>
      <c r="G131" s="32">
        <f>SUMIFS(BD!$AE$3:$AE$5001,BD!$B$3:$B$5001,G$101,BD!$A$3:$A$5001,"&gt;="&amp;$C$7,BD!$A$3:$A$5001,"&lt;="&amp;$D$7)</f>
        <v>0</v>
      </c>
      <c r="H131" s="32">
        <f>SUMIFS(BD!$AE$3:$AE$5001,BD!$B$3:$B$5001,H$101,BD!$A$3:$A$5001,"&gt;="&amp;$C$7,BD!$A$3:$A$5001,"&lt;="&amp;$D$7)</f>
        <v>0</v>
      </c>
      <c r="I131" s="32">
        <f>SUMIFS(BD!$AE$3:$AE$5001,BD!$B$3:$B$5001,I$101,BD!$A$3:$A$5001,"&gt;="&amp;$C$7,BD!$A$3:$A$5001,"&lt;="&amp;$D$7)</f>
        <v>0</v>
      </c>
      <c r="J131" s="32">
        <f>SUMIFS(BD!$AE$3:$AE$5001,BD!$B$3:$B$5001,J$101,BD!$A$3:$A$5001,"&gt;="&amp;$C$7,BD!$A$3:$A$5001,"&lt;="&amp;$D$7)</f>
        <v>0</v>
      </c>
      <c r="K131" s="61">
        <f>SUM(B131:J131)</f>
        <v>0</v>
      </c>
    </row>
    <row r="132">
      <c r="A132" s="29" t="inlineStr">
        <is>
          <t xml:space="preserve">GENTE · Acidentes CAF</t>
        </is>
      </c>
      <c r="B132" s="32">
        <f>SUMIFS(BD!$AF$3:$AF$5001,BD!$B$3:$B$5001,B$101,BD!$A$3:$A$5001,"&gt;="&amp;$C$7,BD!$A$3:$A$5001,"&lt;="&amp;$D$7)</f>
        <v>0</v>
      </c>
      <c r="C132" s="32">
        <f>SUMIFS(BD!$AF$3:$AF$5001,BD!$B$3:$B$5001,C$101,BD!$A$3:$A$5001,"&gt;="&amp;$C$7,BD!$A$3:$A$5001,"&lt;="&amp;$D$7)</f>
        <v>0</v>
      </c>
      <c r="D132" s="32">
        <f>SUMIFS(BD!$AF$3:$AF$5001,BD!$B$3:$B$5001,D$101,BD!$A$3:$A$5001,"&gt;="&amp;$C$7,BD!$A$3:$A$5001,"&lt;="&amp;$D$7)</f>
        <v>0</v>
      </c>
      <c r="E132" s="32">
        <f>SUMIFS(BD!$AF$3:$AF$5001,BD!$B$3:$B$5001,E$101,BD!$A$3:$A$5001,"&gt;="&amp;$C$7,BD!$A$3:$A$5001,"&lt;="&amp;$D$7)</f>
        <v>0</v>
      </c>
      <c r="F132" s="32">
        <f>SUMIFS(BD!$AF$3:$AF$5001,BD!$B$3:$B$5001,F$101,BD!$A$3:$A$5001,"&gt;="&amp;$C$7,BD!$A$3:$A$5001,"&lt;="&amp;$D$7)</f>
        <v>0</v>
      </c>
      <c r="G132" s="32">
        <f>SUMIFS(BD!$AF$3:$AF$5001,BD!$B$3:$B$5001,G$101,BD!$A$3:$A$5001,"&gt;="&amp;$C$7,BD!$A$3:$A$5001,"&lt;="&amp;$D$7)</f>
        <v>0</v>
      </c>
      <c r="H132" s="32">
        <f>SUMIFS(BD!$AF$3:$AF$5001,BD!$B$3:$B$5001,H$101,BD!$A$3:$A$5001,"&gt;="&amp;$C$7,BD!$A$3:$A$5001,"&lt;="&amp;$D$7)</f>
        <v>0</v>
      </c>
      <c r="I132" s="32">
        <f>SUMIFS(BD!$AF$3:$AF$5001,BD!$B$3:$B$5001,I$101,BD!$A$3:$A$5001,"&gt;="&amp;$C$7,BD!$A$3:$A$5001,"&lt;="&amp;$D$7)</f>
        <v>0</v>
      </c>
      <c r="J132" s="32">
        <f>SUMIFS(BD!$AF$3:$AF$5001,BD!$B$3:$B$5001,J$101,BD!$A$3:$A$5001,"&gt;="&amp;$C$7,BD!$A$3:$A$5001,"&lt;="&amp;$D$7)</f>
        <v>0</v>
      </c>
      <c r="K132" s="61">
        <f>SUM(B132:J132)</f>
        <v>0</v>
      </c>
    </row>
    <row r="133">
      <c r="A133" s="29" t="inlineStr">
        <is>
          <t xml:space="preserve">GENTE · Acidentes SAF</t>
        </is>
      </c>
      <c r="B133" s="32">
        <f>SUMIFS(BD!$AG$3:$AG$5001,BD!$B$3:$B$5001,B$101,BD!$A$3:$A$5001,"&gt;="&amp;$C$7,BD!$A$3:$A$5001,"&lt;="&amp;$D$7)</f>
        <v>0</v>
      </c>
      <c r="C133" s="32">
        <f>SUMIFS(BD!$AG$3:$AG$5001,BD!$B$3:$B$5001,C$101,BD!$A$3:$A$5001,"&gt;="&amp;$C$7,BD!$A$3:$A$5001,"&lt;="&amp;$D$7)</f>
        <v>0</v>
      </c>
      <c r="D133" s="32">
        <f>SUMIFS(BD!$AG$3:$AG$5001,BD!$B$3:$B$5001,D$101,BD!$A$3:$A$5001,"&gt;="&amp;$C$7,BD!$A$3:$A$5001,"&lt;="&amp;$D$7)</f>
        <v>0</v>
      </c>
      <c r="E133" s="32">
        <f>SUMIFS(BD!$AG$3:$AG$5001,BD!$B$3:$B$5001,E$101,BD!$A$3:$A$5001,"&gt;="&amp;$C$7,BD!$A$3:$A$5001,"&lt;="&amp;$D$7)</f>
        <v>0</v>
      </c>
      <c r="F133" s="32">
        <f>SUMIFS(BD!$AG$3:$AG$5001,BD!$B$3:$B$5001,F$101,BD!$A$3:$A$5001,"&gt;="&amp;$C$7,BD!$A$3:$A$5001,"&lt;="&amp;$D$7)</f>
        <v>0</v>
      </c>
      <c r="G133" s="32">
        <f>SUMIFS(BD!$AG$3:$AG$5001,BD!$B$3:$B$5001,G$101,BD!$A$3:$A$5001,"&gt;="&amp;$C$7,BD!$A$3:$A$5001,"&lt;="&amp;$D$7)</f>
        <v>0</v>
      </c>
      <c r="H133" s="32">
        <f>SUMIFS(BD!$AG$3:$AG$5001,BD!$B$3:$B$5001,H$101,BD!$A$3:$A$5001,"&gt;="&amp;$C$7,BD!$A$3:$A$5001,"&lt;="&amp;$D$7)</f>
        <v>0</v>
      </c>
      <c r="I133" s="32">
        <f>SUMIFS(BD!$AG$3:$AG$5001,BD!$B$3:$B$5001,I$101,BD!$A$3:$A$5001,"&gt;="&amp;$C$7,BD!$A$3:$A$5001,"&lt;="&amp;$D$7)</f>
        <v>0</v>
      </c>
      <c r="J133" s="32">
        <f>SUMIFS(BD!$AG$3:$AG$5001,BD!$B$3:$B$5001,J$101,BD!$A$3:$A$5001,"&gt;="&amp;$C$7,BD!$A$3:$A$5001,"&lt;="&amp;$D$7)</f>
        <v>0</v>
      </c>
      <c r="K133" s="61">
        <f>SUM(B133:J133)</f>
        <v>0</v>
      </c>
    </row>
    <row r="137">
      <c r="A137" s="19" t="inlineStr">
        <is>
          <t xml:space="preserve">ESTOQUES POR CLIENTE — último valor informado até cada dia (Backlog, Posições e Efetivo)</t>
        </is>
      </c>
    </row>
    <row r="138">
      <c r="A138" s="37" t="inlineStr">
        <is>
          <t xml:space="preserve">Backlog</t>
        </is>
      </c>
      <c r="B138" s="37" t="inlineStr">
        <is>
          <t xml:space="preserve">Data</t>
        </is>
      </c>
      <c r="C138" s="37" t="inlineStr">
        <is>
          <t xml:space="preserve">Alpargatas</t>
        </is>
      </c>
      <c r="D138" s="37" t="inlineStr">
        <is>
          <t xml:space="preserve">Basf</t>
        </is>
      </c>
      <c r="E138" s="37" t="inlineStr">
        <is>
          <t xml:space="preserve">Beautybiz</t>
        </is>
      </c>
      <c r="F138" s="37" t="inlineStr">
        <is>
          <t xml:space="preserve">Boticário</t>
        </is>
      </c>
      <c r="G138" s="37" t="inlineStr">
        <is>
          <t xml:space="preserve">GE Vernova</t>
        </is>
      </c>
      <c r="H138" s="37" t="inlineStr">
        <is>
          <t xml:space="preserve">Omnilife</t>
        </is>
      </c>
      <c r="I138" s="37" t="inlineStr">
        <is>
          <t xml:space="preserve">Supply</t>
        </is>
      </c>
      <c r="J138" s="37" t="inlineStr">
        <is>
          <t xml:space="preserve">Vedacit</t>
        </is>
      </c>
      <c r="K138" s="37" t="inlineStr">
        <is>
          <t xml:space="preserve">Vestas</t>
        </is>
      </c>
    </row>
    <row r="139">
      <c r="A139" s="40">
        <v>1</v>
      </c>
      <c r="B139" s="41">
        <f>$B$12</f>
        <v>46296</v>
      </c>
      <c r="C139" s="42" t="str">
        <f>IF(OR($B139="",$A139&gt;$B$9),"",IF(COUNTIFS(BD!$B$3:$B$5001,C$138,BD!$A$3:$A$5001,"&gt;="&amp;$C$7,BD!$A$3:$A$5001,"&lt;="&amp;$B139,BD!$W$3:$W$5001,"&lt;&gt;")=0,"",SUMIFS(BD!$W$3:$W$5001,BD!$B$3:$B$5001,C$138,BD!$A$3:$A$5001,_xlfn.MAXIFS(BD!$A$3:$A$5001,BD!$B$3:$B$5001,C$138,BD!$A$3:$A$5001,"&gt;="&amp;$C$7,BD!$A$3:$A$5001,"&lt;="&amp;$B139,BD!$W$3:$W$5001,"&lt;&gt;"))))</f>
        <v/>
      </c>
      <c r="D139" s="42" t="str">
        <f>IF(OR($B139="",$A139&gt;$B$9),"",IF(COUNTIFS(BD!$B$3:$B$5001,D$138,BD!$A$3:$A$5001,"&gt;="&amp;$C$7,BD!$A$3:$A$5001,"&lt;="&amp;$B139,BD!$W$3:$W$5001,"&lt;&gt;")=0,"",SUMIFS(BD!$W$3:$W$5001,BD!$B$3:$B$5001,D$138,BD!$A$3:$A$5001,_xlfn.MAXIFS(BD!$A$3:$A$5001,BD!$B$3:$B$5001,D$138,BD!$A$3:$A$5001,"&gt;="&amp;$C$7,BD!$A$3:$A$5001,"&lt;="&amp;$B139,BD!$W$3:$W$5001,"&lt;&gt;"))))</f>
        <v/>
      </c>
      <c r="E139" s="42" t="str">
        <f>IF(OR($B139="",$A139&gt;$B$9),"",IF(COUNTIFS(BD!$B$3:$B$5001,E$138,BD!$A$3:$A$5001,"&gt;="&amp;$C$7,BD!$A$3:$A$5001,"&lt;="&amp;$B139,BD!$W$3:$W$5001,"&lt;&gt;")=0,"",SUMIFS(BD!$W$3:$W$5001,BD!$B$3:$B$5001,E$138,BD!$A$3:$A$5001,_xlfn.MAXIFS(BD!$A$3:$A$5001,BD!$B$3:$B$5001,E$138,BD!$A$3:$A$5001,"&gt;="&amp;$C$7,BD!$A$3:$A$5001,"&lt;="&amp;$B139,BD!$W$3:$W$5001,"&lt;&gt;"))))</f>
        <v/>
      </c>
      <c r="F139" s="42" t="str">
        <f>IF(OR($B139="",$A139&gt;$B$9),"",IF(COUNTIFS(BD!$B$3:$B$5001,F$138,BD!$A$3:$A$5001,"&gt;="&amp;$C$7,BD!$A$3:$A$5001,"&lt;="&amp;$B139,BD!$W$3:$W$5001,"&lt;&gt;")=0,"",SUMIFS(BD!$W$3:$W$5001,BD!$B$3:$B$5001,F$138,BD!$A$3:$A$5001,_xlfn.MAXIFS(BD!$A$3:$A$5001,BD!$B$3:$B$5001,F$138,BD!$A$3:$A$5001,"&gt;="&amp;$C$7,BD!$A$3:$A$5001,"&lt;="&amp;$B139,BD!$W$3:$W$5001,"&lt;&gt;"))))</f>
        <v/>
      </c>
      <c r="G139" s="42" t="str">
        <f>IF(OR($B139="",$A139&gt;$B$9),"",IF(COUNTIFS(BD!$B$3:$B$5001,G$138,BD!$A$3:$A$5001,"&gt;="&amp;$C$7,BD!$A$3:$A$5001,"&lt;="&amp;$B139,BD!$W$3:$W$5001,"&lt;&gt;")=0,"",SUMIFS(BD!$W$3:$W$5001,BD!$B$3:$B$5001,G$138,BD!$A$3:$A$5001,_xlfn.MAXIFS(BD!$A$3:$A$5001,BD!$B$3:$B$5001,G$138,BD!$A$3:$A$5001,"&gt;="&amp;$C$7,BD!$A$3:$A$5001,"&lt;="&amp;$B139,BD!$W$3:$W$5001,"&lt;&gt;"))))</f>
        <v/>
      </c>
      <c r="H139" s="42" t="str">
        <f>IF(OR($B139="",$A139&gt;$B$9),"",IF(COUNTIFS(BD!$B$3:$B$5001,H$138,BD!$A$3:$A$5001,"&gt;="&amp;$C$7,BD!$A$3:$A$5001,"&lt;="&amp;$B139,BD!$W$3:$W$5001,"&lt;&gt;")=0,"",SUMIFS(BD!$W$3:$W$5001,BD!$B$3:$B$5001,H$138,BD!$A$3:$A$5001,_xlfn.MAXIFS(BD!$A$3:$A$5001,BD!$B$3:$B$5001,H$138,BD!$A$3:$A$5001,"&gt;="&amp;$C$7,BD!$A$3:$A$5001,"&lt;="&amp;$B139,BD!$W$3:$W$5001,"&lt;&gt;"))))</f>
        <v/>
      </c>
      <c r="I139" s="42" t="str">
        <f>IF(OR($B139="",$A139&gt;$B$9),"",IF(COUNTIFS(BD!$B$3:$B$5001,I$138,BD!$A$3:$A$5001,"&gt;="&amp;$C$7,BD!$A$3:$A$5001,"&lt;="&amp;$B139,BD!$W$3:$W$5001,"&lt;&gt;")=0,"",SUMIFS(BD!$W$3:$W$5001,BD!$B$3:$B$5001,I$138,BD!$A$3:$A$5001,_xlfn.MAXIFS(BD!$A$3:$A$5001,BD!$B$3:$B$5001,I$138,BD!$A$3:$A$5001,"&gt;="&amp;$C$7,BD!$A$3:$A$5001,"&lt;="&amp;$B139,BD!$W$3:$W$5001,"&lt;&gt;"))))</f>
        <v/>
      </c>
      <c r="J139" s="42" t="str">
        <f>IF(OR($B139="",$A139&gt;$B$9),"",IF(COUNTIFS(BD!$B$3:$B$5001,J$138,BD!$A$3:$A$5001,"&gt;="&amp;$C$7,BD!$A$3:$A$5001,"&lt;="&amp;$B139,BD!$W$3:$W$5001,"&lt;&gt;")=0,"",SUMIFS(BD!$W$3:$W$5001,BD!$B$3:$B$5001,J$138,BD!$A$3:$A$5001,_xlfn.MAXIFS(BD!$A$3:$A$5001,BD!$B$3:$B$5001,J$138,BD!$A$3:$A$5001,"&gt;="&amp;$C$7,BD!$A$3:$A$5001,"&lt;="&amp;$B139,BD!$W$3:$W$5001,"&lt;&gt;"))))</f>
        <v/>
      </c>
      <c r="K139" s="42" t="str">
        <f>IF(OR($B139="",$A139&gt;$B$9),"",IF(COUNTIFS(BD!$B$3:$B$5001,K$138,BD!$A$3:$A$5001,"&gt;="&amp;$C$7,BD!$A$3:$A$5001,"&lt;="&amp;$B139,BD!$W$3:$W$5001,"&lt;&gt;")=0,"",SUMIFS(BD!$W$3:$W$5001,BD!$B$3:$B$5001,K$138,BD!$A$3:$A$5001,_xlfn.MAXIFS(BD!$A$3:$A$5001,BD!$B$3:$B$5001,K$138,BD!$A$3:$A$5001,"&gt;="&amp;$C$7,BD!$A$3:$A$5001,"&lt;="&amp;$B139,BD!$W$3:$W$5001,"&lt;&gt;"))))</f>
        <v/>
      </c>
    </row>
    <row r="140">
      <c r="A140" s="40">
        <v>2</v>
      </c>
      <c r="B140" s="41">
        <f>$B$13</f>
        <v>46297</v>
      </c>
      <c r="C140" s="42" t="str">
        <f>IF(OR($B140="",$A140&gt;$B$9),"",IF(COUNTIFS(BD!$B$3:$B$5001,C$138,BD!$A$3:$A$5001,"&gt;="&amp;$C$7,BD!$A$3:$A$5001,"&lt;="&amp;$B140,BD!$W$3:$W$5001,"&lt;&gt;")=0,"",SUMIFS(BD!$W$3:$W$5001,BD!$B$3:$B$5001,C$138,BD!$A$3:$A$5001,_xlfn.MAXIFS(BD!$A$3:$A$5001,BD!$B$3:$B$5001,C$138,BD!$A$3:$A$5001,"&gt;="&amp;$C$7,BD!$A$3:$A$5001,"&lt;="&amp;$B140,BD!$W$3:$W$5001,"&lt;&gt;"))))</f>
        <v/>
      </c>
      <c r="D140" s="42" t="str">
        <f>IF(OR($B140="",$A140&gt;$B$9),"",IF(COUNTIFS(BD!$B$3:$B$5001,D$138,BD!$A$3:$A$5001,"&gt;="&amp;$C$7,BD!$A$3:$A$5001,"&lt;="&amp;$B140,BD!$W$3:$W$5001,"&lt;&gt;")=0,"",SUMIFS(BD!$W$3:$W$5001,BD!$B$3:$B$5001,D$138,BD!$A$3:$A$5001,_xlfn.MAXIFS(BD!$A$3:$A$5001,BD!$B$3:$B$5001,D$138,BD!$A$3:$A$5001,"&gt;="&amp;$C$7,BD!$A$3:$A$5001,"&lt;="&amp;$B140,BD!$W$3:$W$5001,"&lt;&gt;"))))</f>
        <v/>
      </c>
      <c r="E140" s="42" t="str">
        <f>IF(OR($B140="",$A140&gt;$B$9),"",IF(COUNTIFS(BD!$B$3:$B$5001,E$138,BD!$A$3:$A$5001,"&gt;="&amp;$C$7,BD!$A$3:$A$5001,"&lt;="&amp;$B140,BD!$W$3:$W$5001,"&lt;&gt;")=0,"",SUMIFS(BD!$W$3:$W$5001,BD!$B$3:$B$5001,E$138,BD!$A$3:$A$5001,_xlfn.MAXIFS(BD!$A$3:$A$5001,BD!$B$3:$B$5001,E$138,BD!$A$3:$A$5001,"&gt;="&amp;$C$7,BD!$A$3:$A$5001,"&lt;="&amp;$B140,BD!$W$3:$W$5001,"&lt;&gt;"))))</f>
        <v/>
      </c>
      <c r="F140" s="42" t="str">
        <f>IF(OR($B140="",$A140&gt;$B$9),"",IF(COUNTIFS(BD!$B$3:$B$5001,F$138,BD!$A$3:$A$5001,"&gt;="&amp;$C$7,BD!$A$3:$A$5001,"&lt;="&amp;$B140,BD!$W$3:$W$5001,"&lt;&gt;")=0,"",SUMIFS(BD!$W$3:$W$5001,BD!$B$3:$B$5001,F$138,BD!$A$3:$A$5001,_xlfn.MAXIFS(BD!$A$3:$A$5001,BD!$B$3:$B$5001,F$138,BD!$A$3:$A$5001,"&gt;="&amp;$C$7,BD!$A$3:$A$5001,"&lt;="&amp;$B140,BD!$W$3:$W$5001,"&lt;&gt;"))))</f>
        <v/>
      </c>
      <c r="G140" s="42" t="str">
        <f>IF(OR($B140="",$A140&gt;$B$9),"",IF(COUNTIFS(BD!$B$3:$B$5001,G$138,BD!$A$3:$A$5001,"&gt;="&amp;$C$7,BD!$A$3:$A$5001,"&lt;="&amp;$B140,BD!$W$3:$W$5001,"&lt;&gt;")=0,"",SUMIFS(BD!$W$3:$W$5001,BD!$B$3:$B$5001,G$138,BD!$A$3:$A$5001,_xlfn.MAXIFS(BD!$A$3:$A$5001,BD!$B$3:$B$5001,G$138,BD!$A$3:$A$5001,"&gt;="&amp;$C$7,BD!$A$3:$A$5001,"&lt;="&amp;$B140,BD!$W$3:$W$5001,"&lt;&gt;"))))</f>
        <v/>
      </c>
      <c r="H140" s="42" t="str">
        <f>IF(OR($B140="",$A140&gt;$B$9),"",IF(COUNTIFS(BD!$B$3:$B$5001,H$138,BD!$A$3:$A$5001,"&gt;="&amp;$C$7,BD!$A$3:$A$5001,"&lt;="&amp;$B140,BD!$W$3:$W$5001,"&lt;&gt;")=0,"",SUMIFS(BD!$W$3:$W$5001,BD!$B$3:$B$5001,H$138,BD!$A$3:$A$5001,_xlfn.MAXIFS(BD!$A$3:$A$5001,BD!$B$3:$B$5001,H$138,BD!$A$3:$A$5001,"&gt;="&amp;$C$7,BD!$A$3:$A$5001,"&lt;="&amp;$B140,BD!$W$3:$W$5001,"&lt;&gt;"))))</f>
        <v/>
      </c>
      <c r="I140" s="42" t="str">
        <f>IF(OR($B140="",$A140&gt;$B$9),"",IF(COUNTIFS(BD!$B$3:$B$5001,I$138,BD!$A$3:$A$5001,"&gt;="&amp;$C$7,BD!$A$3:$A$5001,"&lt;="&amp;$B140,BD!$W$3:$W$5001,"&lt;&gt;")=0,"",SUMIFS(BD!$W$3:$W$5001,BD!$B$3:$B$5001,I$138,BD!$A$3:$A$5001,_xlfn.MAXIFS(BD!$A$3:$A$5001,BD!$B$3:$B$5001,I$138,BD!$A$3:$A$5001,"&gt;="&amp;$C$7,BD!$A$3:$A$5001,"&lt;="&amp;$B140,BD!$W$3:$W$5001,"&lt;&gt;"))))</f>
        <v/>
      </c>
      <c r="J140" s="42" t="str">
        <f>IF(OR($B140="",$A140&gt;$B$9),"",IF(COUNTIFS(BD!$B$3:$B$5001,J$138,BD!$A$3:$A$5001,"&gt;="&amp;$C$7,BD!$A$3:$A$5001,"&lt;="&amp;$B140,BD!$W$3:$W$5001,"&lt;&gt;")=0,"",SUMIFS(BD!$W$3:$W$5001,BD!$B$3:$B$5001,J$138,BD!$A$3:$A$5001,_xlfn.MAXIFS(BD!$A$3:$A$5001,BD!$B$3:$B$5001,J$138,BD!$A$3:$A$5001,"&gt;="&amp;$C$7,BD!$A$3:$A$5001,"&lt;="&amp;$B140,BD!$W$3:$W$5001,"&lt;&gt;"))))</f>
        <v/>
      </c>
      <c r="K140" s="42" t="str">
        <f>IF(OR($B140="",$A140&gt;$B$9),"",IF(COUNTIFS(BD!$B$3:$B$5001,K$138,BD!$A$3:$A$5001,"&gt;="&amp;$C$7,BD!$A$3:$A$5001,"&lt;="&amp;$B140,BD!$W$3:$W$5001,"&lt;&gt;")=0,"",SUMIFS(BD!$W$3:$W$5001,BD!$B$3:$B$5001,K$138,BD!$A$3:$A$5001,_xlfn.MAXIFS(BD!$A$3:$A$5001,BD!$B$3:$B$5001,K$138,BD!$A$3:$A$5001,"&gt;="&amp;$C$7,BD!$A$3:$A$5001,"&lt;="&amp;$B140,BD!$W$3:$W$5001,"&lt;&gt;"))))</f>
        <v/>
      </c>
    </row>
    <row r="141">
      <c r="A141" s="40">
        <v>3</v>
      </c>
      <c r="B141" s="41">
        <f>$B$14</f>
        <v>46298</v>
      </c>
      <c r="C141" s="42" t="str">
        <f>IF(OR($B141="",$A141&gt;$B$9),"",IF(COUNTIFS(BD!$B$3:$B$5001,C$138,BD!$A$3:$A$5001,"&gt;="&amp;$C$7,BD!$A$3:$A$5001,"&lt;="&amp;$B141,BD!$W$3:$W$5001,"&lt;&gt;")=0,"",SUMIFS(BD!$W$3:$W$5001,BD!$B$3:$B$5001,C$138,BD!$A$3:$A$5001,_xlfn.MAXIFS(BD!$A$3:$A$5001,BD!$B$3:$B$5001,C$138,BD!$A$3:$A$5001,"&gt;="&amp;$C$7,BD!$A$3:$A$5001,"&lt;="&amp;$B141,BD!$W$3:$W$5001,"&lt;&gt;"))))</f>
        <v/>
      </c>
      <c r="D141" s="42" t="str">
        <f>IF(OR($B141="",$A141&gt;$B$9),"",IF(COUNTIFS(BD!$B$3:$B$5001,D$138,BD!$A$3:$A$5001,"&gt;="&amp;$C$7,BD!$A$3:$A$5001,"&lt;="&amp;$B141,BD!$W$3:$W$5001,"&lt;&gt;")=0,"",SUMIFS(BD!$W$3:$W$5001,BD!$B$3:$B$5001,D$138,BD!$A$3:$A$5001,_xlfn.MAXIFS(BD!$A$3:$A$5001,BD!$B$3:$B$5001,D$138,BD!$A$3:$A$5001,"&gt;="&amp;$C$7,BD!$A$3:$A$5001,"&lt;="&amp;$B141,BD!$W$3:$W$5001,"&lt;&gt;"))))</f>
        <v/>
      </c>
      <c r="E141" s="42" t="str">
        <f>IF(OR($B141="",$A141&gt;$B$9),"",IF(COUNTIFS(BD!$B$3:$B$5001,E$138,BD!$A$3:$A$5001,"&gt;="&amp;$C$7,BD!$A$3:$A$5001,"&lt;="&amp;$B141,BD!$W$3:$W$5001,"&lt;&gt;")=0,"",SUMIFS(BD!$W$3:$W$5001,BD!$B$3:$B$5001,E$138,BD!$A$3:$A$5001,_xlfn.MAXIFS(BD!$A$3:$A$5001,BD!$B$3:$B$5001,E$138,BD!$A$3:$A$5001,"&gt;="&amp;$C$7,BD!$A$3:$A$5001,"&lt;="&amp;$B141,BD!$W$3:$W$5001,"&lt;&gt;"))))</f>
        <v/>
      </c>
      <c r="F141" s="42" t="str">
        <f>IF(OR($B141="",$A141&gt;$B$9),"",IF(COUNTIFS(BD!$B$3:$B$5001,F$138,BD!$A$3:$A$5001,"&gt;="&amp;$C$7,BD!$A$3:$A$5001,"&lt;="&amp;$B141,BD!$W$3:$W$5001,"&lt;&gt;")=0,"",SUMIFS(BD!$W$3:$W$5001,BD!$B$3:$B$5001,F$138,BD!$A$3:$A$5001,_xlfn.MAXIFS(BD!$A$3:$A$5001,BD!$B$3:$B$5001,F$138,BD!$A$3:$A$5001,"&gt;="&amp;$C$7,BD!$A$3:$A$5001,"&lt;="&amp;$B141,BD!$W$3:$W$5001,"&lt;&gt;"))))</f>
        <v/>
      </c>
      <c r="G141" s="42" t="str">
        <f>IF(OR($B141="",$A141&gt;$B$9),"",IF(COUNTIFS(BD!$B$3:$B$5001,G$138,BD!$A$3:$A$5001,"&gt;="&amp;$C$7,BD!$A$3:$A$5001,"&lt;="&amp;$B141,BD!$W$3:$W$5001,"&lt;&gt;")=0,"",SUMIFS(BD!$W$3:$W$5001,BD!$B$3:$B$5001,G$138,BD!$A$3:$A$5001,_xlfn.MAXIFS(BD!$A$3:$A$5001,BD!$B$3:$B$5001,G$138,BD!$A$3:$A$5001,"&gt;="&amp;$C$7,BD!$A$3:$A$5001,"&lt;="&amp;$B141,BD!$W$3:$W$5001,"&lt;&gt;"))))</f>
        <v/>
      </c>
      <c r="H141" s="42" t="str">
        <f>IF(OR($B141="",$A141&gt;$B$9),"",IF(COUNTIFS(BD!$B$3:$B$5001,H$138,BD!$A$3:$A$5001,"&gt;="&amp;$C$7,BD!$A$3:$A$5001,"&lt;="&amp;$B141,BD!$W$3:$W$5001,"&lt;&gt;")=0,"",SUMIFS(BD!$W$3:$W$5001,BD!$B$3:$B$5001,H$138,BD!$A$3:$A$5001,_xlfn.MAXIFS(BD!$A$3:$A$5001,BD!$B$3:$B$5001,H$138,BD!$A$3:$A$5001,"&gt;="&amp;$C$7,BD!$A$3:$A$5001,"&lt;="&amp;$B141,BD!$W$3:$W$5001,"&lt;&gt;"))))</f>
        <v/>
      </c>
      <c r="I141" s="42" t="str">
        <f>IF(OR($B141="",$A141&gt;$B$9),"",IF(COUNTIFS(BD!$B$3:$B$5001,I$138,BD!$A$3:$A$5001,"&gt;="&amp;$C$7,BD!$A$3:$A$5001,"&lt;="&amp;$B141,BD!$W$3:$W$5001,"&lt;&gt;")=0,"",SUMIFS(BD!$W$3:$W$5001,BD!$B$3:$B$5001,I$138,BD!$A$3:$A$5001,_xlfn.MAXIFS(BD!$A$3:$A$5001,BD!$B$3:$B$5001,I$138,BD!$A$3:$A$5001,"&gt;="&amp;$C$7,BD!$A$3:$A$5001,"&lt;="&amp;$B141,BD!$W$3:$W$5001,"&lt;&gt;"))))</f>
        <v/>
      </c>
      <c r="J141" s="42" t="str">
        <f>IF(OR($B141="",$A141&gt;$B$9),"",IF(COUNTIFS(BD!$B$3:$B$5001,J$138,BD!$A$3:$A$5001,"&gt;="&amp;$C$7,BD!$A$3:$A$5001,"&lt;="&amp;$B141,BD!$W$3:$W$5001,"&lt;&gt;")=0,"",SUMIFS(BD!$W$3:$W$5001,BD!$B$3:$B$5001,J$138,BD!$A$3:$A$5001,_xlfn.MAXIFS(BD!$A$3:$A$5001,BD!$B$3:$B$5001,J$138,BD!$A$3:$A$5001,"&gt;="&amp;$C$7,BD!$A$3:$A$5001,"&lt;="&amp;$B141,BD!$W$3:$W$5001,"&lt;&gt;"))))</f>
        <v/>
      </c>
      <c r="K141" s="42" t="str">
        <f>IF(OR($B141="",$A141&gt;$B$9),"",IF(COUNTIFS(BD!$B$3:$B$5001,K$138,BD!$A$3:$A$5001,"&gt;="&amp;$C$7,BD!$A$3:$A$5001,"&lt;="&amp;$B141,BD!$W$3:$W$5001,"&lt;&gt;")=0,"",SUMIFS(BD!$W$3:$W$5001,BD!$B$3:$B$5001,K$138,BD!$A$3:$A$5001,_xlfn.MAXIFS(BD!$A$3:$A$5001,BD!$B$3:$B$5001,K$138,BD!$A$3:$A$5001,"&gt;="&amp;$C$7,BD!$A$3:$A$5001,"&lt;="&amp;$B141,BD!$W$3:$W$5001,"&lt;&gt;"))))</f>
        <v/>
      </c>
    </row>
    <row r="142">
      <c r="A142" s="40">
        <v>4</v>
      </c>
      <c r="B142" s="41">
        <f>$B$15</f>
        <v>46299</v>
      </c>
      <c r="C142" s="42" t="str">
        <f>IF(OR($B142="",$A142&gt;$B$9),"",IF(COUNTIFS(BD!$B$3:$B$5001,C$138,BD!$A$3:$A$5001,"&gt;="&amp;$C$7,BD!$A$3:$A$5001,"&lt;="&amp;$B142,BD!$W$3:$W$5001,"&lt;&gt;")=0,"",SUMIFS(BD!$W$3:$W$5001,BD!$B$3:$B$5001,C$138,BD!$A$3:$A$5001,_xlfn.MAXIFS(BD!$A$3:$A$5001,BD!$B$3:$B$5001,C$138,BD!$A$3:$A$5001,"&gt;="&amp;$C$7,BD!$A$3:$A$5001,"&lt;="&amp;$B142,BD!$W$3:$W$5001,"&lt;&gt;"))))</f>
        <v/>
      </c>
      <c r="D142" s="42" t="str">
        <f>IF(OR($B142="",$A142&gt;$B$9),"",IF(COUNTIFS(BD!$B$3:$B$5001,D$138,BD!$A$3:$A$5001,"&gt;="&amp;$C$7,BD!$A$3:$A$5001,"&lt;="&amp;$B142,BD!$W$3:$W$5001,"&lt;&gt;")=0,"",SUMIFS(BD!$W$3:$W$5001,BD!$B$3:$B$5001,D$138,BD!$A$3:$A$5001,_xlfn.MAXIFS(BD!$A$3:$A$5001,BD!$B$3:$B$5001,D$138,BD!$A$3:$A$5001,"&gt;="&amp;$C$7,BD!$A$3:$A$5001,"&lt;="&amp;$B142,BD!$W$3:$W$5001,"&lt;&gt;"))))</f>
        <v/>
      </c>
      <c r="E142" s="42" t="str">
        <f>IF(OR($B142="",$A142&gt;$B$9),"",IF(COUNTIFS(BD!$B$3:$B$5001,E$138,BD!$A$3:$A$5001,"&gt;="&amp;$C$7,BD!$A$3:$A$5001,"&lt;="&amp;$B142,BD!$W$3:$W$5001,"&lt;&gt;")=0,"",SUMIFS(BD!$W$3:$W$5001,BD!$B$3:$B$5001,E$138,BD!$A$3:$A$5001,_xlfn.MAXIFS(BD!$A$3:$A$5001,BD!$B$3:$B$5001,E$138,BD!$A$3:$A$5001,"&gt;="&amp;$C$7,BD!$A$3:$A$5001,"&lt;="&amp;$B142,BD!$W$3:$W$5001,"&lt;&gt;"))))</f>
        <v/>
      </c>
      <c r="F142" s="42" t="str">
        <f>IF(OR($B142="",$A142&gt;$B$9),"",IF(COUNTIFS(BD!$B$3:$B$5001,F$138,BD!$A$3:$A$5001,"&gt;="&amp;$C$7,BD!$A$3:$A$5001,"&lt;="&amp;$B142,BD!$W$3:$W$5001,"&lt;&gt;")=0,"",SUMIFS(BD!$W$3:$W$5001,BD!$B$3:$B$5001,F$138,BD!$A$3:$A$5001,_xlfn.MAXIFS(BD!$A$3:$A$5001,BD!$B$3:$B$5001,F$138,BD!$A$3:$A$5001,"&gt;="&amp;$C$7,BD!$A$3:$A$5001,"&lt;="&amp;$B142,BD!$W$3:$W$5001,"&lt;&gt;"))))</f>
        <v/>
      </c>
      <c r="G142" s="42" t="str">
        <f>IF(OR($B142="",$A142&gt;$B$9),"",IF(COUNTIFS(BD!$B$3:$B$5001,G$138,BD!$A$3:$A$5001,"&gt;="&amp;$C$7,BD!$A$3:$A$5001,"&lt;="&amp;$B142,BD!$W$3:$W$5001,"&lt;&gt;")=0,"",SUMIFS(BD!$W$3:$W$5001,BD!$B$3:$B$5001,G$138,BD!$A$3:$A$5001,_xlfn.MAXIFS(BD!$A$3:$A$5001,BD!$B$3:$B$5001,G$138,BD!$A$3:$A$5001,"&gt;="&amp;$C$7,BD!$A$3:$A$5001,"&lt;="&amp;$B142,BD!$W$3:$W$5001,"&lt;&gt;"))))</f>
        <v/>
      </c>
      <c r="H142" s="42" t="str">
        <f>IF(OR($B142="",$A142&gt;$B$9),"",IF(COUNTIFS(BD!$B$3:$B$5001,H$138,BD!$A$3:$A$5001,"&gt;="&amp;$C$7,BD!$A$3:$A$5001,"&lt;="&amp;$B142,BD!$W$3:$W$5001,"&lt;&gt;")=0,"",SUMIFS(BD!$W$3:$W$5001,BD!$B$3:$B$5001,H$138,BD!$A$3:$A$5001,_xlfn.MAXIFS(BD!$A$3:$A$5001,BD!$B$3:$B$5001,H$138,BD!$A$3:$A$5001,"&gt;="&amp;$C$7,BD!$A$3:$A$5001,"&lt;="&amp;$B142,BD!$W$3:$W$5001,"&lt;&gt;"))))</f>
        <v/>
      </c>
      <c r="I142" s="42" t="str">
        <f>IF(OR($B142="",$A142&gt;$B$9),"",IF(COUNTIFS(BD!$B$3:$B$5001,I$138,BD!$A$3:$A$5001,"&gt;="&amp;$C$7,BD!$A$3:$A$5001,"&lt;="&amp;$B142,BD!$W$3:$W$5001,"&lt;&gt;")=0,"",SUMIFS(BD!$W$3:$W$5001,BD!$B$3:$B$5001,I$138,BD!$A$3:$A$5001,_xlfn.MAXIFS(BD!$A$3:$A$5001,BD!$B$3:$B$5001,I$138,BD!$A$3:$A$5001,"&gt;="&amp;$C$7,BD!$A$3:$A$5001,"&lt;="&amp;$B142,BD!$W$3:$W$5001,"&lt;&gt;"))))</f>
        <v/>
      </c>
      <c r="J142" s="42" t="str">
        <f>IF(OR($B142="",$A142&gt;$B$9),"",IF(COUNTIFS(BD!$B$3:$B$5001,J$138,BD!$A$3:$A$5001,"&gt;="&amp;$C$7,BD!$A$3:$A$5001,"&lt;="&amp;$B142,BD!$W$3:$W$5001,"&lt;&gt;")=0,"",SUMIFS(BD!$W$3:$W$5001,BD!$B$3:$B$5001,J$138,BD!$A$3:$A$5001,_xlfn.MAXIFS(BD!$A$3:$A$5001,BD!$B$3:$B$5001,J$138,BD!$A$3:$A$5001,"&gt;="&amp;$C$7,BD!$A$3:$A$5001,"&lt;="&amp;$B142,BD!$W$3:$W$5001,"&lt;&gt;"))))</f>
        <v/>
      </c>
      <c r="K142" s="42" t="str">
        <f>IF(OR($B142="",$A142&gt;$B$9),"",IF(COUNTIFS(BD!$B$3:$B$5001,K$138,BD!$A$3:$A$5001,"&gt;="&amp;$C$7,BD!$A$3:$A$5001,"&lt;="&amp;$B142,BD!$W$3:$W$5001,"&lt;&gt;")=0,"",SUMIFS(BD!$W$3:$W$5001,BD!$B$3:$B$5001,K$138,BD!$A$3:$A$5001,_xlfn.MAXIFS(BD!$A$3:$A$5001,BD!$B$3:$B$5001,K$138,BD!$A$3:$A$5001,"&gt;="&amp;$C$7,BD!$A$3:$A$5001,"&lt;="&amp;$B142,BD!$W$3:$W$5001,"&lt;&gt;"))))</f>
        <v/>
      </c>
    </row>
    <row r="143">
      <c r="A143" s="40">
        <v>5</v>
      </c>
      <c r="B143" s="41">
        <f>$B$16</f>
        <v>46300</v>
      </c>
      <c r="C143" s="42" t="str">
        <f>IF(OR($B143="",$A143&gt;$B$9),"",IF(COUNTIFS(BD!$B$3:$B$5001,C$138,BD!$A$3:$A$5001,"&gt;="&amp;$C$7,BD!$A$3:$A$5001,"&lt;="&amp;$B143,BD!$W$3:$W$5001,"&lt;&gt;")=0,"",SUMIFS(BD!$W$3:$W$5001,BD!$B$3:$B$5001,C$138,BD!$A$3:$A$5001,_xlfn.MAXIFS(BD!$A$3:$A$5001,BD!$B$3:$B$5001,C$138,BD!$A$3:$A$5001,"&gt;="&amp;$C$7,BD!$A$3:$A$5001,"&lt;="&amp;$B143,BD!$W$3:$W$5001,"&lt;&gt;"))))</f>
        <v/>
      </c>
      <c r="D143" s="42" t="str">
        <f>IF(OR($B143="",$A143&gt;$B$9),"",IF(COUNTIFS(BD!$B$3:$B$5001,D$138,BD!$A$3:$A$5001,"&gt;="&amp;$C$7,BD!$A$3:$A$5001,"&lt;="&amp;$B143,BD!$W$3:$W$5001,"&lt;&gt;")=0,"",SUMIFS(BD!$W$3:$W$5001,BD!$B$3:$B$5001,D$138,BD!$A$3:$A$5001,_xlfn.MAXIFS(BD!$A$3:$A$5001,BD!$B$3:$B$5001,D$138,BD!$A$3:$A$5001,"&gt;="&amp;$C$7,BD!$A$3:$A$5001,"&lt;="&amp;$B143,BD!$W$3:$W$5001,"&lt;&gt;"))))</f>
        <v/>
      </c>
      <c r="E143" s="42" t="str">
        <f>IF(OR($B143="",$A143&gt;$B$9),"",IF(COUNTIFS(BD!$B$3:$B$5001,E$138,BD!$A$3:$A$5001,"&gt;="&amp;$C$7,BD!$A$3:$A$5001,"&lt;="&amp;$B143,BD!$W$3:$W$5001,"&lt;&gt;")=0,"",SUMIFS(BD!$W$3:$W$5001,BD!$B$3:$B$5001,E$138,BD!$A$3:$A$5001,_xlfn.MAXIFS(BD!$A$3:$A$5001,BD!$B$3:$B$5001,E$138,BD!$A$3:$A$5001,"&gt;="&amp;$C$7,BD!$A$3:$A$5001,"&lt;="&amp;$B143,BD!$W$3:$W$5001,"&lt;&gt;"))))</f>
        <v/>
      </c>
      <c r="F143" s="42" t="str">
        <f>IF(OR($B143="",$A143&gt;$B$9),"",IF(COUNTIFS(BD!$B$3:$B$5001,F$138,BD!$A$3:$A$5001,"&gt;="&amp;$C$7,BD!$A$3:$A$5001,"&lt;="&amp;$B143,BD!$W$3:$W$5001,"&lt;&gt;")=0,"",SUMIFS(BD!$W$3:$W$5001,BD!$B$3:$B$5001,F$138,BD!$A$3:$A$5001,_xlfn.MAXIFS(BD!$A$3:$A$5001,BD!$B$3:$B$5001,F$138,BD!$A$3:$A$5001,"&gt;="&amp;$C$7,BD!$A$3:$A$5001,"&lt;="&amp;$B143,BD!$W$3:$W$5001,"&lt;&gt;"))))</f>
        <v/>
      </c>
      <c r="G143" s="42" t="str">
        <f>IF(OR($B143="",$A143&gt;$B$9),"",IF(COUNTIFS(BD!$B$3:$B$5001,G$138,BD!$A$3:$A$5001,"&gt;="&amp;$C$7,BD!$A$3:$A$5001,"&lt;="&amp;$B143,BD!$W$3:$W$5001,"&lt;&gt;")=0,"",SUMIFS(BD!$W$3:$W$5001,BD!$B$3:$B$5001,G$138,BD!$A$3:$A$5001,_xlfn.MAXIFS(BD!$A$3:$A$5001,BD!$B$3:$B$5001,G$138,BD!$A$3:$A$5001,"&gt;="&amp;$C$7,BD!$A$3:$A$5001,"&lt;="&amp;$B143,BD!$W$3:$W$5001,"&lt;&gt;"))))</f>
        <v/>
      </c>
      <c r="H143" s="42" t="str">
        <f>IF(OR($B143="",$A143&gt;$B$9),"",IF(COUNTIFS(BD!$B$3:$B$5001,H$138,BD!$A$3:$A$5001,"&gt;="&amp;$C$7,BD!$A$3:$A$5001,"&lt;="&amp;$B143,BD!$W$3:$W$5001,"&lt;&gt;")=0,"",SUMIFS(BD!$W$3:$W$5001,BD!$B$3:$B$5001,H$138,BD!$A$3:$A$5001,_xlfn.MAXIFS(BD!$A$3:$A$5001,BD!$B$3:$B$5001,H$138,BD!$A$3:$A$5001,"&gt;="&amp;$C$7,BD!$A$3:$A$5001,"&lt;="&amp;$B143,BD!$W$3:$W$5001,"&lt;&gt;"))))</f>
        <v/>
      </c>
      <c r="I143" s="42" t="str">
        <f>IF(OR($B143="",$A143&gt;$B$9),"",IF(COUNTIFS(BD!$B$3:$B$5001,I$138,BD!$A$3:$A$5001,"&gt;="&amp;$C$7,BD!$A$3:$A$5001,"&lt;="&amp;$B143,BD!$W$3:$W$5001,"&lt;&gt;")=0,"",SUMIFS(BD!$W$3:$W$5001,BD!$B$3:$B$5001,I$138,BD!$A$3:$A$5001,_xlfn.MAXIFS(BD!$A$3:$A$5001,BD!$B$3:$B$5001,I$138,BD!$A$3:$A$5001,"&gt;="&amp;$C$7,BD!$A$3:$A$5001,"&lt;="&amp;$B143,BD!$W$3:$W$5001,"&lt;&gt;"))))</f>
        <v/>
      </c>
      <c r="J143" s="42" t="str">
        <f>IF(OR($B143="",$A143&gt;$B$9),"",IF(COUNTIFS(BD!$B$3:$B$5001,J$138,BD!$A$3:$A$5001,"&gt;="&amp;$C$7,BD!$A$3:$A$5001,"&lt;="&amp;$B143,BD!$W$3:$W$5001,"&lt;&gt;")=0,"",SUMIFS(BD!$W$3:$W$5001,BD!$B$3:$B$5001,J$138,BD!$A$3:$A$5001,_xlfn.MAXIFS(BD!$A$3:$A$5001,BD!$B$3:$B$5001,J$138,BD!$A$3:$A$5001,"&gt;="&amp;$C$7,BD!$A$3:$A$5001,"&lt;="&amp;$B143,BD!$W$3:$W$5001,"&lt;&gt;"))))</f>
        <v/>
      </c>
      <c r="K143" s="42" t="str">
        <f>IF(OR($B143="",$A143&gt;$B$9),"",IF(COUNTIFS(BD!$B$3:$B$5001,K$138,BD!$A$3:$A$5001,"&gt;="&amp;$C$7,BD!$A$3:$A$5001,"&lt;="&amp;$B143,BD!$W$3:$W$5001,"&lt;&gt;")=0,"",SUMIFS(BD!$W$3:$W$5001,BD!$B$3:$B$5001,K$138,BD!$A$3:$A$5001,_xlfn.MAXIFS(BD!$A$3:$A$5001,BD!$B$3:$B$5001,K$138,BD!$A$3:$A$5001,"&gt;="&amp;$C$7,BD!$A$3:$A$5001,"&lt;="&amp;$B143,BD!$W$3:$W$5001,"&lt;&gt;"))))</f>
        <v/>
      </c>
    </row>
    <row r="144">
      <c r="A144" s="40">
        <v>6</v>
      </c>
      <c r="B144" s="41">
        <f>$B$17</f>
        <v>46301</v>
      </c>
      <c r="C144" s="42" t="str">
        <f>IF(OR($B144="",$A144&gt;$B$9),"",IF(COUNTIFS(BD!$B$3:$B$5001,C$138,BD!$A$3:$A$5001,"&gt;="&amp;$C$7,BD!$A$3:$A$5001,"&lt;="&amp;$B144,BD!$W$3:$W$5001,"&lt;&gt;")=0,"",SUMIFS(BD!$W$3:$W$5001,BD!$B$3:$B$5001,C$138,BD!$A$3:$A$5001,_xlfn.MAXIFS(BD!$A$3:$A$5001,BD!$B$3:$B$5001,C$138,BD!$A$3:$A$5001,"&gt;="&amp;$C$7,BD!$A$3:$A$5001,"&lt;="&amp;$B144,BD!$W$3:$W$5001,"&lt;&gt;"))))</f>
        <v/>
      </c>
      <c r="D144" s="42" t="str">
        <f>IF(OR($B144="",$A144&gt;$B$9),"",IF(COUNTIFS(BD!$B$3:$B$5001,D$138,BD!$A$3:$A$5001,"&gt;="&amp;$C$7,BD!$A$3:$A$5001,"&lt;="&amp;$B144,BD!$W$3:$W$5001,"&lt;&gt;")=0,"",SUMIFS(BD!$W$3:$W$5001,BD!$B$3:$B$5001,D$138,BD!$A$3:$A$5001,_xlfn.MAXIFS(BD!$A$3:$A$5001,BD!$B$3:$B$5001,D$138,BD!$A$3:$A$5001,"&gt;="&amp;$C$7,BD!$A$3:$A$5001,"&lt;="&amp;$B144,BD!$W$3:$W$5001,"&lt;&gt;"))))</f>
        <v/>
      </c>
      <c r="E144" s="42" t="str">
        <f>IF(OR($B144="",$A144&gt;$B$9),"",IF(COUNTIFS(BD!$B$3:$B$5001,E$138,BD!$A$3:$A$5001,"&gt;="&amp;$C$7,BD!$A$3:$A$5001,"&lt;="&amp;$B144,BD!$W$3:$W$5001,"&lt;&gt;")=0,"",SUMIFS(BD!$W$3:$W$5001,BD!$B$3:$B$5001,E$138,BD!$A$3:$A$5001,_xlfn.MAXIFS(BD!$A$3:$A$5001,BD!$B$3:$B$5001,E$138,BD!$A$3:$A$5001,"&gt;="&amp;$C$7,BD!$A$3:$A$5001,"&lt;="&amp;$B144,BD!$W$3:$W$5001,"&lt;&gt;"))))</f>
        <v/>
      </c>
      <c r="F144" s="42" t="str">
        <f>IF(OR($B144="",$A144&gt;$B$9),"",IF(COUNTIFS(BD!$B$3:$B$5001,F$138,BD!$A$3:$A$5001,"&gt;="&amp;$C$7,BD!$A$3:$A$5001,"&lt;="&amp;$B144,BD!$W$3:$W$5001,"&lt;&gt;")=0,"",SUMIFS(BD!$W$3:$W$5001,BD!$B$3:$B$5001,F$138,BD!$A$3:$A$5001,_xlfn.MAXIFS(BD!$A$3:$A$5001,BD!$B$3:$B$5001,F$138,BD!$A$3:$A$5001,"&gt;="&amp;$C$7,BD!$A$3:$A$5001,"&lt;="&amp;$B144,BD!$W$3:$W$5001,"&lt;&gt;"))))</f>
        <v/>
      </c>
      <c r="G144" s="42" t="str">
        <f>IF(OR($B144="",$A144&gt;$B$9),"",IF(COUNTIFS(BD!$B$3:$B$5001,G$138,BD!$A$3:$A$5001,"&gt;="&amp;$C$7,BD!$A$3:$A$5001,"&lt;="&amp;$B144,BD!$W$3:$W$5001,"&lt;&gt;")=0,"",SUMIFS(BD!$W$3:$W$5001,BD!$B$3:$B$5001,G$138,BD!$A$3:$A$5001,_xlfn.MAXIFS(BD!$A$3:$A$5001,BD!$B$3:$B$5001,G$138,BD!$A$3:$A$5001,"&gt;="&amp;$C$7,BD!$A$3:$A$5001,"&lt;="&amp;$B144,BD!$W$3:$W$5001,"&lt;&gt;"))))</f>
        <v/>
      </c>
      <c r="H144" s="42" t="str">
        <f>IF(OR($B144="",$A144&gt;$B$9),"",IF(COUNTIFS(BD!$B$3:$B$5001,H$138,BD!$A$3:$A$5001,"&gt;="&amp;$C$7,BD!$A$3:$A$5001,"&lt;="&amp;$B144,BD!$W$3:$W$5001,"&lt;&gt;")=0,"",SUMIFS(BD!$W$3:$W$5001,BD!$B$3:$B$5001,H$138,BD!$A$3:$A$5001,_xlfn.MAXIFS(BD!$A$3:$A$5001,BD!$B$3:$B$5001,H$138,BD!$A$3:$A$5001,"&gt;="&amp;$C$7,BD!$A$3:$A$5001,"&lt;="&amp;$B144,BD!$W$3:$W$5001,"&lt;&gt;"))))</f>
        <v/>
      </c>
      <c r="I144" s="42" t="str">
        <f>IF(OR($B144="",$A144&gt;$B$9),"",IF(COUNTIFS(BD!$B$3:$B$5001,I$138,BD!$A$3:$A$5001,"&gt;="&amp;$C$7,BD!$A$3:$A$5001,"&lt;="&amp;$B144,BD!$W$3:$W$5001,"&lt;&gt;")=0,"",SUMIFS(BD!$W$3:$W$5001,BD!$B$3:$B$5001,I$138,BD!$A$3:$A$5001,_xlfn.MAXIFS(BD!$A$3:$A$5001,BD!$B$3:$B$5001,I$138,BD!$A$3:$A$5001,"&gt;="&amp;$C$7,BD!$A$3:$A$5001,"&lt;="&amp;$B144,BD!$W$3:$W$5001,"&lt;&gt;"))))</f>
        <v/>
      </c>
      <c r="J144" s="42" t="str">
        <f>IF(OR($B144="",$A144&gt;$B$9),"",IF(COUNTIFS(BD!$B$3:$B$5001,J$138,BD!$A$3:$A$5001,"&gt;="&amp;$C$7,BD!$A$3:$A$5001,"&lt;="&amp;$B144,BD!$W$3:$W$5001,"&lt;&gt;")=0,"",SUMIFS(BD!$W$3:$W$5001,BD!$B$3:$B$5001,J$138,BD!$A$3:$A$5001,_xlfn.MAXIFS(BD!$A$3:$A$5001,BD!$B$3:$B$5001,J$138,BD!$A$3:$A$5001,"&gt;="&amp;$C$7,BD!$A$3:$A$5001,"&lt;="&amp;$B144,BD!$W$3:$W$5001,"&lt;&gt;"))))</f>
        <v/>
      </c>
      <c r="K144" s="42" t="str">
        <f>IF(OR($B144="",$A144&gt;$B$9),"",IF(COUNTIFS(BD!$B$3:$B$5001,K$138,BD!$A$3:$A$5001,"&gt;="&amp;$C$7,BD!$A$3:$A$5001,"&lt;="&amp;$B144,BD!$W$3:$W$5001,"&lt;&gt;")=0,"",SUMIFS(BD!$W$3:$W$5001,BD!$B$3:$B$5001,K$138,BD!$A$3:$A$5001,_xlfn.MAXIFS(BD!$A$3:$A$5001,BD!$B$3:$B$5001,K$138,BD!$A$3:$A$5001,"&gt;="&amp;$C$7,BD!$A$3:$A$5001,"&lt;="&amp;$B144,BD!$W$3:$W$5001,"&lt;&gt;"))))</f>
        <v/>
      </c>
    </row>
    <row r="145">
      <c r="A145" s="40">
        <v>7</v>
      </c>
      <c r="B145" s="41">
        <f>$B$18</f>
        <v>46302</v>
      </c>
      <c r="C145" s="42" t="str">
        <f>IF(OR($B145="",$A145&gt;$B$9),"",IF(COUNTIFS(BD!$B$3:$B$5001,C$138,BD!$A$3:$A$5001,"&gt;="&amp;$C$7,BD!$A$3:$A$5001,"&lt;="&amp;$B145,BD!$W$3:$W$5001,"&lt;&gt;")=0,"",SUMIFS(BD!$W$3:$W$5001,BD!$B$3:$B$5001,C$138,BD!$A$3:$A$5001,_xlfn.MAXIFS(BD!$A$3:$A$5001,BD!$B$3:$B$5001,C$138,BD!$A$3:$A$5001,"&gt;="&amp;$C$7,BD!$A$3:$A$5001,"&lt;="&amp;$B145,BD!$W$3:$W$5001,"&lt;&gt;"))))</f>
        <v/>
      </c>
      <c r="D145" s="42" t="str">
        <f>IF(OR($B145="",$A145&gt;$B$9),"",IF(COUNTIFS(BD!$B$3:$B$5001,D$138,BD!$A$3:$A$5001,"&gt;="&amp;$C$7,BD!$A$3:$A$5001,"&lt;="&amp;$B145,BD!$W$3:$W$5001,"&lt;&gt;")=0,"",SUMIFS(BD!$W$3:$W$5001,BD!$B$3:$B$5001,D$138,BD!$A$3:$A$5001,_xlfn.MAXIFS(BD!$A$3:$A$5001,BD!$B$3:$B$5001,D$138,BD!$A$3:$A$5001,"&gt;="&amp;$C$7,BD!$A$3:$A$5001,"&lt;="&amp;$B145,BD!$W$3:$W$5001,"&lt;&gt;"))))</f>
        <v/>
      </c>
      <c r="E145" s="42" t="str">
        <f>IF(OR($B145="",$A145&gt;$B$9),"",IF(COUNTIFS(BD!$B$3:$B$5001,E$138,BD!$A$3:$A$5001,"&gt;="&amp;$C$7,BD!$A$3:$A$5001,"&lt;="&amp;$B145,BD!$W$3:$W$5001,"&lt;&gt;")=0,"",SUMIFS(BD!$W$3:$W$5001,BD!$B$3:$B$5001,E$138,BD!$A$3:$A$5001,_xlfn.MAXIFS(BD!$A$3:$A$5001,BD!$B$3:$B$5001,E$138,BD!$A$3:$A$5001,"&gt;="&amp;$C$7,BD!$A$3:$A$5001,"&lt;="&amp;$B145,BD!$W$3:$W$5001,"&lt;&gt;"))))</f>
        <v/>
      </c>
      <c r="F145" s="42" t="str">
        <f>IF(OR($B145="",$A145&gt;$B$9),"",IF(COUNTIFS(BD!$B$3:$B$5001,F$138,BD!$A$3:$A$5001,"&gt;="&amp;$C$7,BD!$A$3:$A$5001,"&lt;="&amp;$B145,BD!$W$3:$W$5001,"&lt;&gt;")=0,"",SUMIFS(BD!$W$3:$W$5001,BD!$B$3:$B$5001,F$138,BD!$A$3:$A$5001,_xlfn.MAXIFS(BD!$A$3:$A$5001,BD!$B$3:$B$5001,F$138,BD!$A$3:$A$5001,"&gt;="&amp;$C$7,BD!$A$3:$A$5001,"&lt;="&amp;$B145,BD!$W$3:$W$5001,"&lt;&gt;"))))</f>
        <v/>
      </c>
      <c r="G145" s="42" t="str">
        <f>IF(OR($B145="",$A145&gt;$B$9),"",IF(COUNTIFS(BD!$B$3:$B$5001,G$138,BD!$A$3:$A$5001,"&gt;="&amp;$C$7,BD!$A$3:$A$5001,"&lt;="&amp;$B145,BD!$W$3:$W$5001,"&lt;&gt;")=0,"",SUMIFS(BD!$W$3:$W$5001,BD!$B$3:$B$5001,G$138,BD!$A$3:$A$5001,_xlfn.MAXIFS(BD!$A$3:$A$5001,BD!$B$3:$B$5001,G$138,BD!$A$3:$A$5001,"&gt;="&amp;$C$7,BD!$A$3:$A$5001,"&lt;="&amp;$B145,BD!$W$3:$W$5001,"&lt;&gt;"))))</f>
        <v/>
      </c>
      <c r="H145" s="42" t="str">
        <f>IF(OR($B145="",$A145&gt;$B$9),"",IF(COUNTIFS(BD!$B$3:$B$5001,H$138,BD!$A$3:$A$5001,"&gt;="&amp;$C$7,BD!$A$3:$A$5001,"&lt;="&amp;$B145,BD!$W$3:$W$5001,"&lt;&gt;")=0,"",SUMIFS(BD!$W$3:$W$5001,BD!$B$3:$B$5001,H$138,BD!$A$3:$A$5001,_xlfn.MAXIFS(BD!$A$3:$A$5001,BD!$B$3:$B$5001,H$138,BD!$A$3:$A$5001,"&gt;="&amp;$C$7,BD!$A$3:$A$5001,"&lt;="&amp;$B145,BD!$W$3:$W$5001,"&lt;&gt;"))))</f>
        <v/>
      </c>
      <c r="I145" s="42" t="str">
        <f>IF(OR($B145="",$A145&gt;$B$9),"",IF(COUNTIFS(BD!$B$3:$B$5001,I$138,BD!$A$3:$A$5001,"&gt;="&amp;$C$7,BD!$A$3:$A$5001,"&lt;="&amp;$B145,BD!$W$3:$W$5001,"&lt;&gt;")=0,"",SUMIFS(BD!$W$3:$W$5001,BD!$B$3:$B$5001,I$138,BD!$A$3:$A$5001,_xlfn.MAXIFS(BD!$A$3:$A$5001,BD!$B$3:$B$5001,I$138,BD!$A$3:$A$5001,"&gt;="&amp;$C$7,BD!$A$3:$A$5001,"&lt;="&amp;$B145,BD!$W$3:$W$5001,"&lt;&gt;"))))</f>
        <v/>
      </c>
      <c r="J145" s="42" t="str">
        <f>IF(OR($B145="",$A145&gt;$B$9),"",IF(COUNTIFS(BD!$B$3:$B$5001,J$138,BD!$A$3:$A$5001,"&gt;="&amp;$C$7,BD!$A$3:$A$5001,"&lt;="&amp;$B145,BD!$W$3:$W$5001,"&lt;&gt;")=0,"",SUMIFS(BD!$W$3:$W$5001,BD!$B$3:$B$5001,J$138,BD!$A$3:$A$5001,_xlfn.MAXIFS(BD!$A$3:$A$5001,BD!$B$3:$B$5001,J$138,BD!$A$3:$A$5001,"&gt;="&amp;$C$7,BD!$A$3:$A$5001,"&lt;="&amp;$B145,BD!$W$3:$W$5001,"&lt;&gt;"))))</f>
        <v/>
      </c>
      <c r="K145" s="42" t="str">
        <f>IF(OR($B145="",$A145&gt;$B$9),"",IF(COUNTIFS(BD!$B$3:$B$5001,K$138,BD!$A$3:$A$5001,"&gt;="&amp;$C$7,BD!$A$3:$A$5001,"&lt;="&amp;$B145,BD!$W$3:$W$5001,"&lt;&gt;")=0,"",SUMIFS(BD!$W$3:$W$5001,BD!$B$3:$B$5001,K$138,BD!$A$3:$A$5001,_xlfn.MAXIFS(BD!$A$3:$A$5001,BD!$B$3:$B$5001,K$138,BD!$A$3:$A$5001,"&gt;="&amp;$C$7,BD!$A$3:$A$5001,"&lt;="&amp;$B145,BD!$W$3:$W$5001,"&lt;&gt;"))))</f>
        <v/>
      </c>
    </row>
    <row r="146">
      <c r="A146" s="40">
        <v>8</v>
      </c>
      <c r="B146" s="41">
        <f>$B$19</f>
        <v>46303</v>
      </c>
      <c r="C146" s="42" t="str">
        <f>IF(OR($B146="",$A146&gt;$B$9),"",IF(COUNTIFS(BD!$B$3:$B$5001,C$138,BD!$A$3:$A$5001,"&gt;="&amp;$C$7,BD!$A$3:$A$5001,"&lt;="&amp;$B146,BD!$W$3:$W$5001,"&lt;&gt;")=0,"",SUMIFS(BD!$W$3:$W$5001,BD!$B$3:$B$5001,C$138,BD!$A$3:$A$5001,_xlfn.MAXIFS(BD!$A$3:$A$5001,BD!$B$3:$B$5001,C$138,BD!$A$3:$A$5001,"&gt;="&amp;$C$7,BD!$A$3:$A$5001,"&lt;="&amp;$B146,BD!$W$3:$W$5001,"&lt;&gt;"))))</f>
        <v/>
      </c>
      <c r="D146" s="42" t="str">
        <f>IF(OR($B146="",$A146&gt;$B$9),"",IF(COUNTIFS(BD!$B$3:$B$5001,D$138,BD!$A$3:$A$5001,"&gt;="&amp;$C$7,BD!$A$3:$A$5001,"&lt;="&amp;$B146,BD!$W$3:$W$5001,"&lt;&gt;")=0,"",SUMIFS(BD!$W$3:$W$5001,BD!$B$3:$B$5001,D$138,BD!$A$3:$A$5001,_xlfn.MAXIFS(BD!$A$3:$A$5001,BD!$B$3:$B$5001,D$138,BD!$A$3:$A$5001,"&gt;="&amp;$C$7,BD!$A$3:$A$5001,"&lt;="&amp;$B146,BD!$W$3:$W$5001,"&lt;&gt;"))))</f>
        <v/>
      </c>
      <c r="E146" s="42" t="str">
        <f>IF(OR($B146="",$A146&gt;$B$9),"",IF(COUNTIFS(BD!$B$3:$B$5001,E$138,BD!$A$3:$A$5001,"&gt;="&amp;$C$7,BD!$A$3:$A$5001,"&lt;="&amp;$B146,BD!$W$3:$W$5001,"&lt;&gt;")=0,"",SUMIFS(BD!$W$3:$W$5001,BD!$B$3:$B$5001,E$138,BD!$A$3:$A$5001,_xlfn.MAXIFS(BD!$A$3:$A$5001,BD!$B$3:$B$5001,E$138,BD!$A$3:$A$5001,"&gt;="&amp;$C$7,BD!$A$3:$A$5001,"&lt;="&amp;$B146,BD!$W$3:$W$5001,"&lt;&gt;"))))</f>
        <v/>
      </c>
      <c r="F146" s="42" t="str">
        <f>IF(OR($B146="",$A146&gt;$B$9),"",IF(COUNTIFS(BD!$B$3:$B$5001,F$138,BD!$A$3:$A$5001,"&gt;="&amp;$C$7,BD!$A$3:$A$5001,"&lt;="&amp;$B146,BD!$W$3:$W$5001,"&lt;&gt;")=0,"",SUMIFS(BD!$W$3:$W$5001,BD!$B$3:$B$5001,F$138,BD!$A$3:$A$5001,_xlfn.MAXIFS(BD!$A$3:$A$5001,BD!$B$3:$B$5001,F$138,BD!$A$3:$A$5001,"&gt;="&amp;$C$7,BD!$A$3:$A$5001,"&lt;="&amp;$B146,BD!$W$3:$W$5001,"&lt;&gt;"))))</f>
        <v/>
      </c>
      <c r="G146" s="42" t="str">
        <f>IF(OR($B146="",$A146&gt;$B$9),"",IF(COUNTIFS(BD!$B$3:$B$5001,G$138,BD!$A$3:$A$5001,"&gt;="&amp;$C$7,BD!$A$3:$A$5001,"&lt;="&amp;$B146,BD!$W$3:$W$5001,"&lt;&gt;")=0,"",SUMIFS(BD!$W$3:$W$5001,BD!$B$3:$B$5001,G$138,BD!$A$3:$A$5001,_xlfn.MAXIFS(BD!$A$3:$A$5001,BD!$B$3:$B$5001,G$138,BD!$A$3:$A$5001,"&gt;="&amp;$C$7,BD!$A$3:$A$5001,"&lt;="&amp;$B146,BD!$W$3:$W$5001,"&lt;&gt;"))))</f>
        <v/>
      </c>
      <c r="H146" s="42" t="str">
        <f>IF(OR($B146="",$A146&gt;$B$9),"",IF(COUNTIFS(BD!$B$3:$B$5001,H$138,BD!$A$3:$A$5001,"&gt;="&amp;$C$7,BD!$A$3:$A$5001,"&lt;="&amp;$B146,BD!$W$3:$W$5001,"&lt;&gt;")=0,"",SUMIFS(BD!$W$3:$W$5001,BD!$B$3:$B$5001,H$138,BD!$A$3:$A$5001,_xlfn.MAXIFS(BD!$A$3:$A$5001,BD!$B$3:$B$5001,H$138,BD!$A$3:$A$5001,"&gt;="&amp;$C$7,BD!$A$3:$A$5001,"&lt;="&amp;$B146,BD!$W$3:$W$5001,"&lt;&gt;"))))</f>
        <v/>
      </c>
      <c r="I146" s="42" t="str">
        <f>IF(OR($B146="",$A146&gt;$B$9),"",IF(COUNTIFS(BD!$B$3:$B$5001,I$138,BD!$A$3:$A$5001,"&gt;="&amp;$C$7,BD!$A$3:$A$5001,"&lt;="&amp;$B146,BD!$W$3:$W$5001,"&lt;&gt;")=0,"",SUMIFS(BD!$W$3:$W$5001,BD!$B$3:$B$5001,I$138,BD!$A$3:$A$5001,_xlfn.MAXIFS(BD!$A$3:$A$5001,BD!$B$3:$B$5001,I$138,BD!$A$3:$A$5001,"&gt;="&amp;$C$7,BD!$A$3:$A$5001,"&lt;="&amp;$B146,BD!$W$3:$W$5001,"&lt;&gt;"))))</f>
        <v/>
      </c>
      <c r="J146" s="42" t="str">
        <f>IF(OR($B146="",$A146&gt;$B$9),"",IF(COUNTIFS(BD!$B$3:$B$5001,J$138,BD!$A$3:$A$5001,"&gt;="&amp;$C$7,BD!$A$3:$A$5001,"&lt;="&amp;$B146,BD!$W$3:$W$5001,"&lt;&gt;")=0,"",SUMIFS(BD!$W$3:$W$5001,BD!$B$3:$B$5001,J$138,BD!$A$3:$A$5001,_xlfn.MAXIFS(BD!$A$3:$A$5001,BD!$B$3:$B$5001,J$138,BD!$A$3:$A$5001,"&gt;="&amp;$C$7,BD!$A$3:$A$5001,"&lt;="&amp;$B146,BD!$W$3:$W$5001,"&lt;&gt;"))))</f>
        <v/>
      </c>
      <c r="K146" s="42" t="str">
        <f>IF(OR($B146="",$A146&gt;$B$9),"",IF(COUNTIFS(BD!$B$3:$B$5001,K$138,BD!$A$3:$A$5001,"&gt;="&amp;$C$7,BD!$A$3:$A$5001,"&lt;="&amp;$B146,BD!$W$3:$W$5001,"&lt;&gt;")=0,"",SUMIFS(BD!$W$3:$W$5001,BD!$B$3:$B$5001,K$138,BD!$A$3:$A$5001,_xlfn.MAXIFS(BD!$A$3:$A$5001,BD!$B$3:$B$5001,K$138,BD!$A$3:$A$5001,"&gt;="&amp;$C$7,BD!$A$3:$A$5001,"&lt;="&amp;$B146,BD!$W$3:$W$5001,"&lt;&gt;"))))</f>
        <v/>
      </c>
    </row>
    <row r="147">
      <c r="A147" s="40">
        <v>9</v>
      </c>
      <c r="B147" s="41">
        <f>$B$20</f>
        <v>46304</v>
      </c>
      <c r="C147" s="42" t="str">
        <f>IF(OR($B147="",$A147&gt;$B$9),"",IF(COUNTIFS(BD!$B$3:$B$5001,C$138,BD!$A$3:$A$5001,"&gt;="&amp;$C$7,BD!$A$3:$A$5001,"&lt;="&amp;$B147,BD!$W$3:$W$5001,"&lt;&gt;")=0,"",SUMIFS(BD!$W$3:$W$5001,BD!$B$3:$B$5001,C$138,BD!$A$3:$A$5001,_xlfn.MAXIFS(BD!$A$3:$A$5001,BD!$B$3:$B$5001,C$138,BD!$A$3:$A$5001,"&gt;="&amp;$C$7,BD!$A$3:$A$5001,"&lt;="&amp;$B147,BD!$W$3:$W$5001,"&lt;&gt;"))))</f>
        <v/>
      </c>
      <c r="D147" s="42" t="str">
        <f>IF(OR($B147="",$A147&gt;$B$9),"",IF(COUNTIFS(BD!$B$3:$B$5001,D$138,BD!$A$3:$A$5001,"&gt;="&amp;$C$7,BD!$A$3:$A$5001,"&lt;="&amp;$B147,BD!$W$3:$W$5001,"&lt;&gt;")=0,"",SUMIFS(BD!$W$3:$W$5001,BD!$B$3:$B$5001,D$138,BD!$A$3:$A$5001,_xlfn.MAXIFS(BD!$A$3:$A$5001,BD!$B$3:$B$5001,D$138,BD!$A$3:$A$5001,"&gt;="&amp;$C$7,BD!$A$3:$A$5001,"&lt;="&amp;$B147,BD!$W$3:$W$5001,"&lt;&gt;"))))</f>
        <v/>
      </c>
      <c r="E147" s="42" t="str">
        <f>IF(OR($B147="",$A147&gt;$B$9),"",IF(COUNTIFS(BD!$B$3:$B$5001,E$138,BD!$A$3:$A$5001,"&gt;="&amp;$C$7,BD!$A$3:$A$5001,"&lt;="&amp;$B147,BD!$W$3:$W$5001,"&lt;&gt;")=0,"",SUMIFS(BD!$W$3:$W$5001,BD!$B$3:$B$5001,E$138,BD!$A$3:$A$5001,_xlfn.MAXIFS(BD!$A$3:$A$5001,BD!$B$3:$B$5001,E$138,BD!$A$3:$A$5001,"&gt;="&amp;$C$7,BD!$A$3:$A$5001,"&lt;="&amp;$B147,BD!$W$3:$W$5001,"&lt;&gt;"))))</f>
        <v/>
      </c>
      <c r="F147" s="42" t="str">
        <f>IF(OR($B147="",$A147&gt;$B$9),"",IF(COUNTIFS(BD!$B$3:$B$5001,F$138,BD!$A$3:$A$5001,"&gt;="&amp;$C$7,BD!$A$3:$A$5001,"&lt;="&amp;$B147,BD!$W$3:$W$5001,"&lt;&gt;")=0,"",SUMIFS(BD!$W$3:$W$5001,BD!$B$3:$B$5001,F$138,BD!$A$3:$A$5001,_xlfn.MAXIFS(BD!$A$3:$A$5001,BD!$B$3:$B$5001,F$138,BD!$A$3:$A$5001,"&gt;="&amp;$C$7,BD!$A$3:$A$5001,"&lt;="&amp;$B147,BD!$W$3:$W$5001,"&lt;&gt;"))))</f>
        <v/>
      </c>
      <c r="G147" s="42" t="str">
        <f>IF(OR($B147="",$A147&gt;$B$9),"",IF(COUNTIFS(BD!$B$3:$B$5001,G$138,BD!$A$3:$A$5001,"&gt;="&amp;$C$7,BD!$A$3:$A$5001,"&lt;="&amp;$B147,BD!$W$3:$W$5001,"&lt;&gt;")=0,"",SUMIFS(BD!$W$3:$W$5001,BD!$B$3:$B$5001,G$138,BD!$A$3:$A$5001,_xlfn.MAXIFS(BD!$A$3:$A$5001,BD!$B$3:$B$5001,G$138,BD!$A$3:$A$5001,"&gt;="&amp;$C$7,BD!$A$3:$A$5001,"&lt;="&amp;$B147,BD!$W$3:$W$5001,"&lt;&gt;"))))</f>
        <v/>
      </c>
      <c r="H147" s="42" t="str">
        <f>IF(OR($B147="",$A147&gt;$B$9),"",IF(COUNTIFS(BD!$B$3:$B$5001,H$138,BD!$A$3:$A$5001,"&gt;="&amp;$C$7,BD!$A$3:$A$5001,"&lt;="&amp;$B147,BD!$W$3:$W$5001,"&lt;&gt;")=0,"",SUMIFS(BD!$W$3:$W$5001,BD!$B$3:$B$5001,H$138,BD!$A$3:$A$5001,_xlfn.MAXIFS(BD!$A$3:$A$5001,BD!$B$3:$B$5001,H$138,BD!$A$3:$A$5001,"&gt;="&amp;$C$7,BD!$A$3:$A$5001,"&lt;="&amp;$B147,BD!$W$3:$W$5001,"&lt;&gt;"))))</f>
        <v/>
      </c>
      <c r="I147" s="42" t="str">
        <f>IF(OR($B147="",$A147&gt;$B$9),"",IF(COUNTIFS(BD!$B$3:$B$5001,I$138,BD!$A$3:$A$5001,"&gt;="&amp;$C$7,BD!$A$3:$A$5001,"&lt;="&amp;$B147,BD!$W$3:$W$5001,"&lt;&gt;")=0,"",SUMIFS(BD!$W$3:$W$5001,BD!$B$3:$B$5001,I$138,BD!$A$3:$A$5001,_xlfn.MAXIFS(BD!$A$3:$A$5001,BD!$B$3:$B$5001,I$138,BD!$A$3:$A$5001,"&gt;="&amp;$C$7,BD!$A$3:$A$5001,"&lt;="&amp;$B147,BD!$W$3:$W$5001,"&lt;&gt;"))))</f>
        <v/>
      </c>
      <c r="J147" s="42" t="str">
        <f>IF(OR($B147="",$A147&gt;$B$9),"",IF(COUNTIFS(BD!$B$3:$B$5001,J$138,BD!$A$3:$A$5001,"&gt;="&amp;$C$7,BD!$A$3:$A$5001,"&lt;="&amp;$B147,BD!$W$3:$W$5001,"&lt;&gt;")=0,"",SUMIFS(BD!$W$3:$W$5001,BD!$B$3:$B$5001,J$138,BD!$A$3:$A$5001,_xlfn.MAXIFS(BD!$A$3:$A$5001,BD!$B$3:$B$5001,J$138,BD!$A$3:$A$5001,"&gt;="&amp;$C$7,BD!$A$3:$A$5001,"&lt;="&amp;$B147,BD!$W$3:$W$5001,"&lt;&gt;"))))</f>
        <v/>
      </c>
      <c r="K147" s="42" t="str">
        <f>IF(OR($B147="",$A147&gt;$B$9),"",IF(COUNTIFS(BD!$B$3:$B$5001,K$138,BD!$A$3:$A$5001,"&gt;="&amp;$C$7,BD!$A$3:$A$5001,"&lt;="&amp;$B147,BD!$W$3:$W$5001,"&lt;&gt;")=0,"",SUMIFS(BD!$W$3:$W$5001,BD!$B$3:$B$5001,K$138,BD!$A$3:$A$5001,_xlfn.MAXIFS(BD!$A$3:$A$5001,BD!$B$3:$B$5001,K$138,BD!$A$3:$A$5001,"&gt;="&amp;$C$7,BD!$A$3:$A$5001,"&lt;="&amp;$B147,BD!$W$3:$W$5001,"&lt;&gt;"))))</f>
        <v/>
      </c>
    </row>
    <row r="148">
      <c r="A148" s="40">
        <v>10</v>
      </c>
      <c r="B148" s="41">
        <f>$B$21</f>
        <v>46305</v>
      </c>
      <c r="C148" s="42" t="str">
        <f>IF(OR($B148="",$A148&gt;$B$9),"",IF(COUNTIFS(BD!$B$3:$B$5001,C$138,BD!$A$3:$A$5001,"&gt;="&amp;$C$7,BD!$A$3:$A$5001,"&lt;="&amp;$B148,BD!$W$3:$W$5001,"&lt;&gt;")=0,"",SUMIFS(BD!$W$3:$W$5001,BD!$B$3:$B$5001,C$138,BD!$A$3:$A$5001,_xlfn.MAXIFS(BD!$A$3:$A$5001,BD!$B$3:$B$5001,C$138,BD!$A$3:$A$5001,"&gt;="&amp;$C$7,BD!$A$3:$A$5001,"&lt;="&amp;$B148,BD!$W$3:$W$5001,"&lt;&gt;"))))</f>
        <v/>
      </c>
      <c r="D148" s="42" t="str">
        <f>IF(OR($B148="",$A148&gt;$B$9),"",IF(COUNTIFS(BD!$B$3:$B$5001,D$138,BD!$A$3:$A$5001,"&gt;="&amp;$C$7,BD!$A$3:$A$5001,"&lt;="&amp;$B148,BD!$W$3:$W$5001,"&lt;&gt;")=0,"",SUMIFS(BD!$W$3:$W$5001,BD!$B$3:$B$5001,D$138,BD!$A$3:$A$5001,_xlfn.MAXIFS(BD!$A$3:$A$5001,BD!$B$3:$B$5001,D$138,BD!$A$3:$A$5001,"&gt;="&amp;$C$7,BD!$A$3:$A$5001,"&lt;="&amp;$B148,BD!$W$3:$W$5001,"&lt;&gt;"))))</f>
        <v/>
      </c>
      <c r="E148" s="42" t="str">
        <f>IF(OR($B148="",$A148&gt;$B$9),"",IF(COUNTIFS(BD!$B$3:$B$5001,E$138,BD!$A$3:$A$5001,"&gt;="&amp;$C$7,BD!$A$3:$A$5001,"&lt;="&amp;$B148,BD!$W$3:$W$5001,"&lt;&gt;")=0,"",SUMIFS(BD!$W$3:$W$5001,BD!$B$3:$B$5001,E$138,BD!$A$3:$A$5001,_xlfn.MAXIFS(BD!$A$3:$A$5001,BD!$B$3:$B$5001,E$138,BD!$A$3:$A$5001,"&gt;="&amp;$C$7,BD!$A$3:$A$5001,"&lt;="&amp;$B148,BD!$W$3:$W$5001,"&lt;&gt;"))))</f>
        <v/>
      </c>
      <c r="F148" s="42" t="str">
        <f>IF(OR($B148="",$A148&gt;$B$9),"",IF(COUNTIFS(BD!$B$3:$B$5001,F$138,BD!$A$3:$A$5001,"&gt;="&amp;$C$7,BD!$A$3:$A$5001,"&lt;="&amp;$B148,BD!$W$3:$W$5001,"&lt;&gt;")=0,"",SUMIFS(BD!$W$3:$W$5001,BD!$B$3:$B$5001,F$138,BD!$A$3:$A$5001,_xlfn.MAXIFS(BD!$A$3:$A$5001,BD!$B$3:$B$5001,F$138,BD!$A$3:$A$5001,"&gt;="&amp;$C$7,BD!$A$3:$A$5001,"&lt;="&amp;$B148,BD!$W$3:$W$5001,"&lt;&gt;"))))</f>
        <v/>
      </c>
      <c r="G148" s="42" t="str">
        <f>IF(OR($B148="",$A148&gt;$B$9),"",IF(COUNTIFS(BD!$B$3:$B$5001,G$138,BD!$A$3:$A$5001,"&gt;="&amp;$C$7,BD!$A$3:$A$5001,"&lt;="&amp;$B148,BD!$W$3:$W$5001,"&lt;&gt;")=0,"",SUMIFS(BD!$W$3:$W$5001,BD!$B$3:$B$5001,G$138,BD!$A$3:$A$5001,_xlfn.MAXIFS(BD!$A$3:$A$5001,BD!$B$3:$B$5001,G$138,BD!$A$3:$A$5001,"&gt;="&amp;$C$7,BD!$A$3:$A$5001,"&lt;="&amp;$B148,BD!$W$3:$W$5001,"&lt;&gt;"))))</f>
        <v/>
      </c>
      <c r="H148" s="42" t="str">
        <f>IF(OR($B148="",$A148&gt;$B$9),"",IF(COUNTIFS(BD!$B$3:$B$5001,H$138,BD!$A$3:$A$5001,"&gt;="&amp;$C$7,BD!$A$3:$A$5001,"&lt;="&amp;$B148,BD!$W$3:$W$5001,"&lt;&gt;")=0,"",SUMIFS(BD!$W$3:$W$5001,BD!$B$3:$B$5001,H$138,BD!$A$3:$A$5001,_xlfn.MAXIFS(BD!$A$3:$A$5001,BD!$B$3:$B$5001,H$138,BD!$A$3:$A$5001,"&gt;="&amp;$C$7,BD!$A$3:$A$5001,"&lt;="&amp;$B148,BD!$W$3:$W$5001,"&lt;&gt;"))))</f>
        <v/>
      </c>
      <c r="I148" s="42" t="str">
        <f>IF(OR($B148="",$A148&gt;$B$9),"",IF(COUNTIFS(BD!$B$3:$B$5001,I$138,BD!$A$3:$A$5001,"&gt;="&amp;$C$7,BD!$A$3:$A$5001,"&lt;="&amp;$B148,BD!$W$3:$W$5001,"&lt;&gt;")=0,"",SUMIFS(BD!$W$3:$W$5001,BD!$B$3:$B$5001,I$138,BD!$A$3:$A$5001,_xlfn.MAXIFS(BD!$A$3:$A$5001,BD!$B$3:$B$5001,I$138,BD!$A$3:$A$5001,"&gt;="&amp;$C$7,BD!$A$3:$A$5001,"&lt;="&amp;$B148,BD!$W$3:$W$5001,"&lt;&gt;"))))</f>
        <v/>
      </c>
      <c r="J148" s="42" t="str">
        <f>IF(OR($B148="",$A148&gt;$B$9),"",IF(COUNTIFS(BD!$B$3:$B$5001,J$138,BD!$A$3:$A$5001,"&gt;="&amp;$C$7,BD!$A$3:$A$5001,"&lt;="&amp;$B148,BD!$W$3:$W$5001,"&lt;&gt;")=0,"",SUMIFS(BD!$W$3:$W$5001,BD!$B$3:$B$5001,J$138,BD!$A$3:$A$5001,_xlfn.MAXIFS(BD!$A$3:$A$5001,BD!$B$3:$B$5001,J$138,BD!$A$3:$A$5001,"&gt;="&amp;$C$7,BD!$A$3:$A$5001,"&lt;="&amp;$B148,BD!$W$3:$W$5001,"&lt;&gt;"))))</f>
        <v/>
      </c>
      <c r="K148" s="42" t="str">
        <f>IF(OR($B148="",$A148&gt;$B$9),"",IF(COUNTIFS(BD!$B$3:$B$5001,K$138,BD!$A$3:$A$5001,"&gt;="&amp;$C$7,BD!$A$3:$A$5001,"&lt;="&amp;$B148,BD!$W$3:$W$5001,"&lt;&gt;")=0,"",SUMIFS(BD!$W$3:$W$5001,BD!$B$3:$B$5001,K$138,BD!$A$3:$A$5001,_xlfn.MAXIFS(BD!$A$3:$A$5001,BD!$B$3:$B$5001,K$138,BD!$A$3:$A$5001,"&gt;="&amp;$C$7,BD!$A$3:$A$5001,"&lt;="&amp;$B148,BD!$W$3:$W$5001,"&lt;&gt;"))))</f>
        <v/>
      </c>
    </row>
    <row r="149">
      <c r="A149" s="40">
        <v>11</v>
      </c>
      <c r="B149" s="41">
        <f>$B$22</f>
        <v>46306</v>
      </c>
      <c r="C149" s="42" t="str">
        <f>IF(OR($B149="",$A149&gt;$B$9),"",IF(COUNTIFS(BD!$B$3:$B$5001,C$138,BD!$A$3:$A$5001,"&gt;="&amp;$C$7,BD!$A$3:$A$5001,"&lt;="&amp;$B149,BD!$W$3:$W$5001,"&lt;&gt;")=0,"",SUMIFS(BD!$W$3:$W$5001,BD!$B$3:$B$5001,C$138,BD!$A$3:$A$5001,_xlfn.MAXIFS(BD!$A$3:$A$5001,BD!$B$3:$B$5001,C$138,BD!$A$3:$A$5001,"&gt;="&amp;$C$7,BD!$A$3:$A$5001,"&lt;="&amp;$B149,BD!$W$3:$W$5001,"&lt;&gt;"))))</f>
        <v/>
      </c>
      <c r="D149" s="42" t="str">
        <f>IF(OR($B149="",$A149&gt;$B$9),"",IF(COUNTIFS(BD!$B$3:$B$5001,D$138,BD!$A$3:$A$5001,"&gt;="&amp;$C$7,BD!$A$3:$A$5001,"&lt;="&amp;$B149,BD!$W$3:$W$5001,"&lt;&gt;")=0,"",SUMIFS(BD!$W$3:$W$5001,BD!$B$3:$B$5001,D$138,BD!$A$3:$A$5001,_xlfn.MAXIFS(BD!$A$3:$A$5001,BD!$B$3:$B$5001,D$138,BD!$A$3:$A$5001,"&gt;="&amp;$C$7,BD!$A$3:$A$5001,"&lt;="&amp;$B149,BD!$W$3:$W$5001,"&lt;&gt;"))))</f>
        <v/>
      </c>
      <c r="E149" s="42" t="str">
        <f>IF(OR($B149="",$A149&gt;$B$9),"",IF(COUNTIFS(BD!$B$3:$B$5001,E$138,BD!$A$3:$A$5001,"&gt;="&amp;$C$7,BD!$A$3:$A$5001,"&lt;="&amp;$B149,BD!$W$3:$W$5001,"&lt;&gt;")=0,"",SUMIFS(BD!$W$3:$W$5001,BD!$B$3:$B$5001,E$138,BD!$A$3:$A$5001,_xlfn.MAXIFS(BD!$A$3:$A$5001,BD!$B$3:$B$5001,E$138,BD!$A$3:$A$5001,"&gt;="&amp;$C$7,BD!$A$3:$A$5001,"&lt;="&amp;$B149,BD!$W$3:$W$5001,"&lt;&gt;"))))</f>
        <v/>
      </c>
      <c r="F149" s="42" t="str">
        <f>IF(OR($B149="",$A149&gt;$B$9),"",IF(COUNTIFS(BD!$B$3:$B$5001,F$138,BD!$A$3:$A$5001,"&gt;="&amp;$C$7,BD!$A$3:$A$5001,"&lt;="&amp;$B149,BD!$W$3:$W$5001,"&lt;&gt;")=0,"",SUMIFS(BD!$W$3:$W$5001,BD!$B$3:$B$5001,F$138,BD!$A$3:$A$5001,_xlfn.MAXIFS(BD!$A$3:$A$5001,BD!$B$3:$B$5001,F$138,BD!$A$3:$A$5001,"&gt;="&amp;$C$7,BD!$A$3:$A$5001,"&lt;="&amp;$B149,BD!$W$3:$W$5001,"&lt;&gt;"))))</f>
        <v/>
      </c>
      <c r="G149" s="42" t="str">
        <f>IF(OR($B149="",$A149&gt;$B$9),"",IF(COUNTIFS(BD!$B$3:$B$5001,G$138,BD!$A$3:$A$5001,"&gt;="&amp;$C$7,BD!$A$3:$A$5001,"&lt;="&amp;$B149,BD!$W$3:$W$5001,"&lt;&gt;")=0,"",SUMIFS(BD!$W$3:$W$5001,BD!$B$3:$B$5001,G$138,BD!$A$3:$A$5001,_xlfn.MAXIFS(BD!$A$3:$A$5001,BD!$B$3:$B$5001,G$138,BD!$A$3:$A$5001,"&gt;="&amp;$C$7,BD!$A$3:$A$5001,"&lt;="&amp;$B149,BD!$W$3:$W$5001,"&lt;&gt;"))))</f>
        <v/>
      </c>
      <c r="H149" s="42" t="str">
        <f>IF(OR($B149="",$A149&gt;$B$9),"",IF(COUNTIFS(BD!$B$3:$B$5001,H$138,BD!$A$3:$A$5001,"&gt;="&amp;$C$7,BD!$A$3:$A$5001,"&lt;="&amp;$B149,BD!$W$3:$W$5001,"&lt;&gt;")=0,"",SUMIFS(BD!$W$3:$W$5001,BD!$B$3:$B$5001,H$138,BD!$A$3:$A$5001,_xlfn.MAXIFS(BD!$A$3:$A$5001,BD!$B$3:$B$5001,H$138,BD!$A$3:$A$5001,"&gt;="&amp;$C$7,BD!$A$3:$A$5001,"&lt;="&amp;$B149,BD!$W$3:$W$5001,"&lt;&gt;"))))</f>
        <v/>
      </c>
      <c r="I149" s="42" t="str">
        <f>IF(OR($B149="",$A149&gt;$B$9),"",IF(COUNTIFS(BD!$B$3:$B$5001,I$138,BD!$A$3:$A$5001,"&gt;="&amp;$C$7,BD!$A$3:$A$5001,"&lt;="&amp;$B149,BD!$W$3:$W$5001,"&lt;&gt;")=0,"",SUMIFS(BD!$W$3:$W$5001,BD!$B$3:$B$5001,I$138,BD!$A$3:$A$5001,_xlfn.MAXIFS(BD!$A$3:$A$5001,BD!$B$3:$B$5001,I$138,BD!$A$3:$A$5001,"&gt;="&amp;$C$7,BD!$A$3:$A$5001,"&lt;="&amp;$B149,BD!$W$3:$W$5001,"&lt;&gt;"))))</f>
        <v/>
      </c>
      <c r="J149" s="42" t="str">
        <f>IF(OR($B149="",$A149&gt;$B$9),"",IF(COUNTIFS(BD!$B$3:$B$5001,J$138,BD!$A$3:$A$5001,"&gt;="&amp;$C$7,BD!$A$3:$A$5001,"&lt;="&amp;$B149,BD!$W$3:$W$5001,"&lt;&gt;")=0,"",SUMIFS(BD!$W$3:$W$5001,BD!$B$3:$B$5001,J$138,BD!$A$3:$A$5001,_xlfn.MAXIFS(BD!$A$3:$A$5001,BD!$B$3:$B$5001,J$138,BD!$A$3:$A$5001,"&gt;="&amp;$C$7,BD!$A$3:$A$5001,"&lt;="&amp;$B149,BD!$W$3:$W$5001,"&lt;&gt;"))))</f>
        <v/>
      </c>
      <c r="K149" s="42" t="str">
        <f>IF(OR($B149="",$A149&gt;$B$9),"",IF(COUNTIFS(BD!$B$3:$B$5001,K$138,BD!$A$3:$A$5001,"&gt;="&amp;$C$7,BD!$A$3:$A$5001,"&lt;="&amp;$B149,BD!$W$3:$W$5001,"&lt;&gt;")=0,"",SUMIFS(BD!$W$3:$W$5001,BD!$B$3:$B$5001,K$138,BD!$A$3:$A$5001,_xlfn.MAXIFS(BD!$A$3:$A$5001,BD!$B$3:$B$5001,K$138,BD!$A$3:$A$5001,"&gt;="&amp;$C$7,BD!$A$3:$A$5001,"&lt;="&amp;$B149,BD!$W$3:$W$5001,"&lt;&gt;"))))</f>
        <v/>
      </c>
    </row>
    <row r="150">
      <c r="A150" s="40">
        <v>12</v>
      </c>
      <c r="B150" s="41">
        <f>$B$23</f>
        <v>46307</v>
      </c>
      <c r="C150" s="42" t="str">
        <f>IF(OR($B150="",$A150&gt;$B$9),"",IF(COUNTIFS(BD!$B$3:$B$5001,C$138,BD!$A$3:$A$5001,"&gt;="&amp;$C$7,BD!$A$3:$A$5001,"&lt;="&amp;$B150,BD!$W$3:$W$5001,"&lt;&gt;")=0,"",SUMIFS(BD!$W$3:$W$5001,BD!$B$3:$B$5001,C$138,BD!$A$3:$A$5001,_xlfn.MAXIFS(BD!$A$3:$A$5001,BD!$B$3:$B$5001,C$138,BD!$A$3:$A$5001,"&gt;="&amp;$C$7,BD!$A$3:$A$5001,"&lt;="&amp;$B150,BD!$W$3:$W$5001,"&lt;&gt;"))))</f>
        <v/>
      </c>
      <c r="D150" s="42" t="str">
        <f>IF(OR($B150="",$A150&gt;$B$9),"",IF(COUNTIFS(BD!$B$3:$B$5001,D$138,BD!$A$3:$A$5001,"&gt;="&amp;$C$7,BD!$A$3:$A$5001,"&lt;="&amp;$B150,BD!$W$3:$W$5001,"&lt;&gt;")=0,"",SUMIFS(BD!$W$3:$W$5001,BD!$B$3:$B$5001,D$138,BD!$A$3:$A$5001,_xlfn.MAXIFS(BD!$A$3:$A$5001,BD!$B$3:$B$5001,D$138,BD!$A$3:$A$5001,"&gt;="&amp;$C$7,BD!$A$3:$A$5001,"&lt;="&amp;$B150,BD!$W$3:$W$5001,"&lt;&gt;"))))</f>
        <v/>
      </c>
      <c r="E150" s="42" t="str">
        <f>IF(OR($B150="",$A150&gt;$B$9),"",IF(COUNTIFS(BD!$B$3:$B$5001,E$138,BD!$A$3:$A$5001,"&gt;="&amp;$C$7,BD!$A$3:$A$5001,"&lt;="&amp;$B150,BD!$W$3:$W$5001,"&lt;&gt;")=0,"",SUMIFS(BD!$W$3:$W$5001,BD!$B$3:$B$5001,E$138,BD!$A$3:$A$5001,_xlfn.MAXIFS(BD!$A$3:$A$5001,BD!$B$3:$B$5001,E$138,BD!$A$3:$A$5001,"&gt;="&amp;$C$7,BD!$A$3:$A$5001,"&lt;="&amp;$B150,BD!$W$3:$W$5001,"&lt;&gt;"))))</f>
        <v/>
      </c>
      <c r="F150" s="42" t="str">
        <f>IF(OR($B150="",$A150&gt;$B$9),"",IF(COUNTIFS(BD!$B$3:$B$5001,F$138,BD!$A$3:$A$5001,"&gt;="&amp;$C$7,BD!$A$3:$A$5001,"&lt;="&amp;$B150,BD!$W$3:$W$5001,"&lt;&gt;")=0,"",SUMIFS(BD!$W$3:$W$5001,BD!$B$3:$B$5001,F$138,BD!$A$3:$A$5001,_xlfn.MAXIFS(BD!$A$3:$A$5001,BD!$B$3:$B$5001,F$138,BD!$A$3:$A$5001,"&gt;="&amp;$C$7,BD!$A$3:$A$5001,"&lt;="&amp;$B150,BD!$W$3:$W$5001,"&lt;&gt;"))))</f>
        <v/>
      </c>
      <c r="G150" s="42" t="str">
        <f>IF(OR($B150="",$A150&gt;$B$9),"",IF(COUNTIFS(BD!$B$3:$B$5001,G$138,BD!$A$3:$A$5001,"&gt;="&amp;$C$7,BD!$A$3:$A$5001,"&lt;="&amp;$B150,BD!$W$3:$W$5001,"&lt;&gt;")=0,"",SUMIFS(BD!$W$3:$W$5001,BD!$B$3:$B$5001,G$138,BD!$A$3:$A$5001,_xlfn.MAXIFS(BD!$A$3:$A$5001,BD!$B$3:$B$5001,G$138,BD!$A$3:$A$5001,"&gt;="&amp;$C$7,BD!$A$3:$A$5001,"&lt;="&amp;$B150,BD!$W$3:$W$5001,"&lt;&gt;"))))</f>
        <v/>
      </c>
      <c r="H150" s="42" t="str">
        <f>IF(OR($B150="",$A150&gt;$B$9),"",IF(COUNTIFS(BD!$B$3:$B$5001,H$138,BD!$A$3:$A$5001,"&gt;="&amp;$C$7,BD!$A$3:$A$5001,"&lt;="&amp;$B150,BD!$W$3:$W$5001,"&lt;&gt;")=0,"",SUMIFS(BD!$W$3:$W$5001,BD!$B$3:$B$5001,H$138,BD!$A$3:$A$5001,_xlfn.MAXIFS(BD!$A$3:$A$5001,BD!$B$3:$B$5001,H$138,BD!$A$3:$A$5001,"&gt;="&amp;$C$7,BD!$A$3:$A$5001,"&lt;="&amp;$B150,BD!$W$3:$W$5001,"&lt;&gt;"))))</f>
        <v/>
      </c>
      <c r="I150" s="42" t="str">
        <f>IF(OR($B150="",$A150&gt;$B$9),"",IF(COUNTIFS(BD!$B$3:$B$5001,I$138,BD!$A$3:$A$5001,"&gt;="&amp;$C$7,BD!$A$3:$A$5001,"&lt;="&amp;$B150,BD!$W$3:$W$5001,"&lt;&gt;")=0,"",SUMIFS(BD!$W$3:$W$5001,BD!$B$3:$B$5001,I$138,BD!$A$3:$A$5001,_xlfn.MAXIFS(BD!$A$3:$A$5001,BD!$B$3:$B$5001,I$138,BD!$A$3:$A$5001,"&gt;="&amp;$C$7,BD!$A$3:$A$5001,"&lt;="&amp;$B150,BD!$W$3:$W$5001,"&lt;&gt;"))))</f>
        <v/>
      </c>
      <c r="J150" s="42" t="str">
        <f>IF(OR($B150="",$A150&gt;$B$9),"",IF(COUNTIFS(BD!$B$3:$B$5001,J$138,BD!$A$3:$A$5001,"&gt;="&amp;$C$7,BD!$A$3:$A$5001,"&lt;="&amp;$B150,BD!$W$3:$W$5001,"&lt;&gt;")=0,"",SUMIFS(BD!$W$3:$W$5001,BD!$B$3:$B$5001,J$138,BD!$A$3:$A$5001,_xlfn.MAXIFS(BD!$A$3:$A$5001,BD!$B$3:$B$5001,J$138,BD!$A$3:$A$5001,"&gt;="&amp;$C$7,BD!$A$3:$A$5001,"&lt;="&amp;$B150,BD!$W$3:$W$5001,"&lt;&gt;"))))</f>
        <v/>
      </c>
      <c r="K150" s="42" t="str">
        <f>IF(OR($B150="",$A150&gt;$B$9),"",IF(COUNTIFS(BD!$B$3:$B$5001,K$138,BD!$A$3:$A$5001,"&gt;="&amp;$C$7,BD!$A$3:$A$5001,"&lt;="&amp;$B150,BD!$W$3:$W$5001,"&lt;&gt;")=0,"",SUMIFS(BD!$W$3:$W$5001,BD!$B$3:$B$5001,K$138,BD!$A$3:$A$5001,_xlfn.MAXIFS(BD!$A$3:$A$5001,BD!$B$3:$B$5001,K$138,BD!$A$3:$A$5001,"&gt;="&amp;$C$7,BD!$A$3:$A$5001,"&lt;="&amp;$B150,BD!$W$3:$W$5001,"&lt;&gt;"))))</f>
        <v/>
      </c>
    </row>
    <row r="151">
      <c r="A151" s="40">
        <v>13</v>
      </c>
      <c r="B151" s="41">
        <f>$B$24</f>
        <v>46308</v>
      </c>
      <c r="C151" s="42" t="str">
        <f>IF(OR($B151="",$A151&gt;$B$9),"",IF(COUNTIFS(BD!$B$3:$B$5001,C$138,BD!$A$3:$A$5001,"&gt;="&amp;$C$7,BD!$A$3:$A$5001,"&lt;="&amp;$B151,BD!$W$3:$W$5001,"&lt;&gt;")=0,"",SUMIFS(BD!$W$3:$W$5001,BD!$B$3:$B$5001,C$138,BD!$A$3:$A$5001,_xlfn.MAXIFS(BD!$A$3:$A$5001,BD!$B$3:$B$5001,C$138,BD!$A$3:$A$5001,"&gt;="&amp;$C$7,BD!$A$3:$A$5001,"&lt;="&amp;$B151,BD!$W$3:$W$5001,"&lt;&gt;"))))</f>
        <v/>
      </c>
      <c r="D151" s="42" t="str">
        <f>IF(OR($B151="",$A151&gt;$B$9),"",IF(COUNTIFS(BD!$B$3:$B$5001,D$138,BD!$A$3:$A$5001,"&gt;="&amp;$C$7,BD!$A$3:$A$5001,"&lt;="&amp;$B151,BD!$W$3:$W$5001,"&lt;&gt;")=0,"",SUMIFS(BD!$W$3:$W$5001,BD!$B$3:$B$5001,D$138,BD!$A$3:$A$5001,_xlfn.MAXIFS(BD!$A$3:$A$5001,BD!$B$3:$B$5001,D$138,BD!$A$3:$A$5001,"&gt;="&amp;$C$7,BD!$A$3:$A$5001,"&lt;="&amp;$B151,BD!$W$3:$W$5001,"&lt;&gt;"))))</f>
        <v/>
      </c>
      <c r="E151" s="42" t="str">
        <f>IF(OR($B151="",$A151&gt;$B$9),"",IF(COUNTIFS(BD!$B$3:$B$5001,E$138,BD!$A$3:$A$5001,"&gt;="&amp;$C$7,BD!$A$3:$A$5001,"&lt;="&amp;$B151,BD!$W$3:$W$5001,"&lt;&gt;")=0,"",SUMIFS(BD!$W$3:$W$5001,BD!$B$3:$B$5001,E$138,BD!$A$3:$A$5001,_xlfn.MAXIFS(BD!$A$3:$A$5001,BD!$B$3:$B$5001,E$138,BD!$A$3:$A$5001,"&gt;="&amp;$C$7,BD!$A$3:$A$5001,"&lt;="&amp;$B151,BD!$W$3:$W$5001,"&lt;&gt;"))))</f>
        <v/>
      </c>
      <c r="F151" s="42" t="str">
        <f>IF(OR($B151="",$A151&gt;$B$9),"",IF(COUNTIFS(BD!$B$3:$B$5001,F$138,BD!$A$3:$A$5001,"&gt;="&amp;$C$7,BD!$A$3:$A$5001,"&lt;="&amp;$B151,BD!$W$3:$W$5001,"&lt;&gt;")=0,"",SUMIFS(BD!$W$3:$W$5001,BD!$B$3:$B$5001,F$138,BD!$A$3:$A$5001,_xlfn.MAXIFS(BD!$A$3:$A$5001,BD!$B$3:$B$5001,F$138,BD!$A$3:$A$5001,"&gt;="&amp;$C$7,BD!$A$3:$A$5001,"&lt;="&amp;$B151,BD!$W$3:$W$5001,"&lt;&gt;"))))</f>
        <v/>
      </c>
      <c r="G151" s="42" t="str">
        <f>IF(OR($B151="",$A151&gt;$B$9),"",IF(COUNTIFS(BD!$B$3:$B$5001,G$138,BD!$A$3:$A$5001,"&gt;="&amp;$C$7,BD!$A$3:$A$5001,"&lt;="&amp;$B151,BD!$W$3:$W$5001,"&lt;&gt;")=0,"",SUMIFS(BD!$W$3:$W$5001,BD!$B$3:$B$5001,G$138,BD!$A$3:$A$5001,_xlfn.MAXIFS(BD!$A$3:$A$5001,BD!$B$3:$B$5001,G$138,BD!$A$3:$A$5001,"&gt;="&amp;$C$7,BD!$A$3:$A$5001,"&lt;="&amp;$B151,BD!$W$3:$W$5001,"&lt;&gt;"))))</f>
        <v/>
      </c>
      <c r="H151" s="42" t="str">
        <f>IF(OR($B151="",$A151&gt;$B$9),"",IF(COUNTIFS(BD!$B$3:$B$5001,H$138,BD!$A$3:$A$5001,"&gt;="&amp;$C$7,BD!$A$3:$A$5001,"&lt;="&amp;$B151,BD!$W$3:$W$5001,"&lt;&gt;")=0,"",SUMIFS(BD!$W$3:$W$5001,BD!$B$3:$B$5001,H$138,BD!$A$3:$A$5001,_xlfn.MAXIFS(BD!$A$3:$A$5001,BD!$B$3:$B$5001,H$138,BD!$A$3:$A$5001,"&gt;="&amp;$C$7,BD!$A$3:$A$5001,"&lt;="&amp;$B151,BD!$W$3:$W$5001,"&lt;&gt;"))))</f>
        <v/>
      </c>
      <c r="I151" s="42" t="str">
        <f>IF(OR($B151="",$A151&gt;$B$9),"",IF(COUNTIFS(BD!$B$3:$B$5001,I$138,BD!$A$3:$A$5001,"&gt;="&amp;$C$7,BD!$A$3:$A$5001,"&lt;="&amp;$B151,BD!$W$3:$W$5001,"&lt;&gt;")=0,"",SUMIFS(BD!$W$3:$W$5001,BD!$B$3:$B$5001,I$138,BD!$A$3:$A$5001,_xlfn.MAXIFS(BD!$A$3:$A$5001,BD!$B$3:$B$5001,I$138,BD!$A$3:$A$5001,"&gt;="&amp;$C$7,BD!$A$3:$A$5001,"&lt;="&amp;$B151,BD!$W$3:$W$5001,"&lt;&gt;"))))</f>
        <v/>
      </c>
      <c r="J151" s="42" t="str">
        <f>IF(OR($B151="",$A151&gt;$B$9),"",IF(COUNTIFS(BD!$B$3:$B$5001,J$138,BD!$A$3:$A$5001,"&gt;="&amp;$C$7,BD!$A$3:$A$5001,"&lt;="&amp;$B151,BD!$W$3:$W$5001,"&lt;&gt;")=0,"",SUMIFS(BD!$W$3:$W$5001,BD!$B$3:$B$5001,J$138,BD!$A$3:$A$5001,_xlfn.MAXIFS(BD!$A$3:$A$5001,BD!$B$3:$B$5001,J$138,BD!$A$3:$A$5001,"&gt;="&amp;$C$7,BD!$A$3:$A$5001,"&lt;="&amp;$B151,BD!$W$3:$W$5001,"&lt;&gt;"))))</f>
        <v/>
      </c>
      <c r="K151" s="42" t="str">
        <f>IF(OR($B151="",$A151&gt;$B$9),"",IF(COUNTIFS(BD!$B$3:$B$5001,K$138,BD!$A$3:$A$5001,"&gt;="&amp;$C$7,BD!$A$3:$A$5001,"&lt;="&amp;$B151,BD!$W$3:$W$5001,"&lt;&gt;")=0,"",SUMIFS(BD!$W$3:$W$5001,BD!$B$3:$B$5001,K$138,BD!$A$3:$A$5001,_xlfn.MAXIFS(BD!$A$3:$A$5001,BD!$B$3:$B$5001,K$138,BD!$A$3:$A$5001,"&gt;="&amp;$C$7,BD!$A$3:$A$5001,"&lt;="&amp;$B151,BD!$W$3:$W$5001,"&lt;&gt;"))))</f>
        <v/>
      </c>
    </row>
    <row r="152">
      <c r="A152" s="40">
        <v>14</v>
      </c>
      <c r="B152" s="41">
        <f>$B$25</f>
        <v>46309</v>
      </c>
      <c r="C152" s="42" t="str">
        <f>IF(OR($B152="",$A152&gt;$B$9),"",IF(COUNTIFS(BD!$B$3:$B$5001,C$138,BD!$A$3:$A$5001,"&gt;="&amp;$C$7,BD!$A$3:$A$5001,"&lt;="&amp;$B152,BD!$W$3:$W$5001,"&lt;&gt;")=0,"",SUMIFS(BD!$W$3:$W$5001,BD!$B$3:$B$5001,C$138,BD!$A$3:$A$5001,_xlfn.MAXIFS(BD!$A$3:$A$5001,BD!$B$3:$B$5001,C$138,BD!$A$3:$A$5001,"&gt;="&amp;$C$7,BD!$A$3:$A$5001,"&lt;="&amp;$B152,BD!$W$3:$W$5001,"&lt;&gt;"))))</f>
        <v/>
      </c>
      <c r="D152" s="42" t="str">
        <f>IF(OR($B152="",$A152&gt;$B$9),"",IF(COUNTIFS(BD!$B$3:$B$5001,D$138,BD!$A$3:$A$5001,"&gt;="&amp;$C$7,BD!$A$3:$A$5001,"&lt;="&amp;$B152,BD!$W$3:$W$5001,"&lt;&gt;")=0,"",SUMIFS(BD!$W$3:$W$5001,BD!$B$3:$B$5001,D$138,BD!$A$3:$A$5001,_xlfn.MAXIFS(BD!$A$3:$A$5001,BD!$B$3:$B$5001,D$138,BD!$A$3:$A$5001,"&gt;="&amp;$C$7,BD!$A$3:$A$5001,"&lt;="&amp;$B152,BD!$W$3:$W$5001,"&lt;&gt;"))))</f>
        <v/>
      </c>
      <c r="E152" s="42" t="str">
        <f>IF(OR($B152="",$A152&gt;$B$9),"",IF(COUNTIFS(BD!$B$3:$B$5001,E$138,BD!$A$3:$A$5001,"&gt;="&amp;$C$7,BD!$A$3:$A$5001,"&lt;="&amp;$B152,BD!$W$3:$W$5001,"&lt;&gt;")=0,"",SUMIFS(BD!$W$3:$W$5001,BD!$B$3:$B$5001,E$138,BD!$A$3:$A$5001,_xlfn.MAXIFS(BD!$A$3:$A$5001,BD!$B$3:$B$5001,E$138,BD!$A$3:$A$5001,"&gt;="&amp;$C$7,BD!$A$3:$A$5001,"&lt;="&amp;$B152,BD!$W$3:$W$5001,"&lt;&gt;"))))</f>
        <v/>
      </c>
      <c r="F152" s="42" t="str">
        <f>IF(OR($B152="",$A152&gt;$B$9),"",IF(COUNTIFS(BD!$B$3:$B$5001,F$138,BD!$A$3:$A$5001,"&gt;="&amp;$C$7,BD!$A$3:$A$5001,"&lt;="&amp;$B152,BD!$W$3:$W$5001,"&lt;&gt;")=0,"",SUMIFS(BD!$W$3:$W$5001,BD!$B$3:$B$5001,F$138,BD!$A$3:$A$5001,_xlfn.MAXIFS(BD!$A$3:$A$5001,BD!$B$3:$B$5001,F$138,BD!$A$3:$A$5001,"&gt;="&amp;$C$7,BD!$A$3:$A$5001,"&lt;="&amp;$B152,BD!$W$3:$W$5001,"&lt;&gt;"))))</f>
        <v/>
      </c>
      <c r="G152" s="42" t="str">
        <f>IF(OR($B152="",$A152&gt;$B$9),"",IF(COUNTIFS(BD!$B$3:$B$5001,G$138,BD!$A$3:$A$5001,"&gt;="&amp;$C$7,BD!$A$3:$A$5001,"&lt;="&amp;$B152,BD!$W$3:$W$5001,"&lt;&gt;")=0,"",SUMIFS(BD!$W$3:$W$5001,BD!$B$3:$B$5001,G$138,BD!$A$3:$A$5001,_xlfn.MAXIFS(BD!$A$3:$A$5001,BD!$B$3:$B$5001,G$138,BD!$A$3:$A$5001,"&gt;="&amp;$C$7,BD!$A$3:$A$5001,"&lt;="&amp;$B152,BD!$W$3:$W$5001,"&lt;&gt;"))))</f>
        <v/>
      </c>
      <c r="H152" s="42" t="str">
        <f>IF(OR($B152="",$A152&gt;$B$9),"",IF(COUNTIFS(BD!$B$3:$B$5001,H$138,BD!$A$3:$A$5001,"&gt;="&amp;$C$7,BD!$A$3:$A$5001,"&lt;="&amp;$B152,BD!$W$3:$W$5001,"&lt;&gt;")=0,"",SUMIFS(BD!$W$3:$W$5001,BD!$B$3:$B$5001,H$138,BD!$A$3:$A$5001,_xlfn.MAXIFS(BD!$A$3:$A$5001,BD!$B$3:$B$5001,H$138,BD!$A$3:$A$5001,"&gt;="&amp;$C$7,BD!$A$3:$A$5001,"&lt;="&amp;$B152,BD!$W$3:$W$5001,"&lt;&gt;"))))</f>
        <v/>
      </c>
      <c r="I152" s="42" t="str">
        <f>IF(OR($B152="",$A152&gt;$B$9),"",IF(COUNTIFS(BD!$B$3:$B$5001,I$138,BD!$A$3:$A$5001,"&gt;="&amp;$C$7,BD!$A$3:$A$5001,"&lt;="&amp;$B152,BD!$W$3:$W$5001,"&lt;&gt;")=0,"",SUMIFS(BD!$W$3:$W$5001,BD!$B$3:$B$5001,I$138,BD!$A$3:$A$5001,_xlfn.MAXIFS(BD!$A$3:$A$5001,BD!$B$3:$B$5001,I$138,BD!$A$3:$A$5001,"&gt;="&amp;$C$7,BD!$A$3:$A$5001,"&lt;="&amp;$B152,BD!$W$3:$W$5001,"&lt;&gt;"))))</f>
        <v/>
      </c>
      <c r="J152" s="42" t="str">
        <f>IF(OR($B152="",$A152&gt;$B$9),"",IF(COUNTIFS(BD!$B$3:$B$5001,J$138,BD!$A$3:$A$5001,"&gt;="&amp;$C$7,BD!$A$3:$A$5001,"&lt;="&amp;$B152,BD!$W$3:$W$5001,"&lt;&gt;")=0,"",SUMIFS(BD!$W$3:$W$5001,BD!$B$3:$B$5001,J$138,BD!$A$3:$A$5001,_xlfn.MAXIFS(BD!$A$3:$A$5001,BD!$B$3:$B$5001,J$138,BD!$A$3:$A$5001,"&gt;="&amp;$C$7,BD!$A$3:$A$5001,"&lt;="&amp;$B152,BD!$W$3:$W$5001,"&lt;&gt;"))))</f>
        <v/>
      </c>
      <c r="K152" s="42" t="str">
        <f>IF(OR($B152="",$A152&gt;$B$9),"",IF(COUNTIFS(BD!$B$3:$B$5001,K$138,BD!$A$3:$A$5001,"&gt;="&amp;$C$7,BD!$A$3:$A$5001,"&lt;="&amp;$B152,BD!$W$3:$W$5001,"&lt;&gt;")=0,"",SUMIFS(BD!$W$3:$W$5001,BD!$B$3:$B$5001,K$138,BD!$A$3:$A$5001,_xlfn.MAXIFS(BD!$A$3:$A$5001,BD!$B$3:$B$5001,K$138,BD!$A$3:$A$5001,"&gt;="&amp;$C$7,BD!$A$3:$A$5001,"&lt;="&amp;$B152,BD!$W$3:$W$5001,"&lt;&gt;"))))</f>
        <v/>
      </c>
    </row>
    <row r="153">
      <c r="A153" s="40">
        <v>15</v>
      </c>
      <c r="B153" s="41">
        <f>$B$26</f>
        <v>46310</v>
      </c>
      <c r="C153" s="42" t="str">
        <f>IF(OR($B153="",$A153&gt;$B$9),"",IF(COUNTIFS(BD!$B$3:$B$5001,C$138,BD!$A$3:$A$5001,"&gt;="&amp;$C$7,BD!$A$3:$A$5001,"&lt;="&amp;$B153,BD!$W$3:$W$5001,"&lt;&gt;")=0,"",SUMIFS(BD!$W$3:$W$5001,BD!$B$3:$B$5001,C$138,BD!$A$3:$A$5001,_xlfn.MAXIFS(BD!$A$3:$A$5001,BD!$B$3:$B$5001,C$138,BD!$A$3:$A$5001,"&gt;="&amp;$C$7,BD!$A$3:$A$5001,"&lt;="&amp;$B153,BD!$W$3:$W$5001,"&lt;&gt;"))))</f>
        <v/>
      </c>
      <c r="D153" s="42" t="str">
        <f>IF(OR($B153="",$A153&gt;$B$9),"",IF(COUNTIFS(BD!$B$3:$B$5001,D$138,BD!$A$3:$A$5001,"&gt;="&amp;$C$7,BD!$A$3:$A$5001,"&lt;="&amp;$B153,BD!$W$3:$W$5001,"&lt;&gt;")=0,"",SUMIFS(BD!$W$3:$W$5001,BD!$B$3:$B$5001,D$138,BD!$A$3:$A$5001,_xlfn.MAXIFS(BD!$A$3:$A$5001,BD!$B$3:$B$5001,D$138,BD!$A$3:$A$5001,"&gt;="&amp;$C$7,BD!$A$3:$A$5001,"&lt;="&amp;$B153,BD!$W$3:$W$5001,"&lt;&gt;"))))</f>
        <v/>
      </c>
      <c r="E153" s="42" t="str">
        <f>IF(OR($B153="",$A153&gt;$B$9),"",IF(COUNTIFS(BD!$B$3:$B$5001,E$138,BD!$A$3:$A$5001,"&gt;="&amp;$C$7,BD!$A$3:$A$5001,"&lt;="&amp;$B153,BD!$W$3:$W$5001,"&lt;&gt;")=0,"",SUMIFS(BD!$W$3:$W$5001,BD!$B$3:$B$5001,E$138,BD!$A$3:$A$5001,_xlfn.MAXIFS(BD!$A$3:$A$5001,BD!$B$3:$B$5001,E$138,BD!$A$3:$A$5001,"&gt;="&amp;$C$7,BD!$A$3:$A$5001,"&lt;="&amp;$B153,BD!$W$3:$W$5001,"&lt;&gt;"))))</f>
        <v/>
      </c>
      <c r="F153" s="42" t="str">
        <f>IF(OR($B153="",$A153&gt;$B$9),"",IF(COUNTIFS(BD!$B$3:$B$5001,F$138,BD!$A$3:$A$5001,"&gt;="&amp;$C$7,BD!$A$3:$A$5001,"&lt;="&amp;$B153,BD!$W$3:$W$5001,"&lt;&gt;")=0,"",SUMIFS(BD!$W$3:$W$5001,BD!$B$3:$B$5001,F$138,BD!$A$3:$A$5001,_xlfn.MAXIFS(BD!$A$3:$A$5001,BD!$B$3:$B$5001,F$138,BD!$A$3:$A$5001,"&gt;="&amp;$C$7,BD!$A$3:$A$5001,"&lt;="&amp;$B153,BD!$W$3:$W$5001,"&lt;&gt;"))))</f>
        <v/>
      </c>
      <c r="G153" s="42" t="str">
        <f>IF(OR($B153="",$A153&gt;$B$9),"",IF(COUNTIFS(BD!$B$3:$B$5001,G$138,BD!$A$3:$A$5001,"&gt;="&amp;$C$7,BD!$A$3:$A$5001,"&lt;="&amp;$B153,BD!$W$3:$W$5001,"&lt;&gt;")=0,"",SUMIFS(BD!$W$3:$W$5001,BD!$B$3:$B$5001,G$138,BD!$A$3:$A$5001,_xlfn.MAXIFS(BD!$A$3:$A$5001,BD!$B$3:$B$5001,G$138,BD!$A$3:$A$5001,"&gt;="&amp;$C$7,BD!$A$3:$A$5001,"&lt;="&amp;$B153,BD!$W$3:$W$5001,"&lt;&gt;"))))</f>
        <v/>
      </c>
      <c r="H153" s="42" t="str">
        <f>IF(OR($B153="",$A153&gt;$B$9),"",IF(COUNTIFS(BD!$B$3:$B$5001,H$138,BD!$A$3:$A$5001,"&gt;="&amp;$C$7,BD!$A$3:$A$5001,"&lt;="&amp;$B153,BD!$W$3:$W$5001,"&lt;&gt;")=0,"",SUMIFS(BD!$W$3:$W$5001,BD!$B$3:$B$5001,H$138,BD!$A$3:$A$5001,_xlfn.MAXIFS(BD!$A$3:$A$5001,BD!$B$3:$B$5001,H$138,BD!$A$3:$A$5001,"&gt;="&amp;$C$7,BD!$A$3:$A$5001,"&lt;="&amp;$B153,BD!$W$3:$W$5001,"&lt;&gt;"))))</f>
        <v/>
      </c>
      <c r="I153" s="42" t="str">
        <f>IF(OR($B153="",$A153&gt;$B$9),"",IF(COUNTIFS(BD!$B$3:$B$5001,I$138,BD!$A$3:$A$5001,"&gt;="&amp;$C$7,BD!$A$3:$A$5001,"&lt;="&amp;$B153,BD!$W$3:$W$5001,"&lt;&gt;")=0,"",SUMIFS(BD!$W$3:$W$5001,BD!$B$3:$B$5001,I$138,BD!$A$3:$A$5001,_xlfn.MAXIFS(BD!$A$3:$A$5001,BD!$B$3:$B$5001,I$138,BD!$A$3:$A$5001,"&gt;="&amp;$C$7,BD!$A$3:$A$5001,"&lt;="&amp;$B153,BD!$W$3:$W$5001,"&lt;&gt;"))))</f>
        <v/>
      </c>
      <c r="J153" s="42" t="str">
        <f>IF(OR($B153="",$A153&gt;$B$9),"",IF(COUNTIFS(BD!$B$3:$B$5001,J$138,BD!$A$3:$A$5001,"&gt;="&amp;$C$7,BD!$A$3:$A$5001,"&lt;="&amp;$B153,BD!$W$3:$W$5001,"&lt;&gt;")=0,"",SUMIFS(BD!$W$3:$W$5001,BD!$B$3:$B$5001,J$138,BD!$A$3:$A$5001,_xlfn.MAXIFS(BD!$A$3:$A$5001,BD!$B$3:$B$5001,J$138,BD!$A$3:$A$5001,"&gt;="&amp;$C$7,BD!$A$3:$A$5001,"&lt;="&amp;$B153,BD!$W$3:$W$5001,"&lt;&gt;"))))</f>
        <v/>
      </c>
      <c r="K153" s="42" t="str">
        <f>IF(OR($B153="",$A153&gt;$B$9),"",IF(COUNTIFS(BD!$B$3:$B$5001,K$138,BD!$A$3:$A$5001,"&gt;="&amp;$C$7,BD!$A$3:$A$5001,"&lt;="&amp;$B153,BD!$W$3:$W$5001,"&lt;&gt;")=0,"",SUMIFS(BD!$W$3:$W$5001,BD!$B$3:$B$5001,K$138,BD!$A$3:$A$5001,_xlfn.MAXIFS(BD!$A$3:$A$5001,BD!$B$3:$B$5001,K$138,BD!$A$3:$A$5001,"&gt;="&amp;$C$7,BD!$A$3:$A$5001,"&lt;="&amp;$B153,BD!$W$3:$W$5001,"&lt;&gt;"))))</f>
        <v/>
      </c>
    </row>
    <row r="154">
      <c r="A154" s="40">
        <v>16</v>
      </c>
      <c r="B154" s="41">
        <f>$B$27</f>
        <v>46311</v>
      </c>
      <c r="C154" s="42" t="str">
        <f>IF(OR($B154="",$A154&gt;$B$9),"",IF(COUNTIFS(BD!$B$3:$B$5001,C$138,BD!$A$3:$A$5001,"&gt;="&amp;$C$7,BD!$A$3:$A$5001,"&lt;="&amp;$B154,BD!$W$3:$W$5001,"&lt;&gt;")=0,"",SUMIFS(BD!$W$3:$W$5001,BD!$B$3:$B$5001,C$138,BD!$A$3:$A$5001,_xlfn.MAXIFS(BD!$A$3:$A$5001,BD!$B$3:$B$5001,C$138,BD!$A$3:$A$5001,"&gt;="&amp;$C$7,BD!$A$3:$A$5001,"&lt;="&amp;$B154,BD!$W$3:$W$5001,"&lt;&gt;"))))</f>
        <v/>
      </c>
      <c r="D154" s="42" t="str">
        <f>IF(OR($B154="",$A154&gt;$B$9),"",IF(COUNTIFS(BD!$B$3:$B$5001,D$138,BD!$A$3:$A$5001,"&gt;="&amp;$C$7,BD!$A$3:$A$5001,"&lt;="&amp;$B154,BD!$W$3:$W$5001,"&lt;&gt;")=0,"",SUMIFS(BD!$W$3:$W$5001,BD!$B$3:$B$5001,D$138,BD!$A$3:$A$5001,_xlfn.MAXIFS(BD!$A$3:$A$5001,BD!$B$3:$B$5001,D$138,BD!$A$3:$A$5001,"&gt;="&amp;$C$7,BD!$A$3:$A$5001,"&lt;="&amp;$B154,BD!$W$3:$W$5001,"&lt;&gt;"))))</f>
        <v/>
      </c>
      <c r="E154" s="42" t="str">
        <f>IF(OR($B154="",$A154&gt;$B$9),"",IF(COUNTIFS(BD!$B$3:$B$5001,E$138,BD!$A$3:$A$5001,"&gt;="&amp;$C$7,BD!$A$3:$A$5001,"&lt;="&amp;$B154,BD!$W$3:$W$5001,"&lt;&gt;")=0,"",SUMIFS(BD!$W$3:$W$5001,BD!$B$3:$B$5001,E$138,BD!$A$3:$A$5001,_xlfn.MAXIFS(BD!$A$3:$A$5001,BD!$B$3:$B$5001,E$138,BD!$A$3:$A$5001,"&gt;="&amp;$C$7,BD!$A$3:$A$5001,"&lt;="&amp;$B154,BD!$W$3:$W$5001,"&lt;&gt;"))))</f>
        <v/>
      </c>
      <c r="F154" s="42" t="str">
        <f>IF(OR($B154="",$A154&gt;$B$9),"",IF(COUNTIFS(BD!$B$3:$B$5001,F$138,BD!$A$3:$A$5001,"&gt;="&amp;$C$7,BD!$A$3:$A$5001,"&lt;="&amp;$B154,BD!$W$3:$W$5001,"&lt;&gt;")=0,"",SUMIFS(BD!$W$3:$W$5001,BD!$B$3:$B$5001,F$138,BD!$A$3:$A$5001,_xlfn.MAXIFS(BD!$A$3:$A$5001,BD!$B$3:$B$5001,F$138,BD!$A$3:$A$5001,"&gt;="&amp;$C$7,BD!$A$3:$A$5001,"&lt;="&amp;$B154,BD!$W$3:$W$5001,"&lt;&gt;"))))</f>
        <v/>
      </c>
      <c r="G154" s="42" t="str">
        <f>IF(OR($B154="",$A154&gt;$B$9),"",IF(COUNTIFS(BD!$B$3:$B$5001,G$138,BD!$A$3:$A$5001,"&gt;="&amp;$C$7,BD!$A$3:$A$5001,"&lt;="&amp;$B154,BD!$W$3:$W$5001,"&lt;&gt;")=0,"",SUMIFS(BD!$W$3:$W$5001,BD!$B$3:$B$5001,G$138,BD!$A$3:$A$5001,_xlfn.MAXIFS(BD!$A$3:$A$5001,BD!$B$3:$B$5001,G$138,BD!$A$3:$A$5001,"&gt;="&amp;$C$7,BD!$A$3:$A$5001,"&lt;="&amp;$B154,BD!$W$3:$W$5001,"&lt;&gt;"))))</f>
        <v/>
      </c>
      <c r="H154" s="42" t="str">
        <f>IF(OR($B154="",$A154&gt;$B$9),"",IF(COUNTIFS(BD!$B$3:$B$5001,H$138,BD!$A$3:$A$5001,"&gt;="&amp;$C$7,BD!$A$3:$A$5001,"&lt;="&amp;$B154,BD!$W$3:$W$5001,"&lt;&gt;")=0,"",SUMIFS(BD!$W$3:$W$5001,BD!$B$3:$B$5001,H$138,BD!$A$3:$A$5001,_xlfn.MAXIFS(BD!$A$3:$A$5001,BD!$B$3:$B$5001,H$138,BD!$A$3:$A$5001,"&gt;="&amp;$C$7,BD!$A$3:$A$5001,"&lt;="&amp;$B154,BD!$W$3:$W$5001,"&lt;&gt;"))))</f>
        <v/>
      </c>
      <c r="I154" s="42" t="str">
        <f>IF(OR($B154="",$A154&gt;$B$9),"",IF(COUNTIFS(BD!$B$3:$B$5001,I$138,BD!$A$3:$A$5001,"&gt;="&amp;$C$7,BD!$A$3:$A$5001,"&lt;="&amp;$B154,BD!$W$3:$W$5001,"&lt;&gt;")=0,"",SUMIFS(BD!$W$3:$W$5001,BD!$B$3:$B$5001,I$138,BD!$A$3:$A$5001,_xlfn.MAXIFS(BD!$A$3:$A$5001,BD!$B$3:$B$5001,I$138,BD!$A$3:$A$5001,"&gt;="&amp;$C$7,BD!$A$3:$A$5001,"&lt;="&amp;$B154,BD!$W$3:$W$5001,"&lt;&gt;"))))</f>
        <v/>
      </c>
      <c r="J154" s="42" t="str">
        <f>IF(OR($B154="",$A154&gt;$B$9),"",IF(COUNTIFS(BD!$B$3:$B$5001,J$138,BD!$A$3:$A$5001,"&gt;="&amp;$C$7,BD!$A$3:$A$5001,"&lt;="&amp;$B154,BD!$W$3:$W$5001,"&lt;&gt;")=0,"",SUMIFS(BD!$W$3:$W$5001,BD!$B$3:$B$5001,J$138,BD!$A$3:$A$5001,_xlfn.MAXIFS(BD!$A$3:$A$5001,BD!$B$3:$B$5001,J$138,BD!$A$3:$A$5001,"&gt;="&amp;$C$7,BD!$A$3:$A$5001,"&lt;="&amp;$B154,BD!$W$3:$W$5001,"&lt;&gt;"))))</f>
        <v/>
      </c>
      <c r="K154" s="42" t="str">
        <f>IF(OR($B154="",$A154&gt;$B$9),"",IF(COUNTIFS(BD!$B$3:$B$5001,K$138,BD!$A$3:$A$5001,"&gt;="&amp;$C$7,BD!$A$3:$A$5001,"&lt;="&amp;$B154,BD!$W$3:$W$5001,"&lt;&gt;")=0,"",SUMIFS(BD!$W$3:$W$5001,BD!$B$3:$B$5001,K$138,BD!$A$3:$A$5001,_xlfn.MAXIFS(BD!$A$3:$A$5001,BD!$B$3:$B$5001,K$138,BD!$A$3:$A$5001,"&gt;="&amp;$C$7,BD!$A$3:$A$5001,"&lt;="&amp;$B154,BD!$W$3:$W$5001,"&lt;&gt;"))))</f>
        <v/>
      </c>
    </row>
    <row r="155">
      <c r="A155" s="40">
        <v>17</v>
      </c>
      <c r="B155" s="41">
        <f>$B$28</f>
        <v>46312</v>
      </c>
      <c r="C155" s="42" t="str">
        <f>IF(OR($B155="",$A155&gt;$B$9),"",IF(COUNTIFS(BD!$B$3:$B$5001,C$138,BD!$A$3:$A$5001,"&gt;="&amp;$C$7,BD!$A$3:$A$5001,"&lt;="&amp;$B155,BD!$W$3:$W$5001,"&lt;&gt;")=0,"",SUMIFS(BD!$W$3:$W$5001,BD!$B$3:$B$5001,C$138,BD!$A$3:$A$5001,_xlfn.MAXIFS(BD!$A$3:$A$5001,BD!$B$3:$B$5001,C$138,BD!$A$3:$A$5001,"&gt;="&amp;$C$7,BD!$A$3:$A$5001,"&lt;="&amp;$B155,BD!$W$3:$W$5001,"&lt;&gt;"))))</f>
        <v/>
      </c>
      <c r="D155" s="42" t="str">
        <f>IF(OR($B155="",$A155&gt;$B$9),"",IF(COUNTIFS(BD!$B$3:$B$5001,D$138,BD!$A$3:$A$5001,"&gt;="&amp;$C$7,BD!$A$3:$A$5001,"&lt;="&amp;$B155,BD!$W$3:$W$5001,"&lt;&gt;")=0,"",SUMIFS(BD!$W$3:$W$5001,BD!$B$3:$B$5001,D$138,BD!$A$3:$A$5001,_xlfn.MAXIFS(BD!$A$3:$A$5001,BD!$B$3:$B$5001,D$138,BD!$A$3:$A$5001,"&gt;="&amp;$C$7,BD!$A$3:$A$5001,"&lt;="&amp;$B155,BD!$W$3:$W$5001,"&lt;&gt;"))))</f>
        <v/>
      </c>
      <c r="E155" s="42" t="str">
        <f>IF(OR($B155="",$A155&gt;$B$9),"",IF(COUNTIFS(BD!$B$3:$B$5001,E$138,BD!$A$3:$A$5001,"&gt;="&amp;$C$7,BD!$A$3:$A$5001,"&lt;="&amp;$B155,BD!$W$3:$W$5001,"&lt;&gt;")=0,"",SUMIFS(BD!$W$3:$W$5001,BD!$B$3:$B$5001,E$138,BD!$A$3:$A$5001,_xlfn.MAXIFS(BD!$A$3:$A$5001,BD!$B$3:$B$5001,E$138,BD!$A$3:$A$5001,"&gt;="&amp;$C$7,BD!$A$3:$A$5001,"&lt;="&amp;$B155,BD!$W$3:$W$5001,"&lt;&gt;"))))</f>
        <v/>
      </c>
      <c r="F155" s="42" t="str">
        <f>IF(OR($B155="",$A155&gt;$B$9),"",IF(COUNTIFS(BD!$B$3:$B$5001,F$138,BD!$A$3:$A$5001,"&gt;="&amp;$C$7,BD!$A$3:$A$5001,"&lt;="&amp;$B155,BD!$W$3:$W$5001,"&lt;&gt;")=0,"",SUMIFS(BD!$W$3:$W$5001,BD!$B$3:$B$5001,F$138,BD!$A$3:$A$5001,_xlfn.MAXIFS(BD!$A$3:$A$5001,BD!$B$3:$B$5001,F$138,BD!$A$3:$A$5001,"&gt;="&amp;$C$7,BD!$A$3:$A$5001,"&lt;="&amp;$B155,BD!$W$3:$W$5001,"&lt;&gt;"))))</f>
        <v/>
      </c>
      <c r="G155" s="42" t="str">
        <f>IF(OR($B155="",$A155&gt;$B$9),"",IF(COUNTIFS(BD!$B$3:$B$5001,G$138,BD!$A$3:$A$5001,"&gt;="&amp;$C$7,BD!$A$3:$A$5001,"&lt;="&amp;$B155,BD!$W$3:$W$5001,"&lt;&gt;")=0,"",SUMIFS(BD!$W$3:$W$5001,BD!$B$3:$B$5001,G$138,BD!$A$3:$A$5001,_xlfn.MAXIFS(BD!$A$3:$A$5001,BD!$B$3:$B$5001,G$138,BD!$A$3:$A$5001,"&gt;="&amp;$C$7,BD!$A$3:$A$5001,"&lt;="&amp;$B155,BD!$W$3:$W$5001,"&lt;&gt;"))))</f>
        <v/>
      </c>
      <c r="H155" s="42" t="str">
        <f>IF(OR($B155="",$A155&gt;$B$9),"",IF(COUNTIFS(BD!$B$3:$B$5001,H$138,BD!$A$3:$A$5001,"&gt;="&amp;$C$7,BD!$A$3:$A$5001,"&lt;="&amp;$B155,BD!$W$3:$W$5001,"&lt;&gt;")=0,"",SUMIFS(BD!$W$3:$W$5001,BD!$B$3:$B$5001,H$138,BD!$A$3:$A$5001,_xlfn.MAXIFS(BD!$A$3:$A$5001,BD!$B$3:$B$5001,H$138,BD!$A$3:$A$5001,"&gt;="&amp;$C$7,BD!$A$3:$A$5001,"&lt;="&amp;$B155,BD!$W$3:$W$5001,"&lt;&gt;"))))</f>
        <v/>
      </c>
      <c r="I155" s="42" t="str">
        <f>IF(OR($B155="",$A155&gt;$B$9),"",IF(COUNTIFS(BD!$B$3:$B$5001,I$138,BD!$A$3:$A$5001,"&gt;="&amp;$C$7,BD!$A$3:$A$5001,"&lt;="&amp;$B155,BD!$W$3:$W$5001,"&lt;&gt;")=0,"",SUMIFS(BD!$W$3:$W$5001,BD!$B$3:$B$5001,I$138,BD!$A$3:$A$5001,_xlfn.MAXIFS(BD!$A$3:$A$5001,BD!$B$3:$B$5001,I$138,BD!$A$3:$A$5001,"&gt;="&amp;$C$7,BD!$A$3:$A$5001,"&lt;="&amp;$B155,BD!$W$3:$W$5001,"&lt;&gt;"))))</f>
        <v/>
      </c>
      <c r="J155" s="42" t="str">
        <f>IF(OR($B155="",$A155&gt;$B$9),"",IF(COUNTIFS(BD!$B$3:$B$5001,J$138,BD!$A$3:$A$5001,"&gt;="&amp;$C$7,BD!$A$3:$A$5001,"&lt;="&amp;$B155,BD!$W$3:$W$5001,"&lt;&gt;")=0,"",SUMIFS(BD!$W$3:$W$5001,BD!$B$3:$B$5001,J$138,BD!$A$3:$A$5001,_xlfn.MAXIFS(BD!$A$3:$A$5001,BD!$B$3:$B$5001,J$138,BD!$A$3:$A$5001,"&gt;="&amp;$C$7,BD!$A$3:$A$5001,"&lt;="&amp;$B155,BD!$W$3:$W$5001,"&lt;&gt;"))))</f>
        <v/>
      </c>
      <c r="K155" s="42" t="str">
        <f>IF(OR($B155="",$A155&gt;$B$9),"",IF(COUNTIFS(BD!$B$3:$B$5001,K$138,BD!$A$3:$A$5001,"&gt;="&amp;$C$7,BD!$A$3:$A$5001,"&lt;="&amp;$B155,BD!$W$3:$W$5001,"&lt;&gt;")=0,"",SUMIFS(BD!$W$3:$W$5001,BD!$B$3:$B$5001,K$138,BD!$A$3:$A$5001,_xlfn.MAXIFS(BD!$A$3:$A$5001,BD!$B$3:$B$5001,K$138,BD!$A$3:$A$5001,"&gt;="&amp;$C$7,BD!$A$3:$A$5001,"&lt;="&amp;$B155,BD!$W$3:$W$5001,"&lt;&gt;"))))</f>
        <v/>
      </c>
    </row>
    <row r="156">
      <c r="A156" s="40">
        <v>18</v>
      </c>
      <c r="B156" s="41">
        <f>$B$29</f>
        <v>46313</v>
      </c>
      <c r="C156" s="42" t="str">
        <f>IF(OR($B156="",$A156&gt;$B$9),"",IF(COUNTIFS(BD!$B$3:$B$5001,C$138,BD!$A$3:$A$5001,"&gt;="&amp;$C$7,BD!$A$3:$A$5001,"&lt;="&amp;$B156,BD!$W$3:$W$5001,"&lt;&gt;")=0,"",SUMIFS(BD!$W$3:$W$5001,BD!$B$3:$B$5001,C$138,BD!$A$3:$A$5001,_xlfn.MAXIFS(BD!$A$3:$A$5001,BD!$B$3:$B$5001,C$138,BD!$A$3:$A$5001,"&gt;="&amp;$C$7,BD!$A$3:$A$5001,"&lt;="&amp;$B156,BD!$W$3:$W$5001,"&lt;&gt;"))))</f>
        <v/>
      </c>
      <c r="D156" s="42" t="str">
        <f>IF(OR($B156="",$A156&gt;$B$9),"",IF(COUNTIFS(BD!$B$3:$B$5001,D$138,BD!$A$3:$A$5001,"&gt;="&amp;$C$7,BD!$A$3:$A$5001,"&lt;="&amp;$B156,BD!$W$3:$W$5001,"&lt;&gt;")=0,"",SUMIFS(BD!$W$3:$W$5001,BD!$B$3:$B$5001,D$138,BD!$A$3:$A$5001,_xlfn.MAXIFS(BD!$A$3:$A$5001,BD!$B$3:$B$5001,D$138,BD!$A$3:$A$5001,"&gt;="&amp;$C$7,BD!$A$3:$A$5001,"&lt;="&amp;$B156,BD!$W$3:$W$5001,"&lt;&gt;"))))</f>
        <v/>
      </c>
      <c r="E156" s="42" t="str">
        <f>IF(OR($B156="",$A156&gt;$B$9),"",IF(COUNTIFS(BD!$B$3:$B$5001,E$138,BD!$A$3:$A$5001,"&gt;="&amp;$C$7,BD!$A$3:$A$5001,"&lt;="&amp;$B156,BD!$W$3:$W$5001,"&lt;&gt;")=0,"",SUMIFS(BD!$W$3:$W$5001,BD!$B$3:$B$5001,E$138,BD!$A$3:$A$5001,_xlfn.MAXIFS(BD!$A$3:$A$5001,BD!$B$3:$B$5001,E$138,BD!$A$3:$A$5001,"&gt;="&amp;$C$7,BD!$A$3:$A$5001,"&lt;="&amp;$B156,BD!$W$3:$W$5001,"&lt;&gt;"))))</f>
        <v/>
      </c>
      <c r="F156" s="42" t="str">
        <f>IF(OR($B156="",$A156&gt;$B$9),"",IF(COUNTIFS(BD!$B$3:$B$5001,F$138,BD!$A$3:$A$5001,"&gt;="&amp;$C$7,BD!$A$3:$A$5001,"&lt;="&amp;$B156,BD!$W$3:$W$5001,"&lt;&gt;")=0,"",SUMIFS(BD!$W$3:$W$5001,BD!$B$3:$B$5001,F$138,BD!$A$3:$A$5001,_xlfn.MAXIFS(BD!$A$3:$A$5001,BD!$B$3:$B$5001,F$138,BD!$A$3:$A$5001,"&gt;="&amp;$C$7,BD!$A$3:$A$5001,"&lt;="&amp;$B156,BD!$W$3:$W$5001,"&lt;&gt;"))))</f>
        <v/>
      </c>
      <c r="G156" s="42" t="str">
        <f>IF(OR($B156="",$A156&gt;$B$9),"",IF(COUNTIFS(BD!$B$3:$B$5001,G$138,BD!$A$3:$A$5001,"&gt;="&amp;$C$7,BD!$A$3:$A$5001,"&lt;="&amp;$B156,BD!$W$3:$W$5001,"&lt;&gt;")=0,"",SUMIFS(BD!$W$3:$W$5001,BD!$B$3:$B$5001,G$138,BD!$A$3:$A$5001,_xlfn.MAXIFS(BD!$A$3:$A$5001,BD!$B$3:$B$5001,G$138,BD!$A$3:$A$5001,"&gt;="&amp;$C$7,BD!$A$3:$A$5001,"&lt;="&amp;$B156,BD!$W$3:$W$5001,"&lt;&gt;"))))</f>
        <v/>
      </c>
      <c r="H156" s="42" t="str">
        <f>IF(OR($B156="",$A156&gt;$B$9),"",IF(COUNTIFS(BD!$B$3:$B$5001,H$138,BD!$A$3:$A$5001,"&gt;="&amp;$C$7,BD!$A$3:$A$5001,"&lt;="&amp;$B156,BD!$W$3:$W$5001,"&lt;&gt;")=0,"",SUMIFS(BD!$W$3:$W$5001,BD!$B$3:$B$5001,H$138,BD!$A$3:$A$5001,_xlfn.MAXIFS(BD!$A$3:$A$5001,BD!$B$3:$B$5001,H$138,BD!$A$3:$A$5001,"&gt;="&amp;$C$7,BD!$A$3:$A$5001,"&lt;="&amp;$B156,BD!$W$3:$W$5001,"&lt;&gt;"))))</f>
        <v/>
      </c>
      <c r="I156" s="42" t="str">
        <f>IF(OR($B156="",$A156&gt;$B$9),"",IF(COUNTIFS(BD!$B$3:$B$5001,I$138,BD!$A$3:$A$5001,"&gt;="&amp;$C$7,BD!$A$3:$A$5001,"&lt;="&amp;$B156,BD!$W$3:$W$5001,"&lt;&gt;")=0,"",SUMIFS(BD!$W$3:$W$5001,BD!$B$3:$B$5001,I$138,BD!$A$3:$A$5001,_xlfn.MAXIFS(BD!$A$3:$A$5001,BD!$B$3:$B$5001,I$138,BD!$A$3:$A$5001,"&gt;="&amp;$C$7,BD!$A$3:$A$5001,"&lt;="&amp;$B156,BD!$W$3:$W$5001,"&lt;&gt;"))))</f>
        <v/>
      </c>
      <c r="J156" s="42" t="str">
        <f>IF(OR($B156="",$A156&gt;$B$9),"",IF(COUNTIFS(BD!$B$3:$B$5001,J$138,BD!$A$3:$A$5001,"&gt;="&amp;$C$7,BD!$A$3:$A$5001,"&lt;="&amp;$B156,BD!$W$3:$W$5001,"&lt;&gt;")=0,"",SUMIFS(BD!$W$3:$W$5001,BD!$B$3:$B$5001,J$138,BD!$A$3:$A$5001,_xlfn.MAXIFS(BD!$A$3:$A$5001,BD!$B$3:$B$5001,J$138,BD!$A$3:$A$5001,"&gt;="&amp;$C$7,BD!$A$3:$A$5001,"&lt;="&amp;$B156,BD!$W$3:$W$5001,"&lt;&gt;"))))</f>
        <v/>
      </c>
      <c r="K156" s="42" t="str">
        <f>IF(OR($B156="",$A156&gt;$B$9),"",IF(COUNTIFS(BD!$B$3:$B$5001,K$138,BD!$A$3:$A$5001,"&gt;="&amp;$C$7,BD!$A$3:$A$5001,"&lt;="&amp;$B156,BD!$W$3:$W$5001,"&lt;&gt;")=0,"",SUMIFS(BD!$W$3:$W$5001,BD!$B$3:$B$5001,K$138,BD!$A$3:$A$5001,_xlfn.MAXIFS(BD!$A$3:$A$5001,BD!$B$3:$B$5001,K$138,BD!$A$3:$A$5001,"&gt;="&amp;$C$7,BD!$A$3:$A$5001,"&lt;="&amp;$B156,BD!$W$3:$W$5001,"&lt;&gt;"))))</f>
        <v/>
      </c>
    </row>
    <row r="157">
      <c r="A157" s="40">
        <v>19</v>
      </c>
      <c r="B157" s="41">
        <f>$B$30</f>
        <v>46314</v>
      </c>
      <c r="C157" s="42" t="str">
        <f>IF(OR($B157="",$A157&gt;$B$9),"",IF(COUNTIFS(BD!$B$3:$B$5001,C$138,BD!$A$3:$A$5001,"&gt;="&amp;$C$7,BD!$A$3:$A$5001,"&lt;="&amp;$B157,BD!$W$3:$W$5001,"&lt;&gt;")=0,"",SUMIFS(BD!$W$3:$W$5001,BD!$B$3:$B$5001,C$138,BD!$A$3:$A$5001,_xlfn.MAXIFS(BD!$A$3:$A$5001,BD!$B$3:$B$5001,C$138,BD!$A$3:$A$5001,"&gt;="&amp;$C$7,BD!$A$3:$A$5001,"&lt;="&amp;$B157,BD!$W$3:$W$5001,"&lt;&gt;"))))</f>
        <v/>
      </c>
      <c r="D157" s="42" t="str">
        <f>IF(OR($B157="",$A157&gt;$B$9),"",IF(COUNTIFS(BD!$B$3:$B$5001,D$138,BD!$A$3:$A$5001,"&gt;="&amp;$C$7,BD!$A$3:$A$5001,"&lt;="&amp;$B157,BD!$W$3:$W$5001,"&lt;&gt;")=0,"",SUMIFS(BD!$W$3:$W$5001,BD!$B$3:$B$5001,D$138,BD!$A$3:$A$5001,_xlfn.MAXIFS(BD!$A$3:$A$5001,BD!$B$3:$B$5001,D$138,BD!$A$3:$A$5001,"&gt;="&amp;$C$7,BD!$A$3:$A$5001,"&lt;="&amp;$B157,BD!$W$3:$W$5001,"&lt;&gt;"))))</f>
        <v/>
      </c>
      <c r="E157" s="42" t="str">
        <f>IF(OR($B157="",$A157&gt;$B$9),"",IF(COUNTIFS(BD!$B$3:$B$5001,E$138,BD!$A$3:$A$5001,"&gt;="&amp;$C$7,BD!$A$3:$A$5001,"&lt;="&amp;$B157,BD!$W$3:$W$5001,"&lt;&gt;")=0,"",SUMIFS(BD!$W$3:$W$5001,BD!$B$3:$B$5001,E$138,BD!$A$3:$A$5001,_xlfn.MAXIFS(BD!$A$3:$A$5001,BD!$B$3:$B$5001,E$138,BD!$A$3:$A$5001,"&gt;="&amp;$C$7,BD!$A$3:$A$5001,"&lt;="&amp;$B157,BD!$W$3:$W$5001,"&lt;&gt;"))))</f>
        <v/>
      </c>
      <c r="F157" s="42" t="str">
        <f>IF(OR($B157="",$A157&gt;$B$9),"",IF(COUNTIFS(BD!$B$3:$B$5001,F$138,BD!$A$3:$A$5001,"&gt;="&amp;$C$7,BD!$A$3:$A$5001,"&lt;="&amp;$B157,BD!$W$3:$W$5001,"&lt;&gt;")=0,"",SUMIFS(BD!$W$3:$W$5001,BD!$B$3:$B$5001,F$138,BD!$A$3:$A$5001,_xlfn.MAXIFS(BD!$A$3:$A$5001,BD!$B$3:$B$5001,F$138,BD!$A$3:$A$5001,"&gt;="&amp;$C$7,BD!$A$3:$A$5001,"&lt;="&amp;$B157,BD!$W$3:$W$5001,"&lt;&gt;"))))</f>
        <v/>
      </c>
      <c r="G157" s="42" t="str">
        <f>IF(OR($B157="",$A157&gt;$B$9),"",IF(COUNTIFS(BD!$B$3:$B$5001,G$138,BD!$A$3:$A$5001,"&gt;="&amp;$C$7,BD!$A$3:$A$5001,"&lt;="&amp;$B157,BD!$W$3:$W$5001,"&lt;&gt;")=0,"",SUMIFS(BD!$W$3:$W$5001,BD!$B$3:$B$5001,G$138,BD!$A$3:$A$5001,_xlfn.MAXIFS(BD!$A$3:$A$5001,BD!$B$3:$B$5001,G$138,BD!$A$3:$A$5001,"&gt;="&amp;$C$7,BD!$A$3:$A$5001,"&lt;="&amp;$B157,BD!$W$3:$W$5001,"&lt;&gt;"))))</f>
        <v/>
      </c>
      <c r="H157" s="42" t="str">
        <f>IF(OR($B157="",$A157&gt;$B$9),"",IF(COUNTIFS(BD!$B$3:$B$5001,H$138,BD!$A$3:$A$5001,"&gt;="&amp;$C$7,BD!$A$3:$A$5001,"&lt;="&amp;$B157,BD!$W$3:$W$5001,"&lt;&gt;")=0,"",SUMIFS(BD!$W$3:$W$5001,BD!$B$3:$B$5001,H$138,BD!$A$3:$A$5001,_xlfn.MAXIFS(BD!$A$3:$A$5001,BD!$B$3:$B$5001,H$138,BD!$A$3:$A$5001,"&gt;="&amp;$C$7,BD!$A$3:$A$5001,"&lt;="&amp;$B157,BD!$W$3:$W$5001,"&lt;&gt;"))))</f>
        <v/>
      </c>
      <c r="I157" s="42" t="str">
        <f>IF(OR($B157="",$A157&gt;$B$9),"",IF(COUNTIFS(BD!$B$3:$B$5001,I$138,BD!$A$3:$A$5001,"&gt;="&amp;$C$7,BD!$A$3:$A$5001,"&lt;="&amp;$B157,BD!$W$3:$W$5001,"&lt;&gt;")=0,"",SUMIFS(BD!$W$3:$W$5001,BD!$B$3:$B$5001,I$138,BD!$A$3:$A$5001,_xlfn.MAXIFS(BD!$A$3:$A$5001,BD!$B$3:$B$5001,I$138,BD!$A$3:$A$5001,"&gt;="&amp;$C$7,BD!$A$3:$A$5001,"&lt;="&amp;$B157,BD!$W$3:$W$5001,"&lt;&gt;"))))</f>
        <v/>
      </c>
      <c r="J157" s="42" t="str">
        <f>IF(OR($B157="",$A157&gt;$B$9),"",IF(COUNTIFS(BD!$B$3:$B$5001,J$138,BD!$A$3:$A$5001,"&gt;="&amp;$C$7,BD!$A$3:$A$5001,"&lt;="&amp;$B157,BD!$W$3:$W$5001,"&lt;&gt;")=0,"",SUMIFS(BD!$W$3:$W$5001,BD!$B$3:$B$5001,J$138,BD!$A$3:$A$5001,_xlfn.MAXIFS(BD!$A$3:$A$5001,BD!$B$3:$B$5001,J$138,BD!$A$3:$A$5001,"&gt;="&amp;$C$7,BD!$A$3:$A$5001,"&lt;="&amp;$B157,BD!$W$3:$W$5001,"&lt;&gt;"))))</f>
        <v/>
      </c>
      <c r="K157" s="42" t="str">
        <f>IF(OR($B157="",$A157&gt;$B$9),"",IF(COUNTIFS(BD!$B$3:$B$5001,K$138,BD!$A$3:$A$5001,"&gt;="&amp;$C$7,BD!$A$3:$A$5001,"&lt;="&amp;$B157,BD!$W$3:$W$5001,"&lt;&gt;")=0,"",SUMIFS(BD!$W$3:$W$5001,BD!$B$3:$B$5001,K$138,BD!$A$3:$A$5001,_xlfn.MAXIFS(BD!$A$3:$A$5001,BD!$B$3:$B$5001,K$138,BD!$A$3:$A$5001,"&gt;="&amp;$C$7,BD!$A$3:$A$5001,"&lt;="&amp;$B157,BD!$W$3:$W$5001,"&lt;&gt;"))))</f>
        <v/>
      </c>
    </row>
    <row r="158">
      <c r="A158" s="40">
        <v>20</v>
      </c>
      <c r="B158" s="41">
        <f>$B$31</f>
        <v>46315</v>
      </c>
      <c r="C158" s="42" t="str">
        <f>IF(OR($B158="",$A158&gt;$B$9),"",IF(COUNTIFS(BD!$B$3:$B$5001,C$138,BD!$A$3:$A$5001,"&gt;="&amp;$C$7,BD!$A$3:$A$5001,"&lt;="&amp;$B158,BD!$W$3:$W$5001,"&lt;&gt;")=0,"",SUMIFS(BD!$W$3:$W$5001,BD!$B$3:$B$5001,C$138,BD!$A$3:$A$5001,_xlfn.MAXIFS(BD!$A$3:$A$5001,BD!$B$3:$B$5001,C$138,BD!$A$3:$A$5001,"&gt;="&amp;$C$7,BD!$A$3:$A$5001,"&lt;="&amp;$B158,BD!$W$3:$W$5001,"&lt;&gt;"))))</f>
        <v/>
      </c>
      <c r="D158" s="42" t="str">
        <f>IF(OR($B158="",$A158&gt;$B$9),"",IF(COUNTIFS(BD!$B$3:$B$5001,D$138,BD!$A$3:$A$5001,"&gt;="&amp;$C$7,BD!$A$3:$A$5001,"&lt;="&amp;$B158,BD!$W$3:$W$5001,"&lt;&gt;")=0,"",SUMIFS(BD!$W$3:$W$5001,BD!$B$3:$B$5001,D$138,BD!$A$3:$A$5001,_xlfn.MAXIFS(BD!$A$3:$A$5001,BD!$B$3:$B$5001,D$138,BD!$A$3:$A$5001,"&gt;="&amp;$C$7,BD!$A$3:$A$5001,"&lt;="&amp;$B158,BD!$W$3:$W$5001,"&lt;&gt;"))))</f>
        <v/>
      </c>
      <c r="E158" s="42" t="str">
        <f>IF(OR($B158="",$A158&gt;$B$9),"",IF(COUNTIFS(BD!$B$3:$B$5001,E$138,BD!$A$3:$A$5001,"&gt;="&amp;$C$7,BD!$A$3:$A$5001,"&lt;="&amp;$B158,BD!$W$3:$W$5001,"&lt;&gt;")=0,"",SUMIFS(BD!$W$3:$W$5001,BD!$B$3:$B$5001,E$138,BD!$A$3:$A$5001,_xlfn.MAXIFS(BD!$A$3:$A$5001,BD!$B$3:$B$5001,E$138,BD!$A$3:$A$5001,"&gt;="&amp;$C$7,BD!$A$3:$A$5001,"&lt;="&amp;$B158,BD!$W$3:$W$5001,"&lt;&gt;"))))</f>
        <v/>
      </c>
      <c r="F158" s="42" t="str">
        <f>IF(OR($B158="",$A158&gt;$B$9),"",IF(COUNTIFS(BD!$B$3:$B$5001,F$138,BD!$A$3:$A$5001,"&gt;="&amp;$C$7,BD!$A$3:$A$5001,"&lt;="&amp;$B158,BD!$W$3:$W$5001,"&lt;&gt;")=0,"",SUMIFS(BD!$W$3:$W$5001,BD!$B$3:$B$5001,F$138,BD!$A$3:$A$5001,_xlfn.MAXIFS(BD!$A$3:$A$5001,BD!$B$3:$B$5001,F$138,BD!$A$3:$A$5001,"&gt;="&amp;$C$7,BD!$A$3:$A$5001,"&lt;="&amp;$B158,BD!$W$3:$W$5001,"&lt;&gt;"))))</f>
        <v/>
      </c>
      <c r="G158" s="42" t="str">
        <f>IF(OR($B158="",$A158&gt;$B$9),"",IF(COUNTIFS(BD!$B$3:$B$5001,G$138,BD!$A$3:$A$5001,"&gt;="&amp;$C$7,BD!$A$3:$A$5001,"&lt;="&amp;$B158,BD!$W$3:$W$5001,"&lt;&gt;")=0,"",SUMIFS(BD!$W$3:$W$5001,BD!$B$3:$B$5001,G$138,BD!$A$3:$A$5001,_xlfn.MAXIFS(BD!$A$3:$A$5001,BD!$B$3:$B$5001,G$138,BD!$A$3:$A$5001,"&gt;="&amp;$C$7,BD!$A$3:$A$5001,"&lt;="&amp;$B158,BD!$W$3:$W$5001,"&lt;&gt;"))))</f>
        <v/>
      </c>
      <c r="H158" s="42" t="str">
        <f>IF(OR($B158="",$A158&gt;$B$9),"",IF(COUNTIFS(BD!$B$3:$B$5001,H$138,BD!$A$3:$A$5001,"&gt;="&amp;$C$7,BD!$A$3:$A$5001,"&lt;="&amp;$B158,BD!$W$3:$W$5001,"&lt;&gt;")=0,"",SUMIFS(BD!$W$3:$W$5001,BD!$B$3:$B$5001,H$138,BD!$A$3:$A$5001,_xlfn.MAXIFS(BD!$A$3:$A$5001,BD!$B$3:$B$5001,H$138,BD!$A$3:$A$5001,"&gt;="&amp;$C$7,BD!$A$3:$A$5001,"&lt;="&amp;$B158,BD!$W$3:$W$5001,"&lt;&gt;"))))</f>
        <v/>
      </c>
      <c r="I158" s="42" t="str">
        <f>IF(OR($B158="",$A158&gt;$B$9),"",IF(COUNTIFS(BD!$B$3:$B$5001,I$138,BD!$A$3:$A$5001,"&gt;="&amp;$C$7,BD!$A$3:$A$5001,"&lt;="&amp;$B158,BD!$W$3:$W$5001,"&lt;&gt;")=0,"",SUMIFS(BD!$W$3:$W$5001,BD!$B$3:$B$5001,I$138,BD!$A$3:$A$5001,_xlfn.MAXIFS(BD!$A$3:$A$5001,BD!$B$3:$B$5001,I$138,BD!$A$3:$A$5001,"&gt;="&amp;$C$7,BD!$A$3:$A$5001,"&lt;="&amp;$B158,BD!$W$3:$W$5001,"&lt;&gt;"))))</f>
        <v/>
      </c>
      <c r="J158" s="42" t="str">
        <f>IF(OR($B158="",$A158&gt;$B$9),"",IF(COUNTIFS(BD!$B$3:$B$5001,J$138,BD!$A$3:$A$5001,"&gt;="&amp;$C$7,BD!$A$3:$A$5001,"&lt;="&amp;$B158,BD!$W$3:$W$5001,"&lt;&gt;")=0,"",SUMIFS(BD!$W$3:$W$5001,BD!$B$3:$B$5001,J$138,BD!$A$3:$A$5001,_xlfn.MAXIFS(BD!$A$3:$A$5001,BD!$B$3:$B$5001,J$138,BD!$A$3:$A$5001,"&gt;="&amp;$C$7,BD!$A$3:$A$5001,"&lt;="&amp;$B158,BD!$W$3:$W$5001,"&lt;&gt;"))))</f>
        <v/>
      </c>
      <c r="K158" s="42" t="str">
        <f>IF(OR($B158="",$A158&gt;$B$9),"",IF(COUNTIFS(BD!$B$3:$B$5001,K$138,BD!$A$3:$A$5001,"&gt;="&amp;$C$7,BD!$A$3:$A$5001,"&lt;="&amp;$B158,BD!$W$3:$W$5001,"&lt;&gt;")=0,"",SUMIFS(BD!$W$3:$W$5001,BD!$B$3:$B$5001,K$138,BD!$A$3:$A$5001,_xlfn.MAXIFS(BD!$A$3:$A$5001,BD!$B$3:$B$5001,K$138,BD!$A$3:$A$5001,"&gt;="&amp;$C$7,BD!$A$3:$A$5001,"&lt;="&amp;$B158,BD!$W$3:$W$5001,"&lt;&gt;"))))</f>
        <v/>
      </c>
    </row>
    <row r="159">
      <c r="A159" s="40">
        <v>21</v>
      </c>
      <c r="B159" s="41">
        <f>$B$32</f>
        <v>46316</v>
      </c>
      <c r="C159" s="42" t="str">
        <f>IF(OR($B159="",$A159&gt;$B$9),"",IF(COUNTIFS(BD!$B$3:$B$5001,C$138,BD!$A$3:$A$5001,"&gt;="&amp;$C$7,BD!$A$3:$A$5001,"&lt;="&amp;$B159,BD!$W$3:$W$5001,"&lt;&gt;")=0,"",SUMIFS(BD!$W$3:$W$5001,BD!$B$3:$B$5001,C$138,BD!$A$3:$A$5001,_xlfn.MAXIFS(BD!$A$3:$A$5001,BD!$B$3:$B$5001,C$138,BD!$A$3:$A$5001,"&gt;="&amp;$C$7,BD!$A$3:$A$5001,"&lt;="&amp;$B159,BD!$W$3:$W$5001,"&lt;&gt;"))))</f>
        <v/>
      </c>
      <c r="D159" s="42" t="str">
        <f>IF(OR($B159="",$A159&gt;$B$9),"",IF(COUNTIFS(BD!$B$3:$B$5001,D$138,BD!$A$3:$A$5001,"&gt;="&amp;$C$7,BD!$A$3:$A$5001,"&lt;="&amp;$B159,BD!$W$3:$W$5001,"&lt;&gt;")=0,"",SUMIFS(BD!$W$3:$W$5001,BD!$B$3:$B$5001,D$138,BD!$A$3:$A$5001,_xlfn.MAXIFS(BD!$A$3:$A$5001,BD!$B$3:$B$5001,D$138,BD!$A$3:$A$5001,"&gt;="&amp;$C$7,BD!$A$3:$A$5001,"&lt;="&amp;$B159,BD!$W$3:$W$5001,"&lt;&gt;"))))</f>
        <v/>
      </c>
      <c r="E159" s="42" t="str">
        <f>IF(OR($B159="",$A159&gt;$B$9),"",IF(COUNTIFS(BD!$B$3:$B$5001,E$138,BD!$A$3:$A$5001,"&gt;="&amp;$C$7,BD!$A$3:$A$5001,"&lt;="&amp;$B159,BD!$W$3:$W$5001,"&lt;&gt;")=0,"",SUMIFS(BD!$W$3:$W$5001,BD!$B$3:$B$5001,E$138,BD!$A$3:$A$5001,_xlfn.MAXIFS(BD!$A$3:$A$5001,BD!$B$3:$B$5001,E$138,BD!$A$3:$A$5001,"&gt;="&amp;$C$7,BD!$A$3:$A$5001,"&lt;="&amp;$B159,BD!$W$3:$W$5001,"&lt;&gt;"))))</f>
        <v/>
      </c>
      <c r="F159" s="42" t="str">
        <f>IF(OR($B159="",$A159&gt;$B$9),"",IF(COUNTIFS(BD!$B$3:$B$5001,F$138,BD!$A$3:$A$5001,"&gt;="&amp;$C$7,BD!$A$3:$A$5001,"&lt;="&amp;$B159,BD!$W$3:$W$5001,"&lt;&gt;")=0,"",SUMIFS(BD!$W$3:$W$5001,BD!$B$3:$B$5001,F$138,BD!$A$3:$A$5001,_xlfn.MAXIFS(BD!$A$3:$A$5001,BD!$B$3:$B$5001,F$138,BD!$A$3:$A$5001,"&gt;="&amp;$C$7,BD!$A$3:$A$5001,"&lt;="&amp;$B159,BD!$W$3:$W$5001,"&lt;&gt;"))))</f>
        <v/>
      </c>
      <c r="G159" s="42" t="str">
        <f>IF(OR($B159="",$A159&gt;$B$9),"",IF(COUNTIFS(BD!$B$3:$B$5001,G$138,BD!$A$3:$A$5001,"&gt;="&amp;$C$7,BD!$A$3:$A$5001,"&lt;="&amp;$B159,BD!$W$3:$W$5001,"&lt;&gt;")=0,"",SUMIFS(BD!$W$3:$W$5001,BD!$B$3:$B$5001,G$138,BD!$A$3:$A$5001,_xlfn.MAXIFS(BD!$A$3:$A$5001,BD!$B$3:$B$5001,G$138,BD!$A$3:$A$5001,"&gt;="&amp;$C$7,BD!$A$3:$A$5001,"&lt;="&amp;$B159,BD!$W$3:$W$5001,"&lt;&gt;"))))</f>
        <v/>
      </c>
      <c r="H159" s="42" t="str">
        <f>IF(OR($B159="",$A159&gt;$B$9),"",IF(COUNTIFS(BD!$B$3:$B$5001,H$138,BD!$A$3:$A$5001,"&gt;="&amp;$C$7,BD!$A$3:$A$5001,"&lt;="&amp;$B159,BD!$W$3:$W$5001,"&lt;&gt;")=0,"",SUMIFS(BD!$W$3:$W$5001,BD!$B$3:$B$5001,H$138,BD!$A$3:$A$5001,_xlfn.MAXIFS(BD!$A$3:$A$5001,BD!$B$3:$B$5001,H$138,BD!$A$3:$A$5001,"&gt;="&amp;$C$7,BD!$A$3:$A$5001,"&lt;="&amp;$B159,BD!$W$3:$W$5001,"&lt;&gt;"))))</f>
        <v/>
      </c>
      <c r="I159" s="42" t="str">
        <f>IF(OR($B159="",$A159&gt;$B$9),"",IF(COUNTIFS(BD!$B$3:$B$5001,I$138,BD!$A$3:$A$5001,"&gt;="&amp;$C$7,BD!$A$3:$A$5001,"&lt;="&amp;$B159,BD!$W$3:$W$5001,"&lt;&gt;")=0,"",SUMIFS(BD!$W$3:$W$5001,BD!$B$3:$B$5001,I$138,BD!$A$3:$A$5001,_xlfn.MAXIFS(BD!$A$3:$A$5001,BD!$B$3:$B$5001,I$138,BD!$A$3:$A$5001,"&gt;="&amp;$C$7,BD!$A$3:$A$5001,"&lt;="&amp;$B159,BD!$W$3:$W$5001,"&lt;&gt;"))))</f>
        <v/>
      </c>
      <c r="J159" s="42" t="str">
        <f>IF(OR($B159="",$A159&gt;$B$9),"",IF(COUNTIFS(BD!$B$3:$B$5001,J$138,BD!$A$3:$A$5001,"&gt;="&amp;$C$7,BD!$A$3:$A$5001,"&lt;="&amp;$B159,BD!$W$3:$W$5001,"&lt;&gt;")=0,"",SUMIFS(BD!$W$3:$W$5001,BD!$B$3:$B$5001,J$138,BD!$A$3:$A$5001,_xlfn.MAXIFS(BD!$A$3:$A$5001,BD!$B$3:$B$5001,J$138,BD!$A$3:$A$5001,"&gt;="&amp;$C$7,BD!$A$3:$A$5001,"&lt;="&amp;$B159,BD!$W$3:$W$5001,"&lt;&gt;"))))</f>
        <v/>
      </c>
      <c r="K159" s="42" t="str">
        <f>IF(OR($B159="",$A159&gt;$B$9),"",IF(COUNTIFS(BD!$B$3:$B$5001,K$138,BD!$A$3:$A$5001,"&gt;="&amp;$C$7,BD!$A$3:$A$5001,"&lt;="&amp;$B159,BD!$W$3:$W$5001,"&lt;&gt;")=0,"",SUMIFS(BD!$W$3:$W$5001,BD!$B$3:$B$5001,K$138,BD!$A$3:$A$5001,_xlfn.MAXIFS(BD!$A$3:$A$5001,BD!$B$3:$B$5001,K$138,BD!$A$3:$A$5001,"&gt;="&amp;$C$7,BD!$A$3:$A$5001,"&lt;="&amp;$B159,BD!$W$3:$W$5001,"&lt;&gt;"))))</f>
        <v/>
      </c>
    </row>
    <row r="160">
      <c r="A160" s="40">
        <v>22</v>
      </c>
      <c r="B160" s="41">
        <f>$B$33</f>
        <v>46317</v>
      </c>
      <c r="C160" s="42" t="str">
        <f>IF(OR($B160="",$A160&gt;$B$9),"",IF(COUNTIFS(BD!$B$3:$B$5001,C$138,BD!$A$3:$A$5001,"&gt;="&amp;$C$7,BD!$A$3:$A$5001,"&lt;="&amp;$B160,BD!$W$3:$W$5001,"&lt;&gt;")=0,"",SUMIFS(BD!$W$3:$W$5001,BD!$B$3:$B$5001,C$138,BD!$A$3:$A$5001,_xlfn.MAXIFS(BD!$A$3:$A$5001,BD!$B$3:$B$5001,C$138,BD!$A$3:$A$5001,"&gt;="&amp;$C$7,BD!$A$3:$A$5001,"&lt;="&amp;$B160,BD!$W$3:$W$5001,"&lt;&gt;"))))</f>
        <v/>
      </c>
      <c r="D160" s="42" t="str">
        <f>IF(OR($B160="",$A160&gt;$B$9),"",IF(COUNTIFS(BD!$B$3:$B$5001,D$138,BD!$A$3:$A$5001,"&gt;="&amp;$C$7,BD!$A$3:$A$5001,"&lt;="&amp;$B160,BD!$W$3:$W$5001,"&lt;&gt;")=0,"",SUMIFS(BD!$W$3:$W$5001,BD!$B$3:$B$5001,D$138,BD!$A$3:$A$5001,_xlfn.MAXIFS(BD!$A$3:$A$5001,BD!$B$3:$B$5001,D$138,BD!$A$3:$A$5001,"&gt;="&amp;$C$7,BD!$A$3:$A$5001,"&lt;="&amp;$B160,BD!$W$3:$W$5001,"&lt;&gt;"))))</f>
        <v/>
      </c>
      <c r="E160" s="42" t="str">
        <f>IF(OR($B160="",$A160&gt;$B$9),"",IF(COUNTIFS(BD!$B$3:$B$5001,E$138,BD!$A$3:$A$5001,"&gt;="&amp;$C$7,BD!$A$3:$A$5001,"&lt;="&amp;$B160,BD!$W$3:$W$5001,"&lt;&gt;")=0,"",SUMIFS(BD!$W$3:$W$5001,BD!$B$3:$B$5001,E$138,BD!$A$3:$A$5001,_xlfn.MAXIFS(BD!$A$3:$A$5001,BD!$B$3:$B$5001,E$138,BD!$A$3:$A$5001,"&gt;="&amp;$C$7,BD!$A$3:$A$5001,"&lt;="&amp;$B160,BD!$W$3:$W$5001,"&lt;&gt;"))))</f>
        <v/>
      </c>
      <c r="F160" s="42" t="str">
        <f>IF(OR($B160="",$A160&gt;$B$9),"",IF(COUNTIFS(BD!$B$3:$B$5001,F$138,BD!$A$3:$A$5001,"&gt;="&amp;$C$7,BD!$A$3:$A$5001,"&lt;="&amp;$B160,BD!$W$3:$W$5001,"&lt;&gt;")=0,"",SUMIFS(BD!$W$3:$W$5001,BD!$B$3:$B$5001,F$138,BD!$A$3:$A$5001,_xlfn.MAXIFS(BD!$A$3:$A$5001,BD!$B$3:$B$5001,F$138,BD!$A$3:$A$5001,"&gt;="&amp;$C$7,BD!$A$3:$A$5001,"&lt;="&amp;$B160,BD!$W$3:$W$5001,"&lt;&gt;"))))</f>
        <v/>
      </c>
      <c r="G160" s="42" t="str">
        <f>IF(OR($B160="",$A160&gt;$B$9),"",IF(COUNTIFS(BD!$B$3:$B$5001,G$138,BD!$A$3:$A$5001,"&gt;="&amp;$C$7,BD!$A$3:$A$5001,"&lt;="&amp;$B160,BD!$W$3:$W$5001,"&lt;&gt;")=0,"",SUMIFS(BD!$W$3:$W$5001,BD!$B$3:$B$5001,G$138,BD!$A$3:$A$5001,_xlfn.MAXIFS(BD!$A$3:$A$5001,BD!$B$3:$B$5001,G$138,BD!$A$3:$A$5001,"&gt;="&amp;$C$7,BD!$A$3:$A$5001,"&lt;="&amp;$B160,BD!$W$3:$W$5001,"&lt;&gt;"))))</f>
        <v/>
      </c>
      <c r="H160" s="42" t="str">
        <f>IF(OR($B160="",$A160&gt;$B$9),"",IF(COUNTIFS(BD!$B$3:$B$5001,H$138,BD!$A$3:$A$5001,"&gt;="&amp;$C$7,BD!$A$3:$A$5001,"&lt;="&amp;$B160,BD!$W$3:$W$5001,"&lt;&gt;")=0,"",SUMIFS(BD!$W$3:$W$5001,BD!$B$3:$B$5001,H$138,BD!$A$3:$A$5001,_xlfn.MAXIFS(BD!$A$3:$A$5001,BD!$B$3:$B$5001,H$138,BD!$A$3:$A$5001,"&gt;="&amp;$C$7,BD!$A$3:$A$5001,"&lt;="&amp;$B160,BD!$W$3:$W$5001,"&lt;&gt;"))))</f>
        <v/>
      </c>
      <c r="I160" s="42" t="str">
        <f>IF(OR($B160="",$A160&gt;$B$9),"",IF(COUNTIFS(BD!$B$3:$B$5001,I$138,BD!$A$3:$A$5001,"&gt;="&amp;$C$7,BD!$A$3:$A$5001,"&lt;="&amp;$B160,BD!$W$3:$W$5001,"&lt;&gt;")=0,"",SUMIFS(BD!$W$3:$W$5001,BD!$B$3:$B$5001,I$138,BD!$A$3:$A$5001,_xlfn.MAXIFS(BD!$A$3:$A$5001,BD!$B$3:$B$5001,I$138,BD!$A$3:$A$5001,"&gt;="&amp;$C$7,BD!$A$3:$A$5001,"&lt;="&amp;$B160,BD!$W$3:$W$5001,"&lt;&gt;"))))</f>
        <v/>
      </c>
      <c r="J160" s="42" t="str">
        <f>IF(OR($B160="",$A160&gt;$B$9),"",IF(COUNTIFS(BD!$B$3:$B$5001,J$138,BD!$A$3:$A$5001,"&gt;="&amp;$C$7,BD!$A$3:$A$5001,"&lt;="&amp;$B160,BD!$W$3:$W$5001,"&lt;&gt;")=0,"",SUMIFS(BD!$W$3:$W$5001,BD!$B$3:$B$5001,J$138,BD!$A$3:$A$5001,_xlfn.MAXIFS(BD!$A$3:$A$5001,BD!$B$3:$B$5001,J$138,BD!$A$3:$A$5001,"&gt;="&amp;$C$7,BD!$A$3:$A$5001,"&lt;="&amp;$B160,BD!$W$3:$W$5001,"&lt;&gt;"))))</f>
        <v/>
      </c>
      <c r="K160" s="42" t="str">
        <f>IF(OR($B160="",$A160&gt;$B$9),"",IF(COUNTIFS(BD!$B$3:$B$5001,K$138,BD!$A$3:$A$5001,"&gt;="&amp;$C$7,BD!$A$3:$A$5001,"&lt;="&amp;$B160,BD!$W$3:$W$5001,"&lt;&gt;")=0,"",SUMIFS(BD!$W$3:$W$5001,BD!$B$3:$B$5001,K$138,BD!$A$3:$A$5001,_xlfn.MAXIFS(BD!$A$3:$A$5001,BD!$B$3:$B$5001,K$138,BD!$A$3:$A$5001,"&gt;="&amp;$C$7,BD!$A$3:$A$5001,"&lt;="&amp;$B160,BD!$W$3:$W$5001,"&lt;&gt;"))))</f>
        <v/>
      </c>
    </row>
    <row r="161">
      <c r="A161" s="40">
        <v>23</v>
      </c>
      <c r="B161" s="41">
        <f>$B$34</f>
        <v>46318</v>
      </c>
      <c r="C161" s="42" t="str">
        <f>IF(OR($B161="",$A161&gt;$B$9),"",IF(COUNTIFS(BD!$B$3:$B$5001,C$138,BD!$A$3:$A$5001,"&gt;="&amp;$C$7,BD!$A$3:$A$5001,"&lt;="&amp;$B161,BD!$W$3:$W$5001,"&lt;&gt;")=0,"",SUMIFS(BD!$W$3:$W$5001,BD!$B$3:$B$5001,C$138,BD!$A$3:$A$5001,_xlfn.MAXIFS(BD!$A$3:$A$5001,BD!$B$3:$B$5001,C$138,BD!$A$3:$A$5001,"&gt;="&amp;$C$7,BD!$A$3:$A$5001,"&lt;="&amp;$B161,BD!$W$3:$W$5001,"&lt;&gt;"))))</f>
        <v/>
      </c>
      <c r="D161" s="42" t="str">
        <f>IF(OR($B161="",$A161&gt;$B$9),"",IF(COUNTIFS(BD!$B$3:$B$5001,D$138,BD!$A$3:$A$5001,"&gt;="&amp;$C$7,BD!$A$3:$A$5001,"&lt;="&amp;$B161,BD!$W$3:$W$5001,"&lt;&gt;")=0,"",SUMIFS(BD!$W$3:$W$5001,BD!$B$3:$B$5001,D$138,BD!$A$3:$A$5001,_xlfn.MAXIFS(BD!$A$3:$A$5001,BD!$B$3:$B$5001,D$138,BD!$A$3:$A$5001,"&gt;="&amp;$C$7,BD!$A$3:$A$5001,"&lt;="&amp;$B161,BD!$W$3:$W$5001,"&lt;&gt;"))))</f>
        <v/>
      </c>
      <c r="E161" s="42" t="str">
        <f>IF(OR($B161="",$A161&gt;$B$9),"",IF(COUNTIFS(BD!$B$3:$B$5001,E$138,BD!$A$3:$A$5001,"&gt;="&amp;$C$7,BD!$A$3:$A$5001,"&lt;="&amp;$B161,BD!$W$3:$W$5001,"&lt;&gt;")=0,"",SUMIFS(BD!$W$3:$W$5001,BD!$B$3:$B$5001,E$138,BD!$A$3:$A$5001,_xlfn.MAXIFS(BD!$A$3:$A$5001,BD!$B$3:$B$5001,E$138,BD!$A$3:$A$5001,"&gt;="&amp;$C$7,BD!$A$3:$A$5001,"&lt;="&amp;$B161,BD!$W$3:$W$5001,"&lt;&gt;"))))</f>
        <v/>
      </c>
      <c r="F161" s="42" t="str">
        <f>IF(OR($B161="",$A161&gt;$B$9),"",IF(COUNTIFS(BD!$B$3:$B$5001,F$138,BD!$A$3:$A$5001,"&gt;="&amp;$C$7,BD!$A$3:$A$5001,"&lt;="&amp;$B161,BD!$W$3:$W$5001,"&lt;&gt;")=0,"",SUMIFS(BD!$W$3:$W$5001,BD!$B$3:$B$5001,F$138,BD!$A$3:$A$5001,_xlfn.MAXIFS(BD!$A$3:$A$5001,BD!$B$3:$B$5001,F$138,BD!$A$3:$A$5001,"&gt;="&amp;$C$7,BD!$A$3:$A$5001,"&lt;="&amp;$B161,BD!$W$3:$W$5001,"&lt;&gt;"))))</f>
        <v/>
      </c>
      <c r="G161" s="42" t="str">
        <f>IF(OR($B161="",$A161&gt;$B$9),"",IF(COUNTIFS(BD!$B$3:$B$5001,G$138,BD!$A$3:$A$5001,"&gt;="&amp;$C$7,BD!$A$3:$A$5001,"&lt;="&amp;$B161,BD!$W$3:$W$5001,"&lt;&gt;")=0,"",SUMIFS(BD!$W$3:$W$5001,BD!$B$3:$B$5001,G$138,BD!$A$3:$A$5001,_xlfn.MAXIFS(BD!$A$3:$A$5001,BD!$B$3:$B$5001,G$138,BD!$A$3:$A$5001,"&gt;="&amp;$C$7,BD!$A$3:$A$5001,"&lt;="&amp;$B161,BD!$W$3:$W$5001,"&lt;&gt;"))))</f>
        <v/>
      </c>
      <c r="H161" s="42" t="str">
        <f>IF(OR($B161="",$A161&gt;$B$9),"",IF(COUNTIFS(BD!$B$3:$B$5001,H$138,BD!$A$3:$A$5001,"&gt;="&amp;$C$7,BD!$A$3:$A$5001,"&lt;="&amp;$B161,BD!$W$3:$W$5001,"&lt;&gt;")=0,"",SUMIFS(BD!$W$3:$W$5001,BD!$B$3:$B$5001,H$138,BD!$A$3:$A$5001,_xlfn.MAXIFS(BD!$A$3:$A$5001,BD!$B$3:$B$5001,H$138,BD!$A$3:$A$5001,"&gt;="&amp;$C$7,BD!$A$3:$A$5001,"&lt;="&amp;$B161,BD!$W$3:$W$5001,"&lt;&gt;"))))</f>
        <v/>
      </c>
      <c r="I161" s="42" t="str">
        <f>IF(OR($B161="",$A161&gt;$B$9),"",IF(COUNTIFS(BD!$B$3:$B$5001,I$138,BD!$A$3:$A$5001,"&gt;="&amp;$C$7,BD!$A$3:$A$5001,"&lt;="&amp;$B161,BD!$W$3:$W$5001,"&lt;&gt;")=0,"",SUMIFS(BD!$W$3:$W$5001,BD!$B$3:$B$5001,I$138,BD!$A$3:$A$5001,_xlfn.MAXIFS(BD!$A$3:$A$5001,BD!$B$3:$B$5001,I$138,BD!$A$3:$A$5001,"&gt;="&amp;$C$7,BD!$A$3:$A$5001,"&lt;="&amp;$B161,BD!$W$3:$W$5001,"&lt;&gt;"))))</f>
        <v/>
      </c>
      <c r="J161" s="42" t="str">
        <f>IF(OR($B161="",$A161&gt;$B$9),"",IF(COUNTIFS(BD!$B$3:$B$5001,J$138,BD!$A$3:$A$5001,"&gt;="&amp;$C$7,BD!$A$3:$A$5001,"&lt;="&amp;$B161,BD!$W$3:$W$5001,"&lt;&gt;")=0,"",SUMIFS(BD!$W$3:$W$5001,BD!$B$3:$B$5001,J$138,BD!$A$3:$A$5001,_xlfn.MAXIFS(BD!$A$3:$A$5001,BD!$B$3:$B$5001,J$138,BD!$A$3:$A$5001,"&gt;="&amp;$C$7,BD!$A$3:$A$5001,"&lt;="&amp;$B161,BD!$W$3:$W$5001,"&lt;&gt;"))))</f>
        <v/>
      </c>
      <c r="K161" s="42" t="str">
        <f>IF(OR($B161="",$A161&gt;$B$9),"",IF(COUNTIFS(BD!$B$3:$B$5001,K$138,BD!$A$3:$A$5001,"&gt;="&amp;$C$7,BD!$A$3:$A$5001,"&lt;="&amp;$B161,BD!$W$3:$W$5001,"&lt;&gt;")=0,"",SUMIFS(BD!$W$3:$W$5001,BD!$B$3:$B$5001,K$138,BD!$A$3:$A$5001,_xlfn.MAXIFS(BD!$A$3:$A$5001,BD!$B$3:$B$5001,K$138,BD!$A$3:$A$5001,"&gt;="&amp;$C$7,BD!$A$3:$A$5001,"&lt;="&amp;$B161,BD!$W$3:$W$5001,"&lt;&gt;"))))</f>
        <v/>
      </c>
    </row>
    <row r="162">
      <c r="A162" s="40">
        <v>24</v>
      </c>
      <c r="B162" s="41">
        <f>$B$35</f>
        <v>46319</v>
      </c>
      <c r="C162" s="42" t="str">
        <f>IF(OR($B162="",$A162&gt;$B$9),"",IF(COUNTIFS(BD!$B$3:$B$5001,C$138,BD!$A$3:$A$5001,"&gt;="&amp;$C$7,BD!$A$3:$A$5001,"&lt;="&amp;$B162,BD!$W$3:$W$5001,"&lt;&gt;")=0,"",SUMIFS(BD!$W$3:$W$5001,BD!$B$3:$B$5001,C$138,BD!$A$3:$A$5001,_xlfn.MAXIFS(BD!$A$3:$A$5001,BD!$B$3:$B$5001,C$138,BD!$A$3:$A$5001,"&gt;="&amp;$C$7,BD!$A$3:$A$5001,"&lt;="&amp;$B162,BD!$W$3:$W$5001,"&lt;&gt;"))))</f>
        <v/>
      </c>
      <c r="D162" s="42" t="str">
        <f>IF(OR($B162="",$A162&gt;$B$9),"",IF(COUNTIFS(BD!$B$3:$B$5001,D$138,BD!$A$3:$A$5001,"&gt;="&amp;$C$7,BD!$A$3:$A$5001,"&lt;="&amp;$B162,BD!$W$3:$W$5001,"&lt;&gt;")=0,"",SUMIFS(BD!$W$3:$W$5001,BD!$B$3:$B$5001,D$138,BD!$A$3:$A$5001,_xlfn.MAXIFS(BD!$A$3:$A$5001,BD!$B$3:$B$5001,D$138,BD!$A$3:$A$5001,"&gt;="&amp;$C$7,BD!$A$3:$A$5001,"&lt;="&amp;$B162,BD!$W$3:$W$5001,"&lt;&gt;"))))</f>
        <v/>
      </c>
      <c r="E162" s="42" t="str">
        <f>IF(OR($B162="",$A162&gt;$B$9),"",IF(COUNTIFS(BD!$B$3:$B$5001,E$138,BD!$A$3:$A$5001,"&gt;="&amp;$C$7,BD!$A$3:$A$5001,"&lt;="&amp;$B162,BD!$W$3:$W$5001,"&lt;&gt;")=0,"",SUMIFS(BD!$W$3:$W$5001,BD!$B$3:$B$5001,E$138,BD!$A$3:$A$5001,_xlfn.MAXIFS(BD!$A$3:$A$5001,BD!$B$3:$B$5001,E$138,BD!$A$3:$A$5001,"&gt;="&amp;$C$7,BD!$A$3:$A$5001,"&lt;="&amp;$B162,BD!$W$3:$W$5001,"&lt;&gt;"))))</f>
        <v/>
      </c>
      <c r="F162" s="42" t="str">
        <f>IF(OR($B162="",$A162&gt;$B$9),"",IF(COUNTIFS(BD!$B$3:$B$5001,F$138,BD!$A$3:$A$5001,"&gt;="&amp;$C$7,BD!$A$3:$A$5001,"&lt;="&amp;$B162,BD!$W$3:$W$5001,"&lt;&gt;")=0,"",SUMIFS(BD!$W$3:$W$5001,BD!$B$3:$B$5001,F$138,BD!$A$3:$A$5001,_xlfn.MAXIFS(BD!$A$3:$A$5001,BD!$B$3:$B$5001,F$138,BD!$A$3:$A$5001,"&gt;="&amp;$C$7,BD!$A$3:$A$5001,"&lt;="&amp;$B162,BD!$W$3:$W$5001,"&lt;&gt;"))))</f>
        <v/>
      </c>
      <c r="G162" s="42" t="str">
        <f>IF(OR($B162="",$A162&gt;$B$9),"",IF(COUNTIFS(BD!$B$3:$B$5001,G$138,BD!$A$3:$A$5001,"&gt;="&amp;$C$7,BD!$A$3:$A$5001,"&lt;="&amp;$B162,BD!$W$3:$W$5001,"&lt;&gt;")=0,"",SUMIFS(BD!$W$3:$W$5001,BD!$B$3:$B$5001,G$138,BD!$A$3:$A$5001,_xlfn.MAXIFS(BD!$A$3:$A$5001,BD!$B$3:$B$5001,G$138,BD!$A$3:$A$5001,"&gt;="&amp;$C$7,BD!$A$3:$A$5001,"&lt;="&amp;$B162,BD!$W$3:$W$5001,"&lt;&gt;"))))</f>
        <v/>
      </c>
      <c r="H162" s="42" t="str">
        <f>IF(OR($B162="",$A162&gt;$B$9),"",IF(COUNTIFS(BD!$B$3:$B$5001,H$138,BD!$A$3:$A$5001,"&gt;="&amp;$C$7,BD!$A$3:$A$5001,"&lt;="&amp;$B162,BD!$W$3:$W$5001,"&lt;&gt;")=0,"",SUMIFS(BD!$W$3:$W$5001,BD!$B$3:$B$5001,H$138,BD!$A$3:$A$5001,_xlfn.MAXIFS(BD!$A$3:$A$5001,BD!$B$3:$B$5001,H$138,BD!$A$3:$A$5001,"&gt;="&amp;$C$7,BD!$A$3:$A$5001,"&lt;="&amp;$B162,BD!$W$3:$W$5001,"&lt;&gt;"))))</f>
        <v/>
      </c>
      <c r="I162" s="42" t="str">
        <f>IF(OR($B162="",$A162&gt;$B$9),"",IF(COUNTIFS(BD!$B$3:$B$5001,I$138,BD!$A$3:$A$5001,"&gt;="&amp;$C$7,BD!$A$3:$A$5001,"&lt;="&amp;$B162,BD!$W$3:$W$5001,"&lt;&gt;")=0,"",SUMIFS(BD!$W$3:$W$5001,BD!$B$3:$B$5001,I$138,BD!$A$3:$A$5001,_xlfn.MAXIFS(BD!$A$3:$A$5001,BD!$B$3:$B$5001,I$138,BD!$A$3:$A$5001,"&gt;="&amp;$C$7,BD!$A$3:$A$5001,"&lt;="&amp;$B162,BD!$W$3:$W$5001,"&lt;&gt;"))))</f>
        <v/>
      </c>
      <c r="J162" s="42" t="str">
        <f>IF(OR($B162="",$A162&gt;$B$9),"",IF(COUNTIFS(BD!$B$3:$B$5001,J$138,BD!$A$3:$A$5001,"&gt;="&amp;$C$7,BD!$A$3:$A$5001,"&lt;="&amp;$B162,BD!$W$3:$W$5001,"&lt;&gt;")=0,"",SUMIFS(BD!$W$3:$W$5001,BD!$B$3:$B$5001,J$138,BD!$A$3:$A$5001,_xlfn.MAXIFS(BD!$A$3:$A$5001,BD!$B$3:$B$5001,J$138,BD!$A$3:$A$5001,"&gt;="&amp;$C$7,BD!$A$3:$A$5001,"&lt;="&amp;$B162,BD!$W$3:$W$5001,"&lt;&gt;"))))</f>
        <v/>
      </c>
      <c r="K162" s="42" t="str">
        <f>IF(OR($B162="",$A162&gt;$B$9),"",IF(COUNTIFS(BD!$B$3:$B$5001,K$138,BD!$A$3:$A$5001,"&gt;="&amp;$C$7,BD!$A$3:$A$5001,"&lt;="&amp;$B162,BD!$W$3:$W$5001,"&lt;&gt;")=0,"",SUMIFS(BD!$W$3:$W$5001,BD!$B$3:$B$5001,K$138,BD!$A$3:$A$5001,_xlfn.MAXIFS(BD!$A$3:$A$5001,BD!$B$3:$B$5001,K$138,BD!$A$3:$A$5001,"&gt;="&amp;$C$7,BD!$A$3:$A$5001,"&lt;="&amp;$B162,BD!$W$3:$W$5001,"&lt;&gt;"))))</f>
        <v/>
      </c>
    </row>
    <row r="163">
      <c r="A163" s="40">
        <v>25</v>
      </c>
      <c r="B163" s="41">
        <f>$B$36</f>
        <v>46320</v>
      </c>
      <c r="C163" s="42" t="str">
        <f>IF(OR($B163="",$A163&gt;$B$9),"",IF(COUNTIFS(BD!$B$3:$B$5001,C$138,BD!$A$3:$A$5001,"&gt;="&amp;$C$7,BD!$A$3:$A$5001,"&lt;="&amp;$B163,BD!$W$3:$W$5001,"&lt;&gt;")=0,"",SUMIFS(BD!$W$3:$W$5001,BD!$B$3:$B$5001,C$138,BD!$A$3:$A$5001,_xlfn.MAXIFS(BD!$A$3:$A$5001,BD!$B$3:$B$5001,C$138,BD!$A$3:$A$5001,"&gt;="&amp;$C$7,BD!$A$3:$A$5001,"&lt;="&amp;$B163,BD!$W$3:$W$5001,"&lt;&gt;"))))</f>
        <v/>
      </c>
      <c r="D163" s="42" t="str">
        <f>IF(OR($B163="",$A163&gt;$B$9),"",IF(COUNTIFS(BD!$B$3:$B$5001,D$138,BD!$A$3:$A$5001,"&gt;="&amp;$C$7,BD!$A$3:$A$5001,"&lt;="&amp;$B163,BD!$W$3:$W$5001,"&lt;&gt;")=0,"",SUMIFS(BD!$W$3:$W$5001,BD!$B$3:$B$5001,D$138,BD!$A$3:$A$5001,_xlfn.MAXIFS(BD!$A$3:$A$5001,BD!$B$3:$B$5001,D$138,BD!$A$3:$A$5001,"&gt;="&amp;$C$7,BD!$A$3:$A$5001,"&lt;="&amp;$B163,BD!$W$3:$W$5001,"&lt;&gt;"))))</f>
        <v/>
      </c>
      <c r="E163" s="42" t="str">
        <f>IF(OR($B163="",$A163&gt;$B$9),"",IF(COUNTIFS(BD!$B$3:$B$5001,E$138,BD!$A$3:$A$5001,"&gt;="&amp;$C$7,BD!$A$3:$A$5001,"&lt;="&amp;$B163,BD!$W$3:$W$5001,"&lt;&gt;")=0,"",SUMIFS(BD!$W$3:$W$5001,BD!$B$3:$B$5001,E$138,BD!$A$3:$A$5001,_xlfn.MAXIFS(BD!$A$3:$A$5001,BD!$B$3:$B$5001,E$138,BD!$A$3:$A$5001,"&gt;="&amp;$C$7,BD!$A$3:$A$5001,"&lt;="&amp;$B163,BD!$W$3:$W$5001,"&lt;&gt;"))))</f>
        <v/>
      </c>
      <c r="F163" s="42" t="str">
        <f>IF(OR($B163="",$A163&gt;$B$9),"",IF(COUNTIFS(BD!$B$3:$B$5001,F$138,BD!$A$3:$A$5001,"&gt;="&amp;$C$7,BD!$A$3:$A$5001,"&lt;="&amp;$B163,BD!$W$3:$W$5001,"&lt;&gt;")=0,"",SUMIFS(BD!$W$3:$W$5001,BD!$B$3:$B$5001,F$138,BD!$A$3:$A$5001,_xlfn.MAXIFS(BD!$A$3:$A$5001,BD!$B$3:$B$5001,F$138,BD!$A$3:$A$5001,"&gt;="&amp;$C$7,BD!$A$3:$A$5001,"&lt;="&amp;$B163,BD!$W$3:$W$5001,"&lt;&gt;"))))</f>
        <v/>
      </c>
      <c r="G163" s="42" t="str">
        <f>IF(OR($B163="",$A163&gt;$B$9),"",IF(COUNTIFS(BD!$B$3:$B$5001,G$138,BD!$A$3:$A$5001,"&gt;="&amp;$C$7,BD!$A$3:$A$5001,"&lt;="&amp;$B163,BD!$W$3:$W$5001,"&lt;&gt;")=0,"",SUMIFS(BD!$W$3:$W$5001,BD!$B$3:$B$5001,G$138,BD!$A$3:$A$5001,_xlfn.MAXIFS(BD!$A$3:$A$5001,BD!$B$3:$B$5001,G$138,BD!$A$3:$A$5001,"&gt;="&amp;$C$7,BD!$A$3:$A$5001,"&lt;="&amp;$B163,BD!$W$3:$W$5001,"&lt;&gt;"))))</f>
        <v/>
      </c>
      <c r="H163" s="42" t="str">
        <f>IF(OR($B163="",$A163&gt;$B$9),"",IF(COUNTIFS(BD!$B$3:$B$5001,H$138,BD!$A$3:$A$5001,"&gt;="&amp;$C$7,BD!$A$3:$A$5001,"&lt;="&amp;$B163,BD!$W$3:$W$5001,"&lt;&gt;")=0,"",SUMIFS(BD!$W$3:$W$5001,BD!$B$3:$B$5001,H$138,BD!$A$3:$A$5001,_xlfn.MAXIFS(BD!$A$3:$A$5001,BD!$B$3:$B$5001,H$138,BD!$A$3:$A$5001,"&gt;="&amp;$C$7,BD!$A$3:$A$5001,"&lt;="&amp;$B163,BD!$W$3:$W$5001,"&lt;&gt;"))))</f>
        <v/>
      </c>
      <c r="I163" s="42" t="str">
        <f>IF(OR($B163="",$A163&gt;$B$9),"",IF(COUNTIFS(BD!$B$3:$B$5001,I$138,BD!$A$3:$A$5001,"&gt;="&amp;$C$7,BD!$A$3:$A$5001,"&lt;="&amp;$B163,BD!$W$3:$W$5001,"&lt;&gt;")=0,"",SUMIFS(BD!$W$3:$W$5001,BD!$B$3:$B$5001,I$138,BD!$A$3:$A$5001,_xlfn.MAXIFS(BD!$A$3:$A$5001,BD!$B$3:$B$5001,I$138,BD!$A$3:$A$5001,"&gt;="&amp;$C$7,BD!$A$3:$A$5001,"&lt;="&amp;$B163,BD!$W$3:$W$5001,"&lt;&gt;"))))</f>
        <v/>
      </c>
      <c r="J163" s="42" t="str">
        <f>IF(OR($B163="",$A163&gt;$B$9),"",IF(COUNTIFS(BD!$B$3:$B$5001,J$138,BD!$A$3:$A$5001,"&gt;="&amp;$C$7,BD!$A$3:$A$5001,"&lt;="&amp;$B163,BD!$W$3:$W$5001,"&lt;&gt;")=0,"",SUMIFS(BD!$W$3:$W$5001,BD!$B$3:$B$5001,J$138,BD!$A$3:$A$5001,_xlfn.MAXIFS(BD!$A$3:$A$5001,BD!$B$3:$B$5001,J$138,BD!$A$3:$A$5001,"&gt;="&amp;$C$7,BD!$A$3:$A$5001,"&lt;="&amp;$B163,BD!$W$3:$W$5001,"&lt;&gt;"))))</f>
        <v/>
      </c>
      <c r="K163" s="42" t="str">
        <f>IF(OR($B163="",$A163&gt;$B$9),"",IF(COUNTIFS(BD!$B$3:$B$5001,K$138,BD!$A$3:$A$5001,"&gt;="&amp;$C$7,BD!$A$3:$A$5001,"&lt;="&amp;$B163,BD!$W$3:$W$5001,"&lt;&gt;")=0,"",SUMIFS(BD!$W$3:$W$5001,BD!$B$3:$B$5001,K$138,BD!$A$3:$A$5001,_xlfn.MAXIFS(BD!$A$3:$A$5001,BD!$B$3:$B$5001,K$138,BD!$A$3:$A$5001,"&gt;="&amp;$C$7,BD!$A$3:$A$5001,"&lt;="&amp;$B163,BD!$W$3:$W$5001,"&lt;&gt;"))))</f>
        <v/>
      </c>
    </row>
    <row r="164">
      <c r="A164" s="40">
        <v>26</v>
      </c>
      <c r="B164" s="41">
        <f>$B$37</f>
        <v>46321</v>
      </c>
      <c r="C164" s="42" t="str">
        <f>IF(OR($B164="",$A164&gt;$B$9),"",IF(COUNTIFS(BD!$B$3:$B$5001,C$138,BD!$A$3:$A$5001,"&gt;="&amp;$C$7,BD!$A$3:$A$5001,"&lt;="&amp;$B164,BD!$W$3:$W$5001,"&lt;&gt;")=0,"",SUMIFS(BD!$W$3:$W$5001,BD!$B$3:$B$5001,C$138,BD!$A$3:$A$5001,_xlfn.MAXIFS(BD!$A$3:$A$5001,BD!$B$3:$B$5001,C$138,BD!$A$3:$A$5001,"&gt;="&amp;$C$7,BD!$A$3:$A$5001,"&lt;="&amp;$B164,BD!$W$3:$W$5001,"&lt;&gt;"))))</f>
        <v/>
      </c>
      <c r="D164" s="42" t="str">
        <f>IF(OR($B164="",$A164&gt;$B$9),"",IF(COUNTIFS(BD!$B$3:$B$5001,D$138,BD!$A$3:$A$5001,"&gt;="&amp;$C$7,BD!$A$3:$A$5001,"&lt;="&amp;$B164,BD!$W$3:$W$5001,"&lt;&gt;")=0,"",SUMIFS(BD!$W$3:$W$5001,BD!$B$3:$B$5001,D$138,BD!$A$3:$A$5001,_xlfn.MAXIFS(BD!$A$3:$A$5001,BD!$B$3:$B$5001,D$138,BD!$A$3:$A$5001,"&gt;="&amp;$C$7,BD!$A$3:$A$5001,"&lt;="&amp;$B164,BD!$W$3:$W$5001,"&lt;&gt;"))))</f>
        <v/>
      </c>
      <c r="E164" s="42" t="str">
        <f>IF(OR($B164="",$A164&gt;$B$9),"",IF(COUNTIFS(BD!$B$3:$B$5001,E$138,BD!$A$3:$A$5001,"&gt;="&amp;$C$7,BD!$A$3:$A$5001,"&lt;="&amp;$B164,BD!$W$3:$W$5001,"&lt;&gt;")=0,"",SUMIFS(BD!$W$3:$W$5001,BD!$B$3:$B$5001,E$138,BD!$A$3:$A$5001,_xlfn.MAXIFS(BD!$A$3:$A$5001,BD!$B$3:$B$5001,E$138,BD!$A$3:$A$5001,"&gt;="&amp;$C$7,BD!$A$3:$A$5001,"&lt;="&amp;$B164,BD!$W$3:$W$5001,"&lt;&gt;"))))</f>
        <v/>
      </c>
      <c r="F164" s="42" t="str">
        <f>IF(OR($B164="",$A164&gt;$B$9),"",IF(COUNTIFS(BD!$B$3:$B$5001,F$138,BD!$A$3:$A$5001,"&gt;="&amp;$C$7,BD!$A$3:$A$5001,"&lt;="&amp;$B164,BD!$W$3:$W$5001,"&lt;&gt;")=0,"",SUMIFS(BD!$W$3:$W$5001,BD!$B$3:$B$5001,F$138,BD!$A$3:$A$5001,_xlfn.MAXIFS(BD!$A$3:$A$5001,BD!$B$3:$B$5001,F$138,BD!$A$3:$A$5001,"&gt;="&amp;$C$7,BD!$A$3:$A$5001,"&lt;="&amp;$B164,BD!$W$3:$W$5001,"&lt;&gt;"))))</f>
        <v/>
      </c>
      <c r="G164" s="42" t="str">
        <f>IF(OR($B164="",$A164&gt;$B$9),"",IF(COUNTIFS(BD!$B$3:$B$5001,G$138,BD!$A$3:$A$5001,"&gt;="&amp;$C$7,BD!$A$3:$A$5001,"&lt;="&amp;$B164,BD!$W$3:$W$5001,"&lt;&gt;")=0,"",SUMIFS(BD!$W$3:$W$5001,BD!$B$3:$B$5001,G$138,BD!$A$3:$A$5001,_xlfn.MAXIFS(BD!$A$3:$A$5001,BD!$B$3:$B$5001,G$138,BD!$A$3:$A$5001,"&gt;="&amp;$C$7,BD!$A$3:$A$5001,"&lt;="&amp;$B164,BD!$W$3:$W$5001,"&lt;&gt;"))))</f>
        <v/>
      </c>
      <c r="H164" s="42" t="str">
        <f>IF(OR($B164="",$A164&gt;$B$9),"",IF(COUNTIFS(BD!$B$3:$B$5001,H$138,BD!$A$3:$A$5001,"&gt;="&amp;$C$7,BD!$A$3:$A$5001,"&lt;="&amp;$B164,BD!$W$3:$W$5001,"&lt;&gt;")=0,"",SUMIFS(BD!$W$3:$W$5001,BD!$B$3:$B$5001,H$138,BD!$A$3:$A$5001,_xlfn.MAXIFS(BD!$A$3:$A$5001,BD!$B$3:$B$5001,H$138,BD!$A$3:$A$5001,"&gt;="&amp;$C$7,BD!$A$3:$A$5001,"&lt;="&amp;$B164,BD!$W$3:$W$5001,"&lt;&gt;"))))</f>
        <v/>
      </c>
      <c r="I164" s="42" t="str">
        <f>IF(OR($B164="",$A164&gt;$B$9),"",IF(COUNTIFS(BD!$B$3:$B$5001,I$138,BD!$A$3:$A$5001,"&gt;="&amp;$C$7,BD!$A$3:$A$5001,"&lt;="&amp;$B164,BD!$W$3:$W$5001,"&lt;&gt;")=0,"",SUMIFS(BD!$W$3:$W$5001,BD!$B$3:$B$5001,I$138,BD!$A$3:$A$5001,_xlfn.MAXIFS(BD!$A$3:$A$5001,BD!$B$3:$B$5001,I$138,BD!$A$3:$A$5001,"&gt;="&amp;$C$7,BD!$A$3:$A$5001,"&lt;="&amp;$B164,BD!$W$3:$W$5001,"&lt;&gt;"))))</f>
        <v/>
      </c>
      <c r="J164" s="42" t="str">
        <f>IF(OR($B164="",$A164&gt;$B$9),"",IF(COUNTIFS(BD!$B$3:$B$5001,J$138,BD!$A$3:$A$5001,"&gt;="&amp;$C$7,BD!$A$3:$A$5001,"&lt;="&amp;$B164,BD!$W$3:$W$5001,"&lt;&gt;")=0,"",SUMIFS(BD!$W$3:$W$5001,BD!$B$3:$B$5001,J$138,BD!$A$3:$A$5001,_xlfn.MAXIFS(BD!$A$3:$A$5001,BD!$B$3:$B$5001,J$138,BD!$A$3:$A$5001,"&gt;="&amp;$C$7,BD!$A$3:$A$5001,"&lt;="&amp;$B164,BD!$W$3:$W$5001,"&lt;&gt;"))))</f>
        <v/>
      </c>
      <c r="K164" s="42" t="str">
        <f>IF(OR($B164="",$A164&gt;$B$9),"",IF(COUNTIFS(BD!$B$3:$B$5001,K$138,BD!$A$3:$A$5001,"&gt;="&amp;$C$7,BD!$A$3:$A$5001,"&lt;="&amp;$B164,BD!$W$3:$W$5001,"&lt;&gt;")=0,"",SUMIFS(BD!$W$3:$W$5001,BD!$B$3:$B$5001,K$138,BD!$A$3:$A$5001,_xlfn.MAXIFS(BD!$A$3:$A$5001,BD!$B$3:$B$5001,K$138,BD!$A$3:$A$5001,"&gt;="&amp;$C$7,BD!$A$3:$A$5001,"&lt;="&amp;$B164,BD!$W$3:$W$5001,"&lt;&gt;"))))</f>
        <v/>
      </c>
    </row>
    <row r="165">
      <c r="A165" s="40">
        <v>27</v>
      </c>
      <c r="B165" s="41">
        <f>$B$38</f>
        <v>46322</v>
      </c>
      <c r="C165" s="42" t="str">
        <f>IF(OR($B165="",$A165&gt;$B$9),"",IF(COUNTIFS(BD!$B$3:$B$5001,C$138,BD!$A$3:$A$5001,"&gt;="&amp;$C$7,BD!$A$3:$A$5001,"&lt;="&amp;$B165,BD!$W$3:$W$5001,"&lt;&gt;")=0,"",SUMIFS(BD!$W$3:$W$5001,BD!$B$3:$B$5001,C$138,BD!$A$3:$A$5001,_xlfn.MAXIFS(BD!$A$3:$A$5001,BD!$B$3:$B$5001,C$138,BD!$A$3:$A$5001,"&gt;="&amp;$C$7,BD!$A$3:$A$5001,"&lt;="&amp;$B165,BD!$W$3:$W$5001,"&lt;&gt;"))))</f>
        <v/>
      </c>
      <c r="D165" s="42" t="str">
        <f>IF(OR($B165="",$A165&gt;$B$9),"",IF(COUNTIFS(BD!$B$3:$B$5001,D$138,BD!$A$3:$A$5001,"&gt;="&amp;$C$7,BD!$A$3:$A$5001,"&lt;="&amp;$B165,BD!$W$3:$W$5001,"&lt;&gt;")=0,"",SUMIFS(BD!$W$3:$W$5001,BD!$B$3:$B$5001,D$138,BD!$A$3:$A$5001,_xlfn.MAXIFS(BD!$A$3:$A$5001,BD!$B$3:$B$5001,D$138,BD!$A$3:$A$5001,"&gt;="&amp;$C$7,BD!$A$3:$A$5001,"&lt;="&amp;$B165,BD!$W$3:$W$5001,"&lt;&gt;"))))</f>
        <v/>
      </c>
      <c r="E165" s="42" t="str">
        <f>IF(OR($B165="",$A165&gt;$B$9),"",IF(COUNTIFS(BD!$B$3:$B$5001,E$138,BD!$A$3:$A$5001,"&gt;="&amp;$C$7,BD!$A$3:$A$5001,"&lt;="&amp;$B165,BD!$W$3:$W$5001,"&lt;&gt;")=0,"",SUMIFS(BD!$W$3:$W$5001,BD!$B$3:$B$5001,E$138,BD!$A$3:$A$5001,_xlfn.MAXIFS(BD!$A$3:$A$5001,BD!$B$3:$B$5001,E$138,BD!$A$3:$A$5001,"&gt;="&amp;$C$7,BD!$A$3:$A$5001,"&lt;="&amp;$B165,BD!$W$3:$W$5001,"&lt;&gt;"))))</f>
        <v/>
      </c>
      <c r="F165" s="42" t="str">
        <f>IF(OR($B165="",$A165&gt;$B$9),"",IF(COUNTIFS(BD!$B$3:$B$5001,F$138,BD!$A$3:$A$5001,"&gt;="&amp;$C$7,BD!$A$3:$A$5001,"&lt;="&amp;$B165,BD!$W$3:$W$5001,"&lt;&gt;")=0,"",SUMIFS(BD!$W$3:$W$5001,BD!$B$3:$B$5001,F$138,BD!$A$3:$A$5001,_xlfn.MAXIFS(BD!$A$3:$A$5001,BD!$B$3:$B$5001,F$138,BD!$A$3:$A$5001,"&gt;="&amp;$C$7,BD!$A$3:$A$5001,"&lt;="&amp;$B165,BD!$W$3:$W$5001,"&lt;&gt;"))))</f>
        <v/>
      </c>
      <c r="G165" s="42" t="str">
        <f>IF(OR($B165="",$A165&gt;$B$9),"",IF(COUNTIFS(BD!$B$3:$B$5001,G$138,BD!$A$3:$A$5001,"&gt;="&amp;$C$7,BD!$A$3:$A$5001,"&lt;="&amp;$B165,BD!$W$3:$W$5001,"&lt;&gt;")=0,"",SUMIFS(BD!$W$3:$W$5001,BD!$B$3:$B$5001,G$138,BD!$A$3:$A$5001,_xlfn.MAXIFS(BD!$A$3:$A$5001,BD!$B$3:$B$5001,G$138,BD!$A$3:$A$5001,"&gt;="&amp;$C$7,BD!$A$3:$A$5001,"&lt;="&amp;$B165,BD!$W$3:$W$5001,"&lt;&gt;"))))</f>
        <v/>
      </c>
      <c r="H165" s="42" t="str">
        <f>IF(OR($B165="",$A165&gt;$B$9),"",IF(COUNTIFS(BD!$B$3:$B$5001,H$138,BD!$A$3:$A$5001,"&gt;="&amp;$C$7,BD!$A$3:$A$5001,"&lt;="&amp;$B165,BD!$W$3:$W$5001,"&lt;&gt;")=0,"",SUMIFS(BD!$W$3:$W$5001,BD!$B$3:$B$5001,H$138,BD!$A$3:$A$5001,_xlfn.MAXIFS(BD!$A$3:$A$5001,BD!$B$3:$B$5001,H$138,BD!$A$3:$A$5001,"&gt;="&amp;$C$7,BD!$A$3:$A$5001,"&lt;="&amp;$B165,BD!$W$3:$W$5001,"&lt;&gt;"))))</f>
        <v/>
      </c>
      <c r="I165" s="42" t="str">
        <f>IF(OR($B165="",$A165&gt;$B$9),"",IF(COUNTIFS(BD!$B$3:$B$5001,I$138,BD!$A$3:$A$5001,"&gt;="&amp;$C$7,BD!$A$3:$A$5001,"&lt;="&amp;$B165,BD!$W$3:$W$5001,"&lt;&gt;")=0,"",SUMIFS(BD!$W$3:$W$5001,BD!$B$3:$B$5001,I$138,BD!$A$3:$A$5001,_xlfn.MAXIFS(BD!$A$3:$A$5001,BD!$B$3:$B$5001,I$138,BD!$A$3:$A$5001,"&gt;="&amp;$C$7,BD!$A$3:$A$5001,"&lt;="&amp;$B165,BD!$W$3:$W$5001,"&lt;&gt;"))))</f>
        <v/>
      </c>
      <c r="J165" s="42" t="str">
        <f>IF(OR($B165="",$A165&gt;$B$9),"",IF(COUNTIFS(BD!$B$3:$B$5001,J$138,BD!$A$3:$A$5001,"&gt;="&amp;$C$7,BD!$A$3:$A$5001,"&lt;="&amp;$B165,BD!$W$3:$W$5001,"&lt;&gt;")=0,"",SUMIFS(BD!$W$3:$W$5001,BD!$B$3:$B$5001,J$138,BD!$A$3:$A$5001,_xlfn.MAXIFS(BD!$A$3:$A$5001,BD!$B$3:$B$5001,J$138,BD!$A$3:$A$5001,"&gt;="&amp;$C$7,BD!$A$3:$A$5001,"&lt;="&amp;$B165,BD!$W$3:$W$5001,"&lt;&gt;"))))</f>
        <v/>
      </c>
      <c r="K165" s="42" t="str">
        <f>IF(OR($B165="",$A165&gt;$B$9),"",IF(COUNTIFS(BD!$B$3:$B$5001,K$138,BD!$A$3:$A$5001,"&gt;="&amp;$C$7,BD!$A$3:$A$5001,"&lt;="&amp;$B165,BD!$W$3:$W$5001,"&lt;&gt;")=0,"",SUMIFS(BD!$W$3:$W$5001,BD!$B$3:$B$5001,K$138,BD!$A$3:$A$5001,_xlfn.MAXIFS(BD!$A$3:$A$5001,BD!$B$3:$B$5001,K$138,BD!$A$3:$A$5001,"&gt;="&amp;$C$7,BD!$A$3:$A$5001,"&lt;="&amp;$B165,BD!$W$3:$W$5001,"&lt;&gt;"))))</f>
        <v/>
      </c>
    </row>
    <row r="166">
      <c r="A166" s="40">
        <v>28</v>
      </c>
      <c r="B166" s="41">
        <f>$B$39</f>
        <v>46323</v>
      </c>
      <c r="C166" s="42" t="str">
        <f>IF(OR($B166="",$A166&gt;$B$9),"",IF(COUNTIFS(BD!$B$3:$B$5001,C$138,BD!$A$3:$A$5001,"&gt;="&amp;$C$7,BD!$A$3:$A$5001,"&lt;="&amp;$B166,BD!$W$3:$W$5001,"&lt;&gt;")=0,"",SUMIFS(BD!$W$3:$W$5001,BD!$B$3:$B$5001,C$138,BD!$A$3:$A$5001,_xlfn.MAXIFS(BD!$A$3:$A$5001,BD!$B$3:$B$5001,C$138,BD!$A$3:$A$5001,"&gt;="&amp;$C$7,BD!$A$3:$A$5001,"&lt;="&amp;$B166,BD!$W$3:$W$5001,"&lt;&gt;"))))</f>
        <v/>
      </c>
      <c r="D166" s="42" t="str">
        <f>IF(OR($B166="",$A166&gt;$B$9),"",IF(COUNTIFS(BD!$B$3:$B$5001,D$138,BD!$A$3:$A$5001,"&gt;="&amp;$C$7,BD!$A$3:$A$5001,"&lt;="&amp;$B166,BD!$W$3:$W$5001,"&lt;&gt;")=0,"",SUMIFS(BD!$W$3:$W$5001,BD!$B$3:$B$5001,D$138,BD!$A$3:$A$5001,_xlfn.MAXIFS(BD!$A$3:$A$5001,BD!$B$3:$B$5001,D$138,BD!$A$3:$A$5001,"&gt;="&amp;$C$7,BD!$A$3:$A$5001,"&lt;="&amp;$B166,BD!$W$3:$W$5001,"&lt;&gt;"))))</f>
        <v/>
      </c>
      <c r="E166" s="42" t="str">
        <f>IF(OR($B166="",$A166&gt;$B$9),"",IF(COUNTIFS(BD!$B$3:$B$5001,E$138,BD!$A$3:$A$5001,"&gt;="&amp;$C$7,BD!$A$3:$A$5001,"&lt;="&amp;$B166,BD!$W$3:$W$5001,"&lt;&gt;")=0,"",SUMIFS(BD!$W$3:$W$5001,BD!$B$3:$B$5001,E$138,BD!$A$3:$A$5001,_xlfn.MAXIFS(BD!$A$3:$A$5001,BD!$B$3:$B$5001,E$138,BD!$A$3:$A$5001,"&gt;="&amp;$C$7,BD!$A$3:$A$5001,"&lt;="&amp;$B166,BD!$W$3:$W$5001,"&lt;&gt;"))))</f>
        <v/>
      </c>
      <c r="F166" s="42" t="str">
        <f>IF(OR($B166="",$A166&gt;$B$9),"",IF(COUNTIFS(BD!$B$3:$B$5001,F$138,BD!$A$3:$A$5001,"&gt;="&amp;$C$7,BD!$A$3:$A$5001,"&lt;="&amp;$B166,BD!$W$3:$W$5001,"&lt;&gt;")=0,"",SUMIFS(BD!$W$3:$W$5001,BD!$B$3:$B$5001,F$138,BD!$A$3:$A$5001,_xlfn.MAXIFS(BD!$A$3:$A$5001,BD!$B$3:$B$5001,F$138,BD!$A$3:$A$5001,"&gt;="&amp;$C$7,BD!$A$3:$A$5001,"&lt;="&amp;$B166,BD!$W$3:$W$5001,"&lt;&gt;"))))</f>
        <v/>
      </c>
      <c r="G166" s="42" t="str">
        <f>IF(OR($B166="",$A166&gt;$B$9),"",IF(COUNTIFS(BD!$B$3:$B$5001,G$138,BD!$A$3:$A$5001,"&gt;="&amp;$C$7,BD!$A$3:$A$5001,"&lt;="&amp;$B166,BD!$W$3:$W$5001,"&lt;&gt;")=0,"",SUMIFS(BD!$W$3:$W$5001,BD!$B$3:$B$5001,G$138,BD!$A$3:$A$5001,_xlfn.MAXIFS(BD!$A$3:$A$5001,BD!$B$3:$B$5001,G$138,BD!$A$3:$A$5001,"&gt;="&amp;$C$7,BD!$A$3:$A$5001,"&lt;="&amp;$B166,BD!$W$3:$W$5001,"&lt;&gt;"))))</f>
        <v/>
      </c>
      <c r="H166" s="42" t="str">
        <f>IF(OR($B166="",$A166&gt;$B$9),"",IF(COUNTIFS(BD!$B$3:$B$5001,H$138,BD!$A$3:$A$5001,"&gt;="&amp;$C$7,BD!$A$3:$A$5001,"&lt;="&amp;$B166,BD!$W$3:$W$5001,"&lt;&gt;")=0,"",SUMIFS(BD!$W$3:$W$5001,BD!$B$3:$B$5001,H$138,BD!$A$3:$A$5001,_xlfn.MAXIFS(BD!$A$3:$A$5001,BD!$B$3:$B$5001,H$138,BD!$A$3:$A$5001,"&gt;="&amp;$C$7,BD!$A$3:$A$5001,"&lt;="&amp;$B166,BD!$W$3:$W$5001,"&lt;&gt;"))))</f>
        <v/>
      </c>
      <c r="I166" s="42" t="str">
        <f>IF(OR($B166="",$A166&gt;$B$9),"",IF(COUNTIFS(BD!$B$3:$B$5001,I$138,BD!$A$3:$A$5001,"&gt;="&amp;$C$7,BD!$A$3:$A$5001,"&lt;="&amp;$B166,BD!$W$3:$W$5001,"&lt;&gt;")=0,"",SUMIFS(BD!$W$3:$W$5001,BD!$B$3:$B$5001,I$138,BD!$A$3:$A$5001,_xlfn.MAXIFS(BD!$A$3:$A$5001,BD!$B$3:$B$5001,I$138,BD!$A$3:$A$5001,"&gt;="&amp;$C$7,BD!$A$3:$A$5001,"&lt;="&amp;$B166,BD!$W$3:$W$5001,"&lt;&gt;"))))</f>
        <v/>
      </c>
      <c r="J166" s="42" t="str">
        <f>IF(OR($B166="",$A166&gt;$B$9),"",IF(COUNTIFS(BD!$B$3:$B$5001,J$138,BD!$A$3:$A$5001,"&gt;="&amp;$C$7,BD!$A$3:$A$5001,"&lt;="&amp;$B166,BD!$W$3:$W$5001,"&lt;&gt;")=0,"",SUMIFS(BD!$W$3:$W$5001,BD!$B$3:$B$5001,J$138,BD!$A$3:$A$5001,_xlfn.MAXIFS(BD!$A$3:$A$5001,BD!$B$3:$B$5001,J$138,BD!$A$3:$A$5001,"&gt;="&amp;$C$7,BD!$A$3:$A$5001,"&lt;="&amp;$B166,BD!$W$3:$W$5001,"&lt;&gt;"))))</f>
        <v/>
      </c>
      <c r="K166" s="42" t="str">
        <f>IF(OR($B166="",$A166&gt;$B$9),"",IF(COUNTIFS(BD!$B$3:$B$5001,K$138,BD!$A$3:$A$5001,"&gt;="&amp;$C$7,BD!$A$3:$A$5001,"&lt;="&amp;$B166,BD!$W$3:$W$5001,"&lt;&gt;")=0,"",SUMIFS(BD!$W$3:$W$5001,BD!$B$3:$B$5001,K$138,BD!$A$3:$A$5001,_xlfn.MAXIFS(BD!$A$3:$A$5001,BD!$B$3:$B$5001,K$138,BD!$A$3:$A$5001,"&gt;="&amp;$C$7,BD!$A$3:$A$5001,"&lt;="&amp;$B166,BD!$W$3:$W$5001,"&lt;&gt;"))))</f>
        <v/>
      </c>
    </row>
    <row r="167">
      <c r="A167" s="40">
        <v>29</v>
      </c>
      <c r="B167" s="41">
        <f>$B$40</f>
        <v>46324</v>
      </c>
      <c r="C167" s="42" t="str">
        <f>IF(OR($B167="",$A167&gt;$B$9),"",IF(COUNTIFS(BD!$B$3:$B$5001,C$138,BD!$A$3:$A$5001,"&gt;="&amp;$C$7,BD!$A$3:$A$5001,"&lt;="&amp;$B167,BD!$W$3:$W$5001,"&lt;&gt;")=0,"",SUMIFS(BD!$W$3:$W$5001,BD!$B$3:$B$5001,C$138,BD!$A$3:$A$5001,_xlfn.MAXIFS(BD!$A$3:$A$5001,BD!$B$3:$B$5001,C$138,BD!$A$3:$A$5001,"&gt;="&amp;$C$7,BD!$A$3:$A$5001,"&lt;="&amp;$B167,BD!$W$3:$W$5001,"&lt;&gt;"))))</f>
        <v/>
      </c>
      <c r="D167" s="42" t="str">
        <f>IF(OR($B167="",$A167&gt;$B$9),"",IF(COUNTIFS(BD!$B$3:$B$5001,D$138,BD!$A$3:$A$5001,"&gt;="&amp;$C$7,BD!$A$3:$A$5001,"&lt;="&amp;$B167,BD!$W$3:$W$5001,"&lt;&gt;")=0,"",SUMIFS(BD!$W$3:$W$5001,BD!$B$3:$B$5001,D$138,BD!$A$3:$A$5001,_xlfn.MAXIFS(BD!$A$3:$A$5001,BD!$B$3:$B$5001,D$138,BD!$A$3:$A$5001,"&gt;="&amp;$C$7,BD!$A$3:$A$5001,"&lt;="&amp;$B167,BD!$W$3:$W$5001,"&lt;&gt;"))))</f>
        <v/>
      </c>
      <c r="E167" s="42" t="str">
        <f>IF(OR($B167="",$A167&gt;$B$9),"",IF(COUNTIFS(BD!$B$3:$B$5001,E$138,BD!$A$3:$A$5001,"&gt;="&amp;$C$7,BD!$A$3:$A$5001,"&lt;="&amp;$B167,BD!$W$3:$W$5001,"&lt;&gt;")=0,"",SUMIFS(BD!$W$3:$W$5001,BD!$B$3:$B$5001,E$138,BD!$A$3:$A$5001,_xlfn.MAXIFS(BD!$A$3:$A$5001,BD!$B$3:$B$5001,E$138,BD!$A$3:$A$5001,"&gt;="&amp;$C$7,BD!$A$3:$A$5001,"&lt;="&amp;$B167,BD!$W$3:$W$5001,"&lt;&gt;"))))</f>
        <v/>
      </c>
      <c r="F167" s="42" t="str">
        <f>IF(OR($B167="",$A167&gt;$B$9),"",IF(COUNTIFS(BD!$B$3:$B$5001,F$138,BD!$A$3:$A$5001,"&gt;="&amp;$C$7,BD!$A$3:$A$5001,"&lt;="&amp;$B167,BD!$W$3:$W$5001,"&lt;&gt;")=0,"",SUMIFS(BD!$W$3:$W$5001,BD!$B$3:$B$5001,F$138,BD!$A$3:$A$5001,_xlfn.MAXIFS(BD!$A$3:$A$5001,BD!$B$3:$B$5001,F$138,BD!$A$3:$A$5001,"&gt;="&amp;$C$7,BD!$A$3:$A$5001,"&lt;="&amp;$B167,BD!$W$3:$W$5001,"&lt;&gt;"))))</f>
        <v/>
      </c>
      <c r="G167" s="42" t="str">
        <f>IF(OR($B167="",$A167&gt;$B$9),"",IF(COUNTIFS(BD!$B$3:$B$5001,G$138,BD!$A$3:$A$5001,"&gt;="&amp;$C$7,BD!$A$3:$A$5001,"&lt;="&amp;$B167,BD!$W$3:$W$5001,"&lt;&gt;")=0,"",SUMIFS(BD!$W$3:$W$5001,BD!$B$3:$B$5001,G$138,BD!$A$3:$A$5001,_xlfn.MAXIFS(BD!$A$3:$A$5001,BD!$B$3:$B$5001,G$138,BD!$A$3:$A$5001,"&gt;="&amp;$C$7,BD!$A$3:$A$5001,"&lt;="&amp;$B167,BD!$W$3:$W$5001,"&lt;&gt;"))))</f>
        <v/>
      </c>
      <c r="H167" s="42" t="str">
        <f>IF(OR($B167="",$A167&gt;$B$9),"",IF(COUNTIFS(BD!$B$3:$B$5001,H$138,BD!$A$3:$A$5001,"&gt;="&amp;$C$7,BD!$A$3:$A$5001,"&lt;="&amp;$B167,BD!$W$3:$W$5001,"&lt;&gt;")=0,"",SUMIFS(BD!$W$3:$W$5001,BD!$B$3:$B$5001,H$138,BD!$A$3:$A$5001,_xlfn.MAXIFS(BD!$A$3:$A$5001,BD!$B$3:$B$5001,H$138,BD!$A$3:$A$5001,"&gt;="&amp;$C$7,BD!$A$3:$A$5001,"&lt;="&amp;$B167,BD!$W$3:$W$5001,"&lt;&gt;"))))</f>
        <v/>
      </c>
      <c r="I167" s="42" t="str">
        <f>IF(OR($B167="",$A167&gt;$B$9),"",IF(COUNTIFS(BD!$B$3:$B$5001,I$138,BD!$A$3:$A$5001,"&gt;="&amp;$C$7,BD!$A$3:$A$5001,"&lt;="&amp;$B167,BD!$W$3:$W$5001,"&lt;&gt;")=0,"",SUMIFS(BD!$W$3:$W$5001,BD!$B$3:$B$5001,I$138,BD!$A$3:$A$5001,_xlfn.MAXIFS(BD!$A$3:$A$5001,BD!$B$3:$B$5001,I$138,BD!$A$3:$A$5001,"&gt;="&amp;$C$7,BD!$A$3:$A$5001,"&lt;="&amp;$B167,BD!$W$3:$W$5001,"&lt;&gt;"))))</f>
        <v/>
      </c>
      <c r="J167" s="42" t="str">
        <f>IF(OR($B167="",$A167&gt;$B$9),"",IF(COUNTIFS(BD!$B$3:$B$5001,J$138,BD!$A$3:$A$5001,"&gt;="&amp;$C$7,BD!$A$3:$A$5001,"&lt;="&amp;$B167,BD!$W$3:$W$5001,"&lt;&gt;")=0,"",SUMIFS(BD!$W$3:$W$5001,BD!$B$3:$B$5001,J$138,BD!$A$3:$A$5001,_xlfn.MAXIFS(BD!$A$3:$A$5001,BD!$B$3:$B$5001,J$138,BD!$A$3:$A$5001,"&gt;="&amp;$C$7,BD!$A$3:$A$5001,"&lt;="&amp;$B167,BD!$W$3:$W$5001,"&lt;&gt;"))))</f>
        <v/>
      </c>
      <c r="K167" s="42" t="str">
        <f>IF(OR($B167="",$A167&gt;$B$9),"",IF(COUNTIFS(BD!$B$3:$B$5001,K$138,BD!$A$3:$A$5001,"&gt;="&amp;$C$7,BD!$A$3:$A$5001,"&lt;="&amp;$B167,BD!$W$3:$W$5001,"&lt;&gt;")=0,"",SUMIFS(BD!$W$3:$W$5001,BD!$B$3:$B$5001,K$138,BD!$A$3:$A$5001,_xlfn.MAXIFS(BD!$A$3:$A$5001,BD!$B$3:$B$5001,K$138,BD!$A$3:$A$5001,"&gt;="&amp;$C$7,BD!$A$3:$A$5001,"&lt;="&amp;$B167,BD!$W$3:$W$5001,"&lt;&gt;"))))</f>
        <v/>
      </c>
    </row>
    <row r="168">
      <c r="A168" s="40">
        <v>30</v>
      </c>
      <c r="B168" s="41">
        <f>$B$41</f>
        <v>46325</v>
      </c>
      <c r="C168" s="42" t="str">
        <f>IF(OR($B168="",$A168&gt;$B$9),"",IF(COUNTIFS(BD!$B$3:$B$5001,C$138,BD!$A$3:$A$5001,"&gt;="&amp;$C$7,BD!$A$3:$A$5001,"&lt;="&amp;$B168,BD!$W$3:$W$5001,"&lt;&gt;")=0,"",SUMIFS(BD!$W$3:$W$5001,BD!$B$3:$B$5001,C$138,BD!$A$3:$A$5001,_xlfn.MAXIFS(BD!$A$3:$A$5001,BD!$B$3:$B$5001,C$138,BD!$A$3:$A$5001,"&gt;="&amp;$C$7,BD!$A$3:$A$5001,"&lt;="&amp;$B168,BD!$W$3:$W$5001,"&lt;&gt;"))))</f>
        <v/>
      </c>
      <c r="D168" s="42" t="str">
        <f>IF(OR($B168="",$A168&gt;$B$9),"",IF(COUNTIFS(BD!$B$3:$B$5001,D$138,BD!$A$3:$A$5001,"&gt;="&amp;$C$7,BD!$A$3:$A$5001,"&lt;="&amp;$B168,BD!$W$3:$W$5001,"&lt;&gt;")=0,"",SUMIFS(BD!$W$3:$W$5001,BD!$B$3:$B$5001,D$138,BD!$A$3:$A$5001,_xlfn.MAXIFS(BD!$A$3:$A$5001,BD!$B$3:$B$5001,D$138,BD!$A$3:$A$5001,"&gt;="&amp;$C$7,BD!$A$3:$A$5001,"&lt;="&amp;$B168,BD!$W$3:$W$5001,"&lt;&gt;"))))</f>
        <v/>
      </c>
      <c r="E168" s="42" t="str">
        <f>IF(OR($B168="",$A168&gt;$B$9),"",IF(COUNTIFS(BD!$B$3:$B$5001,E$138,BD!$A$3:$A$5001,"&gt;="&amp;$C$7,BD!$A$3:$A$5001,"&lt;="&amp;$B168,BD!$W$3:$W$5001,"&lt;&gt;")=0,"",SUMIFS(BD!$W$3:$W$5001,BD!$B$3:$B$5001,E$138,BD!$A$3:$A$5001,_xlfn.MAXIFS(BD!$A$3:$A$5001,BD!$B$3:$B$5001,E$138,BD!$A$3:$A$5001,"&gt;="&amp;$C$7,BD!$A$3:$A$5001,"&lt;="&amp;$B168,BD!$W$3:$W$5001,"&lt;&gt;"))))</f>
        <v/>
      </c>
      <c r="F168" s="42" t="str">
        <f>IF(OR($B168="",$A168&gt;$B$9),"",IF(COUNTIFS(BD!$B$3:$B$5001,F$138,BD!$A$3:$A$5001,"&gt;="&amp;$C$7,BD!$A$3:$A$5001,"&lt;="&amp;$B168,BD!$W$3:$W$5001,"&lt;&gt;")=0,"",SUMIFS(BD!$W$3:$W$5001,BD!$B$3:$B$5001,F$138,BD!$A$3:$A$5001,_xlfn.MAXIFS(BD!$A$3:$A$5001,BD!$B$3:$B$5001,F$138,BD!$A$3:$A$5001,"&gt;="&amp;$C$7,BD!$A$3:$A$5001,"&lt;="&amp;$B168,BD!$W$3:$W$5001,"&lt;&gt;"))))</f>
        <v/>
      </c>
      <c r="G168" s="42" t="str">
        <f>IF(OR($B168="",$A168&gt;$B$9),"",IF(COUNTIFS(BD!$B$3:$B$5001,G$138,BD!$A$3:$A$5001,"&gt;="&amp;$C$7,BD!$A$3:$A$5001,"&lt;="&amp;$B168,BD!$W$3:$W$5001,"&lt;&gt;")=0,"",SUMIFS(BD!$W$3:$W$5001,BD!$B$3:$B$5001,G$138,BD!$A$3:$A$5001,_xlfn.MAXIFS(BD!$A$3:$A$5001,BD!$B$3:$B$5001,G$138,BD!$A$3:$A$5001,"&gt;="&amp;$C$7,BD!$A$3:$A$5001,"&lt;="&amp;$B168,BD!$W$3:$W$5001,"&lt;&gt;"))))</f>
        <v/>
      </c>
      <c r="H168" s="42" t="str">
        <f>IF(OR($B168="",$A168&gt;$B$9),"",IF(COUNTIFS(BD!$B$3:$B$5001,H$138,BD!$A$3:$A$5001,"&gt;="&amp;$C$7,BD!$A$3:$A$5001,"&lt;="&amp;$B168,BD!$W$3:$W$5001,"&lt;&gt;")=0,"",SUMIFS(BD!$W$3:$W$5001,BD!$B$3:$B$5001,H$138,BD!$A$3:$A$5001,_xlfn.MAXIFS(BD!$A$3:$A$5001,BD!$B$3:$B$5001,H$138,BD!$A$3:$A$5001,"&gt;="&amp;$C$7,BD!$A$3:$A$5001,"&lt;="&amp;$B168,BD!$W$3:$W$5001,"&lt;&gt;"))))</f>
        <v/>
      </c>
      <c r="I168" s="42" t="str">
        <f>IF(OR($B168="",$A168&gt;$B$9),"",IF(COUNTIFS(BD!$B$3:$B$5001,I$138,BD!$A$3:$A$5001,"&gt;="&amp;$C$7,BD!$A$3:$A$5001,"&lt;="&amp;$B168,BD!$W$3:$W$5001,"&lt;&gt;")=0,"",SUMIFS(BD!$W$3:$W$5001,BD!$B$3:$B$5001,I$138,BD!$A$3:$A$5001,_xlfn.MAXIFS(BD!$A$3:$A$5001,BD!$B$3:$B$5001,I$138,BD!$A$3:$A$5001,"&gt;="&amp;$C$7,BD!$A$3:$A$5001,"&lt;="&amp;$B168,BD!$W$3:$W$5001,"&lt;&gt;"))))</f>
        <v/>
      </c>
      <c r="J168" s="42" t="str">
        <f>IF(OR($B168="",$A168&gt;$B$9),"",IF(COUNTIFS(BD!$B$3:$B$5001,J$138,BD!$A$3:$A$5001,"&gt;="&amp;$C$7,BD!$A$3:$A$5001,"&lt;="&amp;$B168,BD!$W$3:$W$5001,"&lt;&gt;")=0,"",SUMIFS(BD!$W$3:$W$5001,BD!$B$3:$B$5001,J$138,BD!$A$3:$A$5001,_xlfn.MAXIFS(BD!$A$3:$A$5001,BD!$B$3:$B$5001,J$138,BD!$A$3:$A$5001,"&gt;="&amp;$C$7,BD!$A$3:$A$5001,"&lt;="&amp;$B168,BD!$W$3:$W$5001,"&lt;&gt;"))))</f>
        <v/>
      </c>
      <c r="K168" s="42" t="str">
        <f>IF(OR($B168="",$A168&gt;$B$9),"",IF(COUNTIFS(BD!$B$3:$B$5001,K$138,BD!$A$3:$A$5001,"&gt;="&amp;$C$7,BD!$A$3:$A$5001,"&lt;="&amp;$B168,BD!$W$3:$W$5001,"&lt;&gt;")=0,"",SUMIFS(BD!$W$3:$W$5001,BD!$B$3:$B$5001,K$138,BD!$A$3:$A$5001,_xlfn.MAXIFS(BD!$A$3:$A$5001,BD!$B$3:$B$5001,K$138,BD!$A$3:$A$5001,"&gt;="&amp;$C$7,BD!$A$3:$A$5001,"&lt;="&amp;$B168,BD!$W$3:$W$5001,"&lt;&gt;"))))</f>
        <v/>
      </c>
    </row>
    <row r="169">
      <c r="A169" s="40">
        <v>31</v>
      </c>
      <c r="B169" s="41">
        <f>$B$42</f>
        <v>46326</v>
      </c>
      <c r="C169" s="42" t="str">
        <f>IF(OR($B169="",$A169&gt;$B$9),"",IF(COUNTIFS(BD!$B$3:$B$5001,C$138,BD!$A$3:$A$5001,"&gt;="&amp;$C$7,BD!$A$3:$A$5001,"&lt;="&amp;$B169,BD!$W$3:$W$5001,"&lt;&gt;")=0,"",SUMIFS(BD!$W$3:$W$5001,BD!$B$3:$B$5001,C$138,BD!$A$3:$A$5001,_xlfn.MAXIFS(BD!$A$3:$A$5001,BD!$B$3:$B$5001,C$138,BD!$A$3:$A$5001,"&gt;="&amp;$C$7,BD!$A$3:$A$5001,"&lt;="&amp;$B169,BD!$W$3:$W$5001,"&lt;&gt;"))))</f>
        <v/>
      </c>
      <c r="D169" s="42" t="str">
        <f>IF(OR($B169="",$A169&gt;$B$9),"",IF(COUNTIFS(BD!$B$3:$B$5001,D$138,BD!$A$3:$A$5001,"&gt;="&amp;$C$7,BD!$A$3:$A$5001,"&lt;="&amp;$B169,BD!$W$3:$W$5001,"&lt;&gt;")=0,"",SUMIFS(BD!$W$3:$W$5001,BD!$B$3:$B$5001,D$138,BD!$A$3:$A$5001,_xlfn.MAXIFS(BD!$A$3:$A$5001,BD!$B$3:$B$5001,D$138,BD!$A$3:$A$5001,"&gt;="&amp;$C$7,BD!$A$3:$A$5001,"&lt;="&amp;$B169,BD!$W$3:$W$5001,"&lt;&gt;"))))</f>
        <v/>
      </c>
      <c r="E169" s="42" t="str">
        <f>IF(OR($B169="",$A169&gt;$B$9),"",IF(COUNTIFS(BD!$B$3:$B$5001,E$138,BD!$A$3:$A$5001,"&gt;="&amp;$C$7,BD!$A$3:$A$5001,"&lt;="&amp;$B169,BD!$W$3:$W$5001,"&lt;&gt;")=0,"",SUMIFS(BD!$W$3:$W$5001,BD!$B$3:$B$5001,E$138,BD!$A$3:$A$5001,_xlfn.MAXIFS(BD!$A$3:$A$5001,BD!$B$3:$B$5001,E$138,BD!$A$3:$A$5001,"&gt;="&amp;$C$7,BD!$A$3:$A$5001,"&lt;="&amp;$B169,BD!$W$3:$W$5001,"&lt;&gt;"))))</f>
        <v/>
      </c>
      <c r="F169" s="42" t="str">
        <f>IF(OR($B169="",$A169&gt;$B$9),"",IF(COUNTIFS(BD!$B$3:$B$5001,F$138,BD!$A$3:$A$5001,"&gt;="&amp;$C$7,BD!$A$3:$A$5001,"&lt;="&amp;$B169,BD!$W$3:$W$5001,"&lt;&gt;")=0,"",SUMIFS(BD!$W$3:$W$5001,BD!$B$3:$B$5001,F$138,BD!$A$3:$A$5001,_xlfn.MAXIFS(BD!$A$3:$A$5001,BD!$B$3:$B$5001,F$138,BD!$A$3:$A$5001,"&gt;="&amp;$C$7,BD!$A$3:$A$5001,"&lt;="&amp;$B169,BD!$W$3:$W$5001,"&lt;&gt;"))))</f>
        <v/>
      </c>
      <c r="G169" s="42" t="str">
        <f>IF(OR($B169="",$A169&gt;$B$9),"",IF(COUNTIFS(BD!$B$3:$B$5001,G$138,BD!$A$3:$A$5001,"&gt;="&amp;$C$7,BD!$A$3:$A$5001,"&lt;="&amp;$B169,BD!$W$3:$W$5001,"&lt;&gt;")=0,"",SUMIFS(BD!$W$3:$W$5001,BD!$B$3:$B$5001,G$138,BD!$A$3:$A$5001,_xlfn.MAXIFS(BD!$A$3:$A$5001,BD!$B$3:$B$5001,G$138,BD!$A$3:$A$5001,"&gt;="&amp;$C$7,BD!$A$3:$A$5001,"&lt;="&amp;$B169,BD!$W$3:$W$5001,"&lt;&gt;"))))</f>
        <v/>
      </c>
      <c r="H169" s="42" t="str">
        <f>IF(OR($B169="",$A169&gt;$B$9),"",IF(COUNTIFS(BD!$B$3:$B$5001,H$138,BD!$A$3:$A$5001,"&gt;="&amp;$C$7,BD!$A$3:$A$5001,"&lt;="&amp;$B169,BD!$W$3:$W$5001,"&lt;&gt;")=0,"",SUMIFS(BD!$W$3:$W$5001,BD!$B$3:$B$5001,H$138,BD!$A$3:$A$5001,_xlfn.MAXIFS(BD!$A$3:$A$5001,BD!$B$3:$B$5001,H$138,BD!$A$3:$A$5001,"&gt;="&amp;$C$7,BD!$A$3:$A$5001,"&lt;="&amp;$B169,BD!$W$3:$W$5001,"&lt;&gt;"))))</f>
        <v/>
      </c>
      <c r="I169" s="42" t="str">
        <f>IF(OR($B169="",$A169&gt;$B$9),"",IF(COUNTIFS(BD!$B$3:$B$5001,I$138,BD!$A$3:$A$5001,"&gt;="&amp;$C$7,BD!$A$3:$A$5001,"&lt;="&amp;$B169,BD!$W$3:$W$5001,"&lt;&gt;")=0,"",SUMIFS(BD!$W$3:$W$5001,BD!$B$3:$B$5001,I$138,BD!$A$3:$A$5001,_xlfn.MAXIFS(BD!$A$3:$A$5001,BD!$B$3:$B$5001,I$138,BD!$A$3:$A$5001,"&gt;="&amp;$C$7,BD!$A$3:$A$5001,"&lt;="&amp;$B169,BD!$W$3:$W$5001,"&lt;&gt;"))))</f>
        <v/>
      </c>
      <c r="J169" s="42" t="str">
        <f>IF(OR($B169="",$A169&gt;$B$9),"",IF(COUNTIFS(BD!$B$3:$B$5001,J$138,BD!$A$3:$A$5001,"&gt;="&amp;$C$7,BD!$A$3:$A$5001,"&lt;="&amp;$B169,BD!$W$3:$W$5001,"&lt;&gt;")=0,"",SUMIFS(BD!$W$3:$W$5001,BD!$B$3:$B$5001,J$138,BD!$A$3:$A$5001,_xlfn.MAXIFS(BD!$A$3:$A$5001,BD!$B$3:$B$5001,J$138,BD!$A$3:$A$5001,"&gt;="&amp;$C$7,BD!$A$3:$A$5001,"&lt;="&amp;$B169,BD!$W$3:$W$5001,"&lt;&gt;"))))</f>
        <v/>
      </c>
      <c r="K169" s="42" t="str">
        <f>IF(OR($B169="",$A169&gt;$B$9),"",IF(COUNTIFS(BD!$B$3:$B$5001,K$138,BD!$A$3:$A$5001,"&gt;="&amp;$C$7,BD!$A$3:$A$5001,"&lt;="&amp;$B169,BD!$W$3:$W$5001,"&lt;&gt;")=0,"",SUMIFS(BD!$W$3:$W$5001,BD!$B$3:$B$5001,K$138,BD!$A$3:$A$5001,_xlfn.MAXIFS(BD!$A$3:$A$5001,BD!$B$3:$B$5001,K$138,BD!$A$3:$A$5001,"&gt;="&amp;$C$7,BD!$A$3:$A$5001,"&lt;="&amp;$B169,BD!$W$3:$W$5001,"&lt;&gt;"))))</f>
        <v/>
      </c>
    </row>
    <row r="170">
      <c r="A170" s="43" t="inlineStr">
        <is>
          <t xml:space="preserve">Mês anterior (último)</t>
        </is>
      </c>
      <c r="C170" s="44" t="str">
        <f>IF(COUNTIFS(BD!$B$3:$B$5001,C$138,BD!$A$3:$A$5001,"&gt;="&amp;$C$8,BD!$A$3:$A$5001,"&lt;="&amp;$D$8,BD!$W$3:$W$5001,"&lt;&gt;")=0,"",SUMIFS(BD!$W$3:$W$5001,BD!$B$3:$B$5001,C$138,BD!$A$3:$A$5001,_xlfn.MAXIFS(BD!$A$3:$A$5001,BD!$B$3:$B$5001,C$138,BD!$A$3:$A$5001,"&gt;="&amp;$C$8,BD!$A$3:$A$5001,"&lt;="&amp;$D$8,BD!$W$3:$W$5001,"&lt;&gt;")))</f>
        <v/>
      </c>
      <c r="D170" s="44" t="str">
        <f>IF(COUNTIFS(BD!$B$3:$B$5001,D$138,BD!$A$3:$A$5001,"&gt;="&amp;$C$8,BD!$A$3:$A$5001,"&lt;="&amp;$D$8,BD!$W$3:$W$5001,"&lt;&gt;")=0,"",SUMIFS(BD!$W$3:$W$5001,BD!$B$3:$B$5001,D$138,BD!$A$3:$A$5001,_xlfn.MAXIFS(BD!$A$3:$A$5001,BD!$B$3:$B$5001,D$138,BD!$A$3:$A$5001,"&gt;="&amp;$C$8,BD!$A$3:$A$5001,"&lt;="&amp;$D$8,BD!$W$3:$W$5001,"&lt;&gt;")))</f>
        <v/>
      </c>
      <c r="E170" s="44" t="str">
        <f>IF(COUNTIFS(BD!$B$3:$B$5001,E$138,BD!$A$3:$A$5001,"&gt;="&amp;$C$8,BD!$A$3:$A$5001,"&lt;="&amp;$D$8,BD!$W$3:$W$5001,"&lt;&gt;")=0,"",SUMIFS(BD!$W$3:$W$5001,BD!$B$3:$B$5001,E$138,BD!$A$3:$A$5001,_xlfn.MAXIFS(BD!$A$3:$A$5001,BD!$B$3:$B$5001,E$138,BD!$A$3:$A$5001,"&gt;="&amp;$C$8,BD!$A$3:$A$5001,"&lt;="&amp;$D$8,BD!$W$3:$W$5001,"&lt;&gt;")))</f>
        <v/>
      </c>
      <c r="F170" s="44" t="str">
        <f>IF(COUNTIFS(BD!$B$3:$B$5001,F$138,BD!$A$3:$A$5001,"&gt;="&amp;$C$8,BD!$A$3:$A$5001,"&lt;="&amp;$D$8,BD!$W$3:$W$5001,"&lt;&gt;")=0,"",SUMIFS(BD!$W$3:$W$5001,BD!$B$3:$B$5001,F$138,BD!$A$3:$A$5001,_xlfn.MAXIFS(BD!$A$3:$A$5001,BD!$B$3:$B$5001,F$138,BD!$A$3:$A$5001,"&gt;="&amp;$C$8,BD!$A$3:$A$5001,"&lt;="&amp;$D$8,BD!$W$3:$W$5001,"&lt;&gt;")))</f>
        <v/>
      </c>
      <c r="G170" s="44" t="str">
        <f>IF(COUNTIFS(BD!$B$3:$B$5001,G$138,BD!$A$3:$A$5001,"&gt;="&amp;$C$8,BD!$A$3:$A$5001,"&lt;="&amp;$D$8,BD!$W$3:$W$5001,"&lt;&gt;")=0,"",SUMIFS(BD!$W$3:$W$5001,BD!$B$3:$B$5001,G$138,BD!$A$3:$A$5001,_xlfn.MAXIFS(BD!$A$3:$A$5001,BD!$B$3:$B$5001,G$138,BD!$A$3:$A$5001,"&gt;="&amp;$C$8,BD!$A$3:$A$5001,"&lt;="&amp;$D$8,BD!$W$3:$W$5001,"&lt;&gt;")))</f>
        <v/>
      </c>
      <c r="H170" s="44" t="str">
        <f>IF(COUNTIFS(BD!$B$3:$B$5001,H$138,BD!$A$3:$A$5001,"&gt;="&amp;$C$8,BD!$A$3:$A$5001,"&lt;="&amp;$D$8,BD!$W$3:$W$5001,"&lt;&gt;")=0,"",SUMIFS(BD!$W$3:$W$5001,BD!$B$3:$B$5001,H$138,BD!$A$3:$A$5001,_xlfn.MAXIFS(BD!$A$3:$A$5001,BD!$B$3:$B$5001,H$138,BD!$A$3:$A$5001,"&gt;="&amp;$C$8,BD!$A$3:$A$5001,"&lt;="&amp;$D$8,BD!$W$3:$W$5001,"&lt;&gt;")))</f>
        <v/>
      </c>
      <c r="I170" s="44" t="str">
        <f>IF(COUNTIFS(BD!$B$3:$B$5001,I$138,BD!$A$3:$A$5001,"&gt;="&amp;$C$8,BD!$A$3:$A$5001,"&lt;="&amp;$D$8,BD!$W$3:$W$5001,"&lt;&gt;")=0,"",SUMIFS(BD!$W$3:$W$5001,BD!$B$3:$B$5001,I$138,BD!$A$3:$A$5001,_xlfn.MAXIFS(BD!$A$3:$A$5001,BD!$B$3:$B$5001,I$138,BD!$A$3:$A$5001,"&gt;="&amp;$C$8,BD!$A$3:$A$5001,"&lt;="&amp;$D$8,BD!$W$3:$W$5001,"&lt;&gt;")))</f>
        <v/>
      </c>
      <c r="J170" s="44" t="str">
        <f>IF(COUNTIFS(BD!$B$3:$B$5001,J$138,BD!$A$3:$A$5001,"&gt;="&amp;$C$8,BD!$A$3:$A$5001,"&lt;="&amp;$D$8,BD!$W$3:$W$5001,"&lt;&gt;")=0,"",SUMIFS(BD!$W$3:$W$5001,BD!$B$3:$B$5001,J$138,BD!$A$3:$A$5001,_xlfn.MAXIFS(BD!$A$3:$A$5001,BD!$B$3:$B$5001,J$138,BD!$A$3:$A$5001,"&gt;="&amp;$C$8,BD!$A$3:$A$5001,"&lt;="&amp;$D$8,BD!$W$3:$W$5001,"&lt;&gt;")))</f>
        <v/>
      </c>
      <c r="K170" s="44" t="str">
        <f>IF(COUNTIFS(BD!$B$3:$B$5001,K$138,BD!$A$3:$A$5001,"&gt;="&amp;$C$8,BD!$A$3:$A$5001,"&lt;="&amp;$D$8,BD!$W$3:$W$5001,"&lt;&gt;")=0,"",SUMIFS(BD!$W$3:$W$5001,BD!$B$3:$B$5001,K$138,BD!$A$3:$A$5001,_xlfn.MAXIFS(BD!$A$3:$A$5001,BD!$B$3:$B$5001,K$138,BD!$A$3:$A$5001,"&gt;="&amp;$C$8,BD!$A$3:$A$5001,"&lt;="&amp;$D$8,BD!$W$3:$W$5001,"&lt;&gt;")))</f>
        <v/>
      </c>
    </row>
    <row r="171">
      <c r="A171" s="43" t="inlineStr">
        <is>
          <t xml:space="preserve">Depósito</t>
        </is>
      </c>
      <c r="C171" s="40" t="inlineStr">
        <is>
          <t xml:space="preserve">TPC</t>
        </is>
      </c>
      <c r="D171" s="40" t="inlineStr">
        <is>
          <t xml:space="preserve">TPC</t>
        </is>
      </c>
      <c r="E171" s="40" t="inlineStr">
        <is>
          <t xml:space="preserve">TPC</t>
        </is>
      </c>
      <c r="F171" s="40" t="inlineStr">
        <is>
          <t xml:space="preserve">TPC</t>
        </is>
      </c>
      <c r="G171" s="40" t="inlineStr">
        <is>
          <t xml:space="preserve">TPC</t>
        </is>
      </c>
      <c r="H171" s="40" t="inlineStr">
        <is>
          <t xml:space="preserve">TPC</t>
        </is>
      </c>
      <c r="I171" s="40" t="inlineStr">
        <is>
          <t xml:space="preserve">TPC</t>
        </is>
      </c>
      <c r="J171" s="40" t="inlineStr">
        <is>
          <t xml:space="preserve">TPC</t>
        </is>
      </c>
      <c r="K171" s="40" t="inlineStr">
        <is>
          <t xml:space="preserve">TPC</t>
        </is>
      </c>
    </row>
    <row r="173">
      <c r="A173" s="37" t="inlineStr">
        <is>
          <t xml:space="preserve">Posições Ocupadas</t>
        </is>
      </c>
      <c r="B173" s="37" t="inlineStr">
        <is>
          <t xml:space="preserve">Data</t>
        </is>
      </c>
      <c r="C173" s="37" t="inlineStr">
        <is>
          <t xml:space="preserve">Alpargatas</t>
        </is>
      </c>
      <c r="D173" s="37" t="inlineStr">
        <is>
          <t xml:space="preserve">Basf</t>
        </is>
      </c>
      <c r="E173" s="37" t="inlineStr">
        <is>
          <t xml:space="preserve">Beautybiz</t>
        </is>
      </c>
      <c r="F173" s="37" t="inlineStr">
        <is>
          <t xml:space="preserve">Boticário</t>
        </is>
      </c>
      <c r="G173" s="37" t="inlineStr">
        <is>
          <t xml:space="preserve">GE Vernova</t>
        </is>
      </c>
      <c r="H173" s="37" t="inlineStr">
        <is>
          <t xml:space="preserve">Omnilife</t>
        </is>
      </c>
      <c r="I173" s="37" t="inlineStr">
        <is>
          <t xml:space="preserve">Supply</t>
        </is>
      </c>
      <c r="J173" s="37" t="inlineStr">
        <is>
          <t xml:space="preserve">Vedacit</t>
        </is>
      </c>
      <c r="K173" s="37" t="inlineStr">
        <is>
          <t xml:space="preserve">Vestas</t>
        </is>
      </c>
    </row>
    <row r="174">
      <c r="A174" s="40">
        <v>1</v>
      </c>
      <c r="B174" s="41">
        <f>$B$12</f>
        <v>46296</v>
      </c>
      <c r="C174" s="42" t="str">
        <f>IF(OR($B174="",$A174&gt;$B$9),"",IF(COUNTIFS(BD!$B$3:$B$5001,C$173,BD!$A$3:$A$5001,"&gt;="&amp;$C$7,BD!$A$3:$A$5001,"&lt;="&amp;$B174,BD!$Y$3:$Y$5001,"&lt;&gt;")=0,"",SUMIFS(BD!$Y$3:$Y$5001,BD!$B$3:$B$5001,C$173,BD!$A$3:$A$5001,_xlfn.MAXIFS(BD!$A$3:$A$5001,BD!$B$3:$B$5001,C$173,BD!$A$3:$A$5001,"&gt;="&amp;$C$7,BD!$A$3:$A$5001,"&lt;="&amp;$B174,BD!$Y$3:$Y$5001,"&lt;&gt;"))))</f>
        <v/>
      </c>
      <c r="D174" s="42" t="str">
        <f>IF(OR($B174="",$A174&gt;$B$9),"",IF(COUNTIFS(BD!$B$3:$B$5001,D$173,BD!$A$3:$A$5001,"&gt;="&amp;$C$7,BD!$A$3:$A$5001,"&lt;="&amp;$B174,BD!$Y$3:$Y$5001,"&lt;&gt;")=0,"",SUMIFS(BD!$Y$3:$Y$5001,BD!$B$3:$B$5001,D$173,BD!$A$3:$A$5001,_xlfn.MAXIFS(BD!$A$3:$A$5001,BD!$B$3:$B$5001,D$173,BD!$A$3:$A$5001,"&gt;="&amp;$C$7,BD!$A$3:$A$5001,"&lt;="&amp;$B174,BD!$Y$3:$Y$5001,"&lt;&gt;"))))</f>
        <v/>
      </c>
      <c r="E174" s="42" t="str">
        <f>IF(OR($B174="",$A174&gt;$B$9),"",IF(COUNTIFS(BD!$B$3:$B$5001,E$173,BD!$A$3:$A$5001,"&gt;="&amp;$C$7,BD!$A$3:$A$5001,"&lt;="&amp;$B174,BD!$Y$3:$Y$5001,"&lt;&gt;")=0,"",SUMIFS(BD!$Y$3:$Y$5001,BD!$B$3:$B$5001,E$173,BD!$A$3:$A$5001,_xlfn.MAXIFS(BD!$A$3:$A$5001,BD!$B$3:$B$5001,E$173,BD!$A$3:$A$5001,"&gt;="&amp;$C$7,BD!$A$3:$A$5001,"&lt;="&amp;$B174,BD!$Y$3:$Y$5001,"&lt;&gt;"))))</f>
        <v/>
      </c>
      <c r="F174" s="42" t="str">
        <f>IF(OR($B174="",$A174&gt;$B$9),"",IF(COUNTIFS(BD!$B$3:$B$5001,F$173,BD!$A$3:$A$5001,"&gt;="&amp;$C$7,BD!$A$3:$A$5001,"&lt;="&amp;$B174,BD!$Y$3:$Y$5001,"&lt;&gt;")=0,"",SUMIFS(BD!$Y$3:$Y$5001,BD!$B$3:$B$5001,F$173,BD!$A$3:$A$5001,_xlfn.MAXIFS(BD!$A$3:$A$5001,BD!$B$3:$B$5001,F$173,BD!$A$3:$A$5001,"&gt;="&amp;$C$7,BD!$A$3:$A$5001,"&lt;="&amp;$B174,BD!$Y$3:$Y$5001,"&lt;&gt;"))))</f>
        <v/>
      </c>
      <c r="G174" s="42" t="str">
        <f>IF(OR($B174="",$A174&gt;$B$9),"",IF(COUNTIFS(BD!$B$3:$B$5001,G$173,BD!$A$3:$A$5001,"&gt;="&amp;$C$7,BD!$A$3:$A$5001,"&lt;="&amp;$B174,BD!$Y$3:$Y$5001,"&lt;&gt;")=0,"",SUMIFS(BD!$Y$3:$Y$5001,BD!$B$3:$B$5001,G$173,BD!$A$3:$A$5001,_xlfn.MAXIFS(BD!$A$3:$A$5001,BD!$B$3:$B$5001,G$173,BD!$A$3:$A$5001,"&gt;="&amp;$C$7,BD!$A$3:$A$5001,"&lt;="&amp;$B174,BD!$Y$3:$Y$5001,"&lt;&gt;"))))</f>
        <v/>
      </c>
      <c r="H174" s="42" t="str">
        <f>IF(OR($B174="",$A174&gt;$B$9),"",IF(COUNTIFS(BD!$B$3:$B$5001,H$173,BD!$A$3:$A$5001,"&gt;="&amp;$C$7,BD!$A$3:$A$5001,"&lt;="&amp;$B174,BD!$Y$3:$Y$5001,"&lt;&gt;")=0,"",SUMIFS(BD!$Y$3:$Y$5001,BD!$B$3:$B$5001,H$173,BD!$A$3:$A$5001,_xlfn.MAXIFS(BD!$A$3:$A$5001,BD!$B$3:$B$5001,H$173,BD!$A$3:$A$5001,"&gt;="&amp;$C$7,BD!$A$3:$A$5001,"&lt;="&amp;$B174,BD!$Y$3:$Y$5001,"&lt;&gt;"))))</f>
        <v/>
      </c>
      <c r="I174" s="42" t="str">
        <f>IF(OR($B174="",$A174&gt;$B$9),"",IF(COUNTIFS(BD!$B$3:$B$5001,I$173,BD!$A$3:$A$5001,"&gt;="&amp;$C$7,BD!$A$3:$A$5001,"&lt;="&amp;$B174,BD!$Y$3:$Y$5001,"&lt;&gt;")=0,"",SUMIFS(BD!$Y$3:$Y$5001,BD!$B$3:$B$5001,I$173,BD!$A$3:$A$5001,_xlfn.MAXIFS(BD!$A$3:$A$5001,BD!$B$3:$B$5001,I$173,BD!$A$3:$A$5001,"&gt;="&amp;$C$7,BD!$A$3:$A$5001,"&lt;="&amp;$B174,BD!$Y$3:$Y$5001,"&lt;&gt;"))))</f>
        <v/>
      </c>
      <c r="J174" s="42" t="str">
        <f>IF(OR($B174="",$A174&gt;$B$9),"",IF(COUNTIFS(BD!$B$3:$B$5001,J$173,BD!$A$3:$A$5001,"&gt;="&amp;$C$7,BD!$A$3:$A$5001,"&lt;="&amp;$B174,BD!$Y$3:$Y$5001,"&lt;&gt;")=0,"",SUMIFS(BD!$Y$3:$Y$5001,BD!$B$3:$B$5001,J$173,BD!$A$3:$A$5001,_xlfn.MAXIFS(BD!$A$3:$A$5001,BD!$B$3:$B$5001,J$173,BD!$A$3:$A$5001,"&gt;="&amp;$C$7,BD!$A$3:$A$5001,"&lt;="&amp;$B174,BD!$Y$3:$Y$5001,"&lt;&gt;"))))</f>
        <v/>
      </c>
      <c r="K174" s="42" t="str">
        <f>IF(OR($B174="",$A174&gt;$B$9),"",IF(COUNTIFS(BD!$B$3:$B$5001,K$173,BD!$A$3:$A$5001,"&gt;="&amp;$C$7,BD!$A$3:$A$5001,"&lt;="&amp;$B174,BD!$Y$3:$Y$5001,"&lt;&gt;")=0,"",SUMIFS(BD!$Y$3:$Y$5001,BD!$B$3:$B$5001,K$173,BD!$A$3:$A$5001,_xlfn.MAXIFS(BD!$A$3:$A$5001,BD!$B$3:$B$5001,K$173,BD!$A$3:$A$5001,"&gt;="&amp;$C$7,BD!$A$3:$A$5001,"&lt;="&amp;$B174,BD!$Y$3:$Y$5001,"&lt;&gt;"))))</f>
        <v/>
      </c>
    </row>
    <row r="175">
      <c r="A175" s="40">
        <v>2</v>
      </c>
      <c r="B175" s="41">
        <f>$B$13</f>
        <v>46297</v>
      </c>
      <c r="C175" s="42" t="str">
        <f>IF(OR($B175="",$A175&gt;$B$9),"",IF(COUNTIFS(BD!$B$3:$B$5001,C$173,BD!$A$3:$A$5001,"&gt;="&amp;$C$7,BD!$A$3:$A$5001,"&lt;="&amp;$B175,BD!$Y$3:$Y$5001,"&lt;&gt;")=0,"",SUMIFS(BD!$Y$3:$Y$5001,BD!$B$3:$B$5001,C$173,BD!$A$3:$A$5001,_xlfn.MAXIFS(BD!$A$3:$A$5001,BD!$B$3:$B$5001,C$173,BD!$A$3:$A$5001,"&gt;="&amp;$C$7,BD!$A$3:$A$5001,"&lt;="&amp;$B175,BD!$Y$3:$Y$5001,"&lt;&gt;"))))</f>
        <v/>
      </c>
      <c r="D175" s="42" t="str">
        <f>IF(OR($B175="",$A175&gt;$B$9),"",IF(COUNTIFS(BD!$B$3:$B$5001,D$173,BD!$A$3:$A$5001,"&gt;="&amp;$C$7,BD!$A$3:$A$5001,"&lt;="&amp;$B175,BD!$Y$3:$Y$5001,"&lt;&gt;")=0,"",SUMIFS(BD!$Y$3:$Y$5001,BD!$B$3:$B$5001,D$173,BD!$A$3:$A$5001,_xlfn.MAXIFS(BD!$A$3:$A$5001,BD!$B$3:$B$5001,D$173,BD!$A$3:$A$5001,"&gt;="&amp;$C$7,BD!$A$3:$A$5001,"&lt;="&amp;$B175,BD!$Y$3:$Y$5001,"&lt;&gt;"))))</f>
        <v/>
      </c>
      <c r="E175" s="42" t="str">
        <f>IF(OR($B175="",$A175&gt;$B$9),"",IF(COUNTIFS(BD!$B$3:$B$5001,E$173,BD!$A$3:$A$5001,"&gt;="&amp;$C$7,BD!$A$3:$A$5001,"&lt;="&amp;$B175,BD!$Y$3:$Y$5001,"&lt;&gt;")=0,"",SUMIFS(BD!$Y$3:$Y$5001,BD!$B$3:$B$5001,E$173,BD!$A$3:$A$5001,_xlfn.MAXIFS(BD!$A$3:$A$5001,BD!$B$3:$B$5001,E$173,BD!$A$3:$A$5001,"&gt;="&amp;$C$7,BD!$A$3:$A$5001,"&lt;="&amp;$B175,BD!$Y$3:$Y$5001,"&lt;&gt;"))))</f>
        <v/>
      </c>
      <c r="F175" s="42" t="str">
        <f>IF(OR($B175="",$A175&gt;$B$9),"",IF(COUNTIFS(BD!$B$3:$B$5001,F$173,BD!$A$3:$A$5001,"&gt;="&amp;$C$7,BD!$A$3:$A$5001,"&lt;="&amp;$B175,BD!$Y$3:$Y$5001,"&lt;&gt;")=0,"",SUMIFS(BD!$Y$3:$Y$5001,BD!$B$3:$B$5001,F$173,BD!$A$3:$A$5001,_xlfn.MAXIFS(BD!$A$3:$A$5001,BD!$B$3:$B$5001,F$173,BD!$A$3:$A$5001,"&gt;="&amp;$C$7,BD!$A$3:$A$5001,"&lt;="&amp;$B175,BD!$Y$3:$Y$5001,"&lt;&gt;"))))</f>
        <v/>
      </c>
      <c r="G175" s="42" t="str">
        <f>IF(OR($B175="",$A175&gt;$B$9),"",IF(COUNTIFS(BD!$B$3:$B$5001,G$173,BD!$A$3:$A$5001,"&gt;="&amp;$C$7,BD!$A$3:$A$5001,"&lt;="&amp;$B175,BD!$Y$3:$Y$5001,"&lt;&gt;")=0,"",SUMIFS(BD!$Y$3:$Y$5001,BD!$B$3:$B$5001,G$173,BD!$A$3:$A$5001,_xlfn.MAXIFS(BD!$A$3:$A$5001,BD!$B$3:$B$5001,G$173,BD!$A$3:$A$5001,"&gt;="&amp;$C$7,BD!$A$3:$A$5001,"&lt;="&amp;$B175,BD!$Y$3:$Y$5001,"&lt;&gt;"))))</f>
        <v/>
      </c>
      <c r="H175" s="42" t="str">
        <f>IF(OR($B175="",$A175&gt;$B$9),"",IF(COUNTIFS(BD!$B$3:$B$5001,H$173,BD!$A$3:$A$5001,"&gt;="&amp;$C$7,BD!$A$3:$A$5001,"&lt;="&amp;$B175,BD!$Y$3:$Y$5001,"&lt;&gt;")=0,"",SUMIFS(BD!$Y$3:$Y$5001,BD!$B$3:$B$5001,H$173,BD!$A$3:$A$5001,_xlfn.MAXIFS(BD!$A$3:$A$5001,BD!$B$3:$B$5001,H$173,BD!$A$3:$A$5001,"&gt;="&amp;$C$7,BD!$A$3:$A$5001,"&lt;="&amp;$B175,BD!$Y$3:$Y$5001,"&lt;&gt;"))))</f>
        <v/>
      </c>
      <c r="I175" s="42" t="str">
        <f>IF(OR($B175="",$A175&gt;$B$9),"",IF(COUNTIFS(BD!$B$3:$B$5001,I$173,BD!$A$3:$A$5001,"&gt;="&amp;$C$7,BD!$A$3:$A$5001,"&lt;="&amp;$B175,BD!$Y$3:$Y$5001,"&lt;&gt;")=0,"",SUMIFS(BD!$Y$3:$Y$5001,BD!$B$3:$B$5001,I$173,BD!$A$3:$A$5001,_xlfn.MAXIFS(BD!$A$3:$A$5001,BD!$B$3:$B$5001,I$173,BD!$A$3:$A$5001,"&gt;="&amp;$C$7,BD!$A$3:$A$5001,"&lt;="&amp;$B175,BD!$Y$3:$Y$5001,"&lt;&gt;"))))</f>
        <v/>
      </c>
      <c r="J175" s="42" t="str">
        <f>IF(OR($B175="",$A175&gt;$B$9),"",IF(COUNTIFS(BD!$B$3:$B$5001,J$173,BD!$A$3:$A$5001,"&gt;="&amp;$C$7,BD!$A$3:$A$5001,"&lt;="&amp;$B175,BD!$Y$3:$Y$5001,"&lt;&gt;")=0,"",SUMIFS(BD!$Y$3:$Y$5001,BD!$B$3:$B$5001,J$173,BD!$A$3:$A$5001,_xlfn.MAXIFS(BD!$A$3:$A$5001,BD!$B$3:$B$5001,J$173,BD!$A$3:$A$5001,"&gt;="&amp;$C$7,BD!$A$3:$A$5001,"&lt;="&amp;$B175,BD!$Y$3:$Y$5001,"&lt;&gt;"))))</f>
        <v/>
      </c>
      <c r="K175" s="42" t="str">
        <f>IF(OR($B175="",$A175&gt;$B$9),"",IF(COUNTIFS(BD!$B$3:$B$5001,K$173,BD!$A$3:$A$5001,"&gt;="&amp;$C$7,BD!$A$3:$A$5001,"&lt;="&amp;$B175,BD!$Y$3:$Y$5001,"&lt;&gt;")=0,"",SUMIFS(BD!$Y$3:$Y$5001,BD!$B$3:$B$5001,K$173,BD!$A$3:$A$5001,_xlfn.MAXIFS(BD!$A$3:$A$5001,BD!$B$3:$B$5001,K$173,BD!$A$3:$A$5001,"&gt;="&amp;$C$7,BD!$A$3:$A$5001,"&lt;="&amp;$B175,BD!$Y$3:$Y$5001,"&lt;&gt;"))))</f>
        <v/>
      </c>
    </row>
    <row r="176">
      <c r="A176" s="40">
        <v>3</v>
      </c>
      <c r="B176" s="41">
        <f>$B$14</f>
        <v>46298</v>
      </c>
      <c r="C176" s="42" t="str">
        <f>IF(OR($B176="",$A176&gt;$B$9),"",IF(COUNTIFS(BD!$B$3:$B$5001,C$173,BD!$A$3:$A$5001,"&gt;="&amp;$C$7,BD!$A$3:$A$5001,"&lt;="&amp;$B176,BD!$Y$3:$Y$5001,"&lt;&gt;")=0,"",SUMIFS(BD!$Y$3:$Y$5001,BD!$B$3:$B$5001,C$173,BD!$A$3:$A$5001,_xlfn.MAXIFS(BD!$A$3:$A$5001,BD!$B$3:$B$5001,C$173,BD!$A$3:$A$5001,"&gt;="&amp;$C$7,BD!$A$3:$A$5001,"&lt;="&amp;$B176,BD!$Y$3:$Y$5001,"&lt;&gt;"))))</f>
        <v/>
      </c>
      <c r="D176" s="42" t="str">
        <f>IF(OR($B176="",$A176&gt;$B$9),"",IF(COUNTIFS(BD!$B$3:$B$5001,D$173,BD!$A$3:$A$5001,"&gt;="&amp;$C$7,BD!$A$3:$A$5001,"&lt;="&amp;$B176,BD!$Y$3:$Y$5001,"&lt;&gt;")=0,"",SUMIFS(BD!$Y$3:$Y$5001,BD!$B$3:$B$5001,D$173,BD!$A$3:$A$5001,_xlfn.MAXIFS(BD!$A$3:$A$5001,BD!$B$3:$B$5001,D$173,BD!$A$3:$A$5001,"&gt;="&amp;$C$7,BD!$A$3:$A$5001,"&lt;="&amp;$B176,BD!$Y$3:$Y$5001,"&lt;&gt;"))))</f>
        <v/>
      </c>
      <c r="E176" s="42" t="str">
        <f>IF(OR($B176="",$A176&gt;$B$9),"",IF(COUNTIFS(BD!$B$3:$B$5001,E$173,BD!$A$3:$A$5001,"&gt;="&amp;$C$7,BD!$A$3:$A$5001,"&lt;="&amp;$B176,BD!$Y$3:$Y$5001,"&lt;&gt;")=0,"",SUMIFS(BD!$Y$3:$Y$5001,BD!$B$3:$B$5001,E$173,BD!$A$3:$A$5001,_xlfn.MAXIFS(BD!$A$3:$A$5001,BD!$B$3:$B$5001,E$173,BD!$A$3:$A$5001,"&gt;="&amp;$C$7,BD!$A$3:$A$5001,"&lt;="&amp;$B176,BD!$Y$3:$Y$5001,"&lt;&gt;"))))</f>
        <v/>
      </c>
      <c r="F176" s="42" t="str">
        <f>IF(OR($B176="",$A176&gt;$B$9),"",IF(COUNTIFS(BD!$B$3:$B$5001,F$173,BD!$A$3:$A$5001,"&gt;="&amp;$C$7,BD!$A$3:$A$5001,"&lt;="&amp;$B176,BD!$Y$3:$Y$5001,"&lt;&gt;")=0,"",SUMIFS(BD!$Y$3:$Y$5001,BD!$B$3:$B$5001,F$173,BD!$A$3:$A$5001,_xlfn.MAXIFS(BD!$A$3:$A$5001,BD!$B$3:$B$5001,F$173,BD!$A$3:$A$5001,"&gt;="&amp;$C$7,BD!$A$3:$A$5001,"&lt;="&amp;$B176,BD!$Y$3:$Y$5001,"&lt;&gt;"))))</f>
        <v/>
      </c>
      <c r="G176" s="42" t="str">
        <f>IF(OR($B176="",$A176&gt;$B$9),"",IF(COUNTIFS(BD!$B$3:$B$5001,G$173,BD!$A$3:$A$5001,"&gt;="&amp;$C$7,BD!$A$3:$A$5001,"&lt;="&amp;$B176,BD!$Y$3:$Y$5001,"&lt;&gt;")=0,"",SUMIFS(BD!$Y$3:$Y$5001,BD!$B$3:$B$5001,G$173,BD!$A$3:$A$5001,_xlfn.MAXIFS(BD!$A$3:$A$5001,BD!$B$3:$B$5001,G$173,BD!$A$3:$A$5001,"&gt;="&amp;$C$7,BD!$A$3:$A$5001,"&lt;="&amp;$B176,BD!$Y$3:$Y$5001,"&lt;&gt;"))))</f>
        <v/>
      </c>
      <c r="H176" s="42" t="str">
        <f>IF(OR($B176="",$A176&gt;$B$9),"",IF(COUNTIFS(BD!$B$3:$B$5001,H$173,BD!$A$3:$A$5001,"&gt;="&amp;$C$7,BD!$A$3:$A$5001,"&lt;="&amp;$B176,BD!$Y$3:$Y$5001,"&lt;&gt;")=0,"",SUMIFS(BD!$Y$3:$Y$5001,BD!$B$3:$B$5001,H$173,BD!$A$3:$A$5001,_xlfn.MAXIFS(BD!$A$3:$A$5001,BD!$B$3:$B$5001,H$173,BD!$A$3:$A$5001,"&gt;="&amp;$C$7,BD!$A$3:$A$5001,"&lt;="&amp;$B176,BD!$Y$3:$Y$5001,"&lt;&gt;"))))</f>
        <v/>
      </c>
      <c r="I176" s="42" t="str">
        <f>IF(OR($B176="",$A176&gt;$B$9),"",IF(COUNTIFS(BD!$B$3:$B$5001,I$173,BD!$A$3:$A$5001,"&gt;="&amp;$C$7,BD!$A$3:$A$5001,"&lt;="&amp;$B176,BD!$Y$3:$Y$5001,"&lt;&gt;")=0,"",SUMIFS(BD!$Y$3:$Y$5001,BD!$B$3:$B$5001,I$173,BD!$A$3:$A$5001,_xlfn.MAXIFS(BD!$A$3:$A$5001,BD!$B$3:$B$5001,I$173,BD!$A$3:$A$5001,"&gt;="&amp;$C$7,BD!$A$3:$A$5001,"&lt;="&amp;$B176,BD!$Y$3:$Y$5001,"&lt;&gt;"))))</f>
        <v/>
      </c>
      <c r="J176" s="42" t="str">
        <f>IF(OR($B176="",$A176&gt;$B$9),"",IF(COUNTIFS(BD!$B$3:$B$5001,J$173,BD!$A$3:$A$5001,"&gt;="&amp;$C$7,BD!$A$3:$A$5001,"&lt;="&amp;$B176,BD!$Y$3:$Y$5001,"&lt;&gt;")=0,"",SUMIFS(BD!$Y$3:$Y$5001,BD!$B$3:$B$5001,J$173,BD!$A$3:$A$5001,_xlfn.MAXIFS(BD!$A$3:$A$5001,BD!$B$3:$B$5001,J$173,BD!$A$3:$A$5001,"&gt;="&amp;$C$7,BD!$A$3:$A$5001,"&lt;="&amp;$B176,BD!$Y$3:$Y$5001,"&lt;&gt;"))))</f>
        <v/>
      </c>
      <c r="K176" s="42" t="str">
        <f>IF(OR($B176="",$A176&gt;$B$9),"",IF(COUNTIFS(BD!$B$3:$B$5001,K$173,BD!$A$3:$A$5001,"&gt;="&amp;$C$7,BD!$A$3:$A$5001,"&lt;="&amp;$B176,BD!$Y$3:$Y$5001,"&lt;&gt;")=0,"",SUMIFS(BD!$Y$3:$Y$5001,BD!$B$3:$B$5001,K$173,BD!$A$3:$A$5001,_xlfn.MAXIFS(BD!$A$3:$A$5001,BD!$B$3:$B$5001,K$173,BD!$A$3:$A$5001,"&gt;="&amp;$C$7,BD!$A$3:$A$5001,"&lt;="&amp;$B176,BD!$Y$3:$Y$5001,"&lt;&gt;"))))</f>
        <v/>
      </c>
    </row>
    <row r="177">
      <c r="A177" s="40">
        <v>4</v>
      </c>
      <c r="B177" s="41">
        <f>$B$15</f>
        <v>46299</v>
      </c>
      <c r="C177" s="42" t="str">
        <f>IF(OR($B177="",$A177&gt;$B$9),"",IF(COUNTIFS(BD!$B$3:$B$5001,C$173,BD!$A$3:$A$5001,"&gt;="&amp;$C$7,BD!$A$3:$A$5001,"&lt;="&amp;$B177,BD!$Y$3:$Y$5001,"&lt;&gt;")=0,"",SUMIFS(BD!$Y$3:$Y$5001,BD!$B$3:$B$5001,C$173,BD!$A$3:$A$5001,_xlfn.MAXIFS(BD!$A$3:$A$5001,BD!$B$3:$B$5001,C$173,BD!$A$3:$A$5001,"&gt;="&amp;$C$7,BD!$A$3:$A$5001,"&lt;="&amp;$B177,BD!$Y$3:$Y$5001,"&lt;&gt;"))))</f>
        <v/>
      </c>
      <c r="D177" s="42" t="str">
        <f>IF(OR($B177="",$A177&gt;$B$9),"",IF(COUNTIFS(BD!$B$3:$B$5001,D$173,BD!$A$3:$A$5001,"&gt;="&amp;$C$7,BD!$A$3:$A$5001,"&lt;="&amp;$B177,BD!$Y$3:$Y$5001,"&lt;&gt;")=0,"",SUMIFS(BD!$Y$3:$Y$5001,BD!$B$3:$B$5001,D$173,BD!$A$3:$A$5001,_xlfn.MAXIFS(BD!$A$3:$A$5001,BD!$B$3:$B$5001,D$173,BD!$A$3:$A$5001,"&gt;="&amp;$C$7,BD!$A$3:$A$5001,"&lt;="&amp;$B177,BD!$Y$3:$Y$5001,"&lt;&gt;"))))</f>
        <v/>
      </c>
      <c r="E177" s="42" t="str">
        <f>IF(OR($B177="",$A177&gt;$B$9),"",IF(COUNTIFS(BD!$B$3:$B$5001,E$173,BD!$A$3:$A$5001,"&gt;="&amp;$C$7,BD!$A$3:$A$5001,"&lt;="&amp;$B177,BD!$Y$3:$Y$5001,"&lt;&gt;")=0,"",SUMIFS(BD!$Y$3:$Y$5001,BD!$B$3:$B$5001,E$173,BD!$A$3:$A$5001,_xlfn.MAXIFS(BD!$A$3:$A$5001,BD!$B$3:$B$5001,E$173,BD!$A$3:$A$5001,"&gt;="&amp;$C$7,BD!$A$3:$A$5001,"&lt;="&amp;$B177,BD!$Y$3:$Y$5001,"&lt;&gt;"))))</f>
        <v/>
      </c>
      <c r="F177" s="42" t="str">
        <f>IF(OR($B177="",$A177&gt;$B$9),"",IF(COUNTIFS(BD!$B$3:$B$5001,F$173,BD!$A$3:$A$5001,"&gt;="&amp;$C$7,BD!$A$3:$A$5001,"&lt;="&amp;$B177,BD!$Y$3:$Y$5001,"&lt;&gt;")=0,"",SUMIFS(BD!$Y$3:$Y$5001,BD!$B$3:$B$5001,F$173,BD!$A$3:$A$5001,_xlfn.MAXIFS(BD!$A$3:$A$5001,BD!$B$3:$B$5001,F$173,BD!$A$3:$A$5001,"&gt;="&amp;$C$7,BD!$A$3:$A$5001,"&lt;="&amp;$B177,BD!$Y$3:$Y$5001,"&lt;&gt;"))))</f>
        <v/>
      </c>
      <c r="G177" s="42" t="str">
        <f>IF(OR($B177="",$A177&gt;$B$9),"",IF(COUNTIFS(BD!$B$3:$B$5001,G$173,BD!$A$3:$A$5001,"&gt;="&amp;$C$7,BD!$A$3:$A$5001,"&lt;="&amp;$B177,BD!$Y$3:$Y$5001,"&lt;&gt;")=0,"",SUMIFS(BD!$Y$3:$Y$5001,BD!$B$3:$B$5001,G$173,BD!$A$3:$A$5001,_xlfn.MAXIFS(BD!$A$3:$A$5001,BD!$B$3:$B$5001,G$173,BD!$A$3:$A$5001,"&gt;="&amp;$C$7,BD!$A$3:$A$5001,"&lt;="&amp;$B177,BD!$Y$3:$Y$5001,"&lt;&gt;"))))</f>
        <v/>
      </c>
      <c r="H177" s="42" t="str">
        <f>IF(OR($B177="",$A177&gt;$B$9),"",IF(COUNTIFS(BD!$B$3:$B$5001,H$173,BD!$A$3:$A$5001,"&gt;="&amp;$C$7,BD!$A$3:$A$5001,"&lt;="&amp;$B177,BD!$Y$3:$Y$5001,"&lt;&gt;")=0,"",SUMIFS(BD!$Y$3:$Y$5001,BD!$B$3:$B$5001,H$173,BD!$A$3:$A$5001,_xlfn.MAXIFS(BD!$A$3:$A$5001,BD!$B$3:$B$5001,H$173,BD!$A$3:$A$5001,"&gt;="&amp;$C$7,BD!$A$3:$A$5001,"&lt;="&amp;$B177,BD!$Y$3:$Y$5001,"&lt;&gt;"))))</f>
        <v/>
      </c>
      <c r="I177" s="42" t="str">
        <f>IF(OR($B177="",$A177&gt;$B$9),"",IF(COUNTIFS(BD!$B$3:$B$5001,I$173,BD!$A$3:$A$5001,"&gt;="&amp;$C$7,BD!$A$3:$A$5001,"&lt;="&amp;$B177,BD!$Y$3:$Y$5001,"&lt;&gt;")=0,"",SUMIFS(BD!$Y$3:$Y$5001,BD!$B$3:$B$5001,I$173,BD!$A$3:$A$5001,_xlfn.MAXIFS(BD!$A$3:$A$5001,BD!$B$3:$B$5001,I$173,BD!$A$3:$A$5001,"&gt;="&amp;$C$7,BD!$A$3:$A$5001,"&lt;="&amp;$B177,BD!$Y$3:$Y$5001,"&lt;&gt;"))))</f>
        <v/>
      </c>
      <c r="J177" s="42" t="str">
        <f>IF(OR($B177="",$A177&gt;$B$9),"",IF(COUNTIFS(BD!$B$3:$B$5001,J$173,BD!$A$3:$A$5001,"&gt;="&amp;$C$7,BD!$A$3:$A$5001,"&lt;="&amp;$B177,BD!$Y$3:$Y$5001,"&lt;&gt;")=0,"",SUMIFS(BD!$Y$3:$Y$5001,BD!$B$3:$B$5001,J$173,BD!$A$3:$A$5001,_xlfn.MAXIFS(BD!$A$3:$A$5001,BD!$B$3:$B$5001,J$173,BD!$A$3:$A$5001,"&gt;="&amp;$C$7,BD!$A$3:$A$5001,"&lt;="&amp;$B177,BD!$Y$3:$Y$5001,"&lt;&gt;"))))</f>
        <v/>
      </c>
      <c r="K177" s="42" t="str">
        <f>IF(OR($B177="",$A177&gt;$B$9),"",IF(COUNTIFS(BD!$B$3:$B$5001,K$173,BD!$A$3:$A$5001,"&gt;="&amp;$C$7,BD!$A$3:$A$5001,"&lt;="&amp;$B177,BD!$Y$3:$Y$5001,"&lt;&gt;")=0,"",SUMIFS(BD!$Y$3:$Y$5001,BD!$B$3:$B$5001,K$173,BD!$A$3:$A$5001,_xlfn.MAXIFS(BD!$A$3:$A$5001,BD!$B$3:$B$5001,K$173,BD!$A$3:$A$5001,"&gt;="&amp;$C$7,BD!$A$3:$A$5001,"&lt;="&amp;$B177,BD!$Y$3:$Y$5001,"&lt;&gt;"))))</f>
        <v/>
      </c>
    </row>
    <row r="178">
      <c r="A178" s="40">
        <v>5</v>
      </c>
      <c r="B178" s="41">
        <f>$B$16</f>
        <v>46300</v>
      </c>
      <c r="C178" s="42" t="str">
        <f>IF(OR($B178="",$A178&gt;$B$9),"",IF(COUNTIFS(BD!$B$3:$B$5001,C$173,BD!$A$3:$A$5001,"&gt;="&amp;$C$7,BD!$A$3:$A$5001,"&lt;="&amp;$B178,BD!$Y$3:$Y$5001,"&lt;&gt;")=0,"",SUMIFS(BD!$Y$3:$Y$5001,BD!$B$3:$B$5001,C$173,BD!$A$3:$A$5001,_xlfn.MAXIFS(BD!$A$3:$A$5001,BD!$B$3:$B$5001,C$173,BD!$A$3:$A$5001,"&gt;="&amp;$C$7,BD!$A$3:$A$5001,"&lt;="&amp;$B178,BD!$Y$3:$Y$5001,"&lt;&gt;"))))</f>
        <v/>
      </c>
      <c r="D178" s="42" t="str">
        <f>IF(OR($B178="",$A178&gt;$B$9),"",IF(COUNTIFS(BD!$B$3:$B$5001,D$173,BD!$A$3:$A$5001,"&gt;="&amp;$C$7,BD!$A$3:$A$5001,"&lt;="&amp;$B178,BD!$Y$3:$Y$5001,"&lt;&gt;")=0,"",SUMIFS(BD!$Y$3:$Y$5001,BD!$B$3:$B$5001,D$173,BD!$A$3:$A$5001,_xlfn.MAXIFS(BD!$A$3:$A$5001,BD!$B$3:$B$5001,D$173,BD!$A$3:$A$5001,"&gt;="&amp;$C$7,BD!$A$3:$A$5001,"&lt;="&amp;$B178,BD!$Y$3:$Y$5001,"&lt;&gt;"))))</f>
        <v/>
      </c>
      <c r="E178" s="42" t="str">
        <f>IF(OR($B178="",$A178&gt;$B$9),"",IF(COUNTIFS(BD!$B$3:$B$5001,E$173,BD!$A$3:$A$5001,"&gt;="&amp;$C$7,BD!$A$3:$A$5001,"&lt;="&amp;$B178,BD!$Y$3:$Y$5001,"&lt;&gt;")=0,"",SUMIFS(BD!$Y$3:$Y$5001,BD!$B$3:$B$5001,E$173,BD!$A$3:$A$5001,_xlfn.MAXIFS(BD!$A$3:$A$5001,BD!$B$3:$B$5001,E$173,BD!$A$3:$A$5001,"&gt;="&amp;$C$7,BD!$A$3:$A$5001,"&lt;="&amp;$B178,BD!$Y$3:$Y$5001,"&lt;&gt;"))))</f>
        <v/>
      </c>
      <c r="F178" s="42" t="str">
        <f>IF(OR($B178="",$A178&gt;$B$9),"",IF(COUNTIFS(BD!$B$3:$B$5001,F$173,BD!$A$3:$A$5001,"&gt;="&amp;$C$7,BD!$A$3:$A$5001,"&lt;="&amp;$B178,BD!$Y$3:$Y$5001,"&lt;&gt;")=0,"",SUMIFS(BD!$Y$3:$Y$5001,BD!$B$3:$B$5001,F$173,BD!$A$3:$A$5001,_xlfn.MAXIFS(BD!$A$3:$A$5001,BD!$B$3:$B$5001,F$173,BD!$A$3:$A$5001,"&gt;="&amp;$C$7,BD!$A$3:$A$5001,"&lt;="&amp;$B178,BD!$Y$3:$Y$5001,"&lt;&gt;"))))</f>
        <v/>
      </c>
      <c r="G178" s="42" t="str">
        <f>IF(OR($B178="",$A178&gt;$B$9),"",IF(COUNTIFS(BD!$B$3:$B$5001,G$173,BD!$A$3:$A$5001,"&gt;="&amp;$C$7,BD!$A$3:$A$5001,"&lt;="&amp;$B178,BD!$Y$3:$Y$5001,"&lt;&gt;")=0,"",SUMIFS(BD!$Y$3:$Y$5001,BD!$B$3:$B$5001,G$173,BD!$A$3:$A$5001,_xlfn.MAXIFS(BD!$A$3:$A$5001,BD!$B$3:$B$5001,G$173,BD!$A$3:$A$5001,"&gt;="&amp;$C$7,BD!$A$3:$A$5001,"&lt;="&amp;$B178,BD!$Y$3:$Y$5001,"&lt;&gt;"))))</f>
        <v/>
      </c>
      <c r="H178" s="42" t="str">
        <f>IF(OR($B178="",$A178&gt;$B$9),"",IF(COUNTIFS(BD!$B$3:$B$5001,H$173,BD!$A$3:$A$5001,"&gt;="&amp;$C$7,BD!$A$3:$A$5001,"&lt;="&amp;$B178,BD!$Y$3:$Y$5001,"&lt;&gt;")=0,"",SUMIFS(BD!$Y$3:$Y$5001,BD!$B$3:$B$5001,H$173,BD!$A$3:$A$5001,_xlfn.MAXIFS(BD!$A$3:$A$5001,BD!$B$3:$B$5001,H$173,BD!$A$3:$A$5001,"&gt;="&amp;$C$7,BD!$A$3:$A$5001,"&lt;="&amp;$B178,BD!$Y$3:$Y$5001,"&lt;&gt;"))))</f>
        <v/>
      </c>
      <c r="I178" s="42" t="str">
        <f>IF(OR($B178="",$A178&gt;$B$9),"",IF(COUNTIFS(BD!$B$3:$B$5001,I$173,BD!$A$3:$A$5001,"&gt;="&amp;$C$7,BD!$A$3:$A$5001,"&lt;="&amp;$B178,BD!$Y$3:$Y$5001,"&lt;&gt;")=0,"",SUMIFS(BD!$Y$3:$Y$5001,BD!$B$3:$B$5001,I$173,BD!$A$3:$A$5001,_xlfn.MAXIFS(BD!$A$3:$A$5001,BD!$B$3:$B$5001,I$173,BD!$A$3:$A$5001,"&gt;="&amp;$C$7,BD!$A$3:$A$5001,"&lt;="&amp;$B178,BD!$Y$3:$Y$5001,"&lt;&gt;"))))</f>
        <v/>
      </c>
      <c r="J178" s="42" t="str">
        <f>IF(OR($B178="",$A178&gt;$B$9),"",IF(COUNTIFS(BD!$B$3:$B$5001,J$173,BD!$A$3:$A$5001,"&gt;="&amp;$C$7,BD!$A$3:$A$5001,"&lt;="&amp;$B178,BD!$Y$3:$Y$5001,"&lt;&gt;")=0,"",SUMIFS(BD!$Y$3:$Y$5001,BD!$B$3:$B$5001,J$173,BD!$A$3:$A$5001,_xlfn.MAXIFS(BD!$A$3:$A$5001,BD!$B$3:$B$5001,J$173,BD!$A$3:$A$5001,"&gt;="&amp;$C$7,BD!$A$3:$A$5001,"&lt;="&amp;$B178,BD!$Y$3:$Y$5001,"&lt;&gt;"))))</f>
        <v/>
      </c>
      <c r="K178" s="42" t="str">
        <f>IF(OR($B178="",$A178&gt;$B$9),"",IF(COUNTIFS(BD!$B$3:$B$5001,K$173,BD!$A$3:$A$5001,"&gt;="&amp;$C$7,BD!$A$3:$A$5001,"&lt;="&amp;$B178,BD!$Y$3:$Y$5001,"&lt;&gt;")=0,"",SUMIFS(BD!$Y$3:$Y$5001,BD!$B$3:$B$5001,K$173,BD!$A$3:$A$5001,_xlfn.MAXIFS(BD!$A$3:$A$5001,BD!$B$3:$B$5001,K$173,BD!$A$3:$A$5001,"&gt;="&amp;$C$7,BD!$A$3:$A$5001,"&lt;="&amp;$B178,BD!$Y$3:$Y$5001,"&lt;&gt;"))))</f>
        <v/>
      </c>
    </row>
    <row r="179">
      <c r="A179" s="40">
        <v>6</v>
      </c>
      <c r="B179" s="41">
        <f>$B$17</f>
        <v>46301</v>
      </c>
      <c r="C179" s="42" t="str">
        <f>IF(OR($B179="",$A179&gt;$B$9),"",IF(COUNTIFS(BD!$B$3:$B$5001,C$173,BD!$A$3:$A$5001,"&gt;="&amp;$C$7,BD!$A$3:$A$5001,"&lt;="&amp;$B179,BD!$Y$3:$Y$5001,"&lt;&gt;")=0,"",SUMIFS(BD!$Y$3:$Y$5001,BD!$B$3:$B$5001,C$173,BD!$A$3:$A$5001,_xlfn.MAXIFS(BD!$A$3:$A$5001,BD!$B$3:$B$5001,C$173,BD!$A$3:$A$5001,"&gt;="&amp;$C$7,BD!$A$3:$A$5001,"&lt;="&amp;$B179,BD!$Y$3:$Y$5001,"&lt;&gt;"))))</f>
        <v/>
      </c>
      <c r="D179" s="42" t="str">
        <f>IF(OR($B179="",$A179&gt;$B$9),"",IF(COUNTIFS(BD!$B$3:$B$5001,D$173,BD!$A$3:$A$5001,"&gt;="&amp;$C$7,BD!$A$3:$A$5001,"&lt;="&amp;$B179,BD!$Y$3:$Y$5001,"&lt;&gt;")=0,"",SUMIFS(BD!$Y$3:$Y$5001,BD!$B$3:$B$5001,D$173,BD!$A$3:$A$5001,_xlfn.MAXIFS(BD!$A$3:$A$5001,BD!$B$3:$B$5001,D$173,BD!$A$3:$A$5001,"&gt;="&amp;$C$7,BD!$A$3:$A$5001,"&lt;="&amp;$B179,BD!$Y$3:$Y$5001,"&lt;&gt;"))))</f>
        <v/>
      </c>
      <c r="E179" s="42" t="str">
        <f>IF(OR($B179="",$A179&gt;$B$9),"",IF(COUNTIFS(BD!$B$3:$B$5001,E$173,BD!$A$3:$A$5001,"&gt;="&amp;$C$7,BD!$A$3:$A$5001,"&lt;="&amp;$B179,BD!$Y$3:$Y$5001,"&lt;&gt;")=0,"",SUMIFS(BD!$Y$3:$Y$5001,BD!$B$3:$B$5001,E$173,BD!$A$3:$A$5001,_xlfn.MAXIFS(BD!$A$3:$A$5001,BD!$B$3:$B$5001,E$173,BD!$A$3:$A$5001,"&gt;="&amp;$C$7,BD!$A$3:$A$5001,"&lt;="&amp;$B179,BD!$Y$3:$Y$5001,"&lt;&gt;"))))</f>
        <v/>
      </c>
      <c r="F179" s="42" t="str">
        <f>IF(OR($B179="",$A179&gt;$B$9),"",IF(COUNTIFS(BD!$B$3:$B$5001,F$173,BD!$A$3:$A$5001,"&gt;="&amp;$C$7,BD!$A$3:$A$5001,"&lt;="&amp;$B179,BD!$Y$3:$Y$5001,"&lt;&gt;")=0,"",SUMIFS(BD!$Y$3:$Y$5001,BD!$B$3:$B$5001,F$173,BD!$A$3:$A$5001,_xlfn.MAXIFS(BD!$A$3:$A$5001,BD!$B$3:$B$5001,F$173,BD!$A$3:$A$5001,"&gt;="&amp;$C$7,BD!$A$3:$A$5001,"&lt;="&amp;$B179,BD!$Y$3:$Y$5001,"&lt;&gt;"))))</f>
        <v/>
      </c>
      <c r="G179" s="42" t="str">
        <f>IF(OR($B179="",$A179&gt;$B$9),"",IF(COUNTIFS(BD!$B$3:$B$5001,G$173,BD!$A$3:$A$5001,"&gt;="&amp;$C$7,BD!$A$3:$A$5001,"&lt;="&amp;$B179,BD!$Y$3:$Y$5001,"&lt;&gt;")=0,"",SUMIFS(BD!$Y$3:$Y$5001,BD!$B$3:$B$5001,G$173,BD!$A$3:$A$5001,_xlfn.MAXIFS(BD!$A$3:$A$5001,BD!$B$3:$B$5001,G$173,BD!$A$3:$A$5001,"&gt;="&amp;$C$7,BD!$A$3:$A$5001,"&lt;="&amp;$B179,BD!$Y$3:$Y$5001,"&lt;&gt;"))))</f>
        <v/>
      </c>
      <c r="H179" s="42" t="str">
        <f>IF(OR($B179="",$A179&gt;$B$9),"",IF(COUNTIFS(BD!$B$3:$B$5001,H$173,BD!$A$3:$A$5001,"&gt;="&amp;$C$7,BD!$A$3:$A$5001,"&lt;="&amp;$B179,BD!$Y$3:$Y$5001,"&lt;&gt;")=0,"",SUMIFS(BD!$Y$3:$Y$5001,BD!$B$3:$B$5001,H$173,BD!$A$3:$A$5001,_xlfn.MAXIFS(BD!$A$3:$A$5001,BD!$B$3:$B$5001,H$173,BD!$A$3:$A$5001,"&gt;="&amp;$C$7,BD!$A$3:$A$5001,"&lt;="&amp;$B179,BD!$Y$3:$Y$5001,"&lt;&gt;"))))</f>
        <v/>
      </c>
      <c r="I179" s="42" t="str">
        <f>IF(OR($B179="",$A179&gt;$B$9),"",IF(COUNTIFS(BD!$B$3:$B$5001,I$173,BD!$A$3:$A$5001,"&gt;="&amp;$C$7,BD!$A$3:$A$5001,"&lt;="&amp;$B179,BD!$Y$3:$Y$5001,"&lt;&gt;")=0,"",SUMIFS(BD!$Y$3:$Y$5001,BD!$B$3:$B$5001,I$173,BD!$A$3:$A$5001,_xlfn.MAXIFS(BD!$A$3:$A$5001,BD!$B$3:$B$5001,I$173,BD!$A$3:$A$5001,"&gt;="&amp;$C$7,BD!$A$3:$A$5001,"&lt;="&amp;$B179,BD!$Y$3:$Y$5001,"&lt;&gt;"))))</f>
        <v/>
      </c>
      <c r="J179" s="42" t="str">
        <f>IF(OR($B179="",$A179&gt;$B$9),"",IF(COUNTIFS(BD!$B$3:$B$5001,J$173,BD!$A$3:$A$5001,"&gt;="&amp;$C$7,BD!$A$3:$A$5001,"&lt;="&amp;$B179,BD!$Y$3:$Y$5001,"&lt;&gt;")=0,"",SUMIFS(BD!$Y$3:$Y$5001,BD!$B$3:$B$5001,J$173,BD!$A$3:$A$5001,_xlfn.MAXIFS(BD!$A$3:$A$5001,BD!$B$3:$B$5001,J$173,BD!$A$3:$A$5001,"&gt;="&amp;$C$7,BD!$A$3:$A$5001,"&lt;="&amp;$B179,BD!$Y$3:$Y$5001,"&lt;&gt;"))))</f>
        <v/>
      </c>
      <c r="K179" s="42" t="str">
        <f>IF(OR($B179="",$A179&gt;$B$9),"",IF(COUNTIFS(BD!$B$3:$B$5001,K$173,BD!$A$3:$A$5001,"&gt;="&amp;$C$7,BD!$A$3:$A$5001,"&lt;="&amp;$B179,BD!$Y$3:$Y$5001,"&lt;&gt;")=0,"",SUMIFS(BD!$Y$3:$Y$5001,BD!$B$3:$B$5001,K$173,BD!$A$3:$A$5001,_xlfn.MAXIFS(BD!$A$3:$A$5001,BD!$B$3:$B$5001,K$173,BD!$A$3:$A$5001,"&gt;="&amp;$C$7,BD!$A$3:$A$5001,"&lt;="&amp;$B179,BD!$Y$3:$Y$5001,"&lt;&gt;"))))</f>
        <v/>
      </c>
    </row>
    <row r="180">
      <c r="A180" s="40">
        <v>7</v>
      </c>
      <c r="B180" s="41">
        <f>$B$18</f>
        <v>46302</v>
      </c>
      <c r="C180" s="42" t="str">
        <f>IF(OR($B180="",$A180&gt;$B$9),"",IF(COUNTIFS(BD!$B$3:$B$5001,C$173,BD!$A$3:$A$5001,"&gt;="&amp;$C$7,BD!$A$3:$A$5001,"&lt;="&amp;$B180,BD!$Y$3:$Y$5001,"&lt;&gt;")=0,"",SUMIFS(BD!$Y$3:$Y$5001,BD!$B$3:$B$5001,C$173,BD!$A$3:$A$5001,_xlfn.MAXIFS(BD!$A$3:$A$5001,BD!$B$3:$B$5001,C$173,BD!$A$3:$A$5001,"&gt;="&amp;$C$7,BD!$A$3:$A$5001,"&lt;="&amp;$B180,BD!$Y$3:$Y$5001,"&lt;&gt;"))))</f>
        <v/>
      </c>
      <c r="D180" s="42" t="str">
        <f>IF(OR($B180="",$A180&gt;$B$9),"",IF(COUNTIFS(BD!$B$3:$B$5001,D$173,BD!$A$3:$A$5001,"&gt;="&amp;$C$7,BD!$A$3:$A$5001,"&lt;="&amp;$B180,BD!$Y$3:$Y$5001,"&lt;&gt;")=0,"",SUMIFS(BD!$Y$3:$Y$5001,BD!$B$3:$B$5001,D$173,BD!$A$3:$A$5001,_xlfn.MAXIFS(BD!$A$3:$A$5001,BD!$B$3:$B$5001,D$173,BD!$A$3:$A$5001,"&gt;="&amp;$C$7,BD!$A$3:$A$5001,"&lt;="&amp;$B180,BD!$Y$3:$Y$5001,"&lt;&gt;"))))</f>
        <v/>
      </c>
      <c r="E180" s="42" t="str">
        <f>IF(OR($B180="",$A180&gt;$B$9),"",IF(COUNTIFS(BD!$B$3:$B$5001,E$173,BD!$A$3:$A$5001,"&gt;="&amp;$C$7,BD!$A$3:$A$5001,"&lt;="&amp;$B180,BD!$Y$3:$Y$5001,"&lt;&gt;")=0,"",SUMIFS(BD!$Y$3:$Y$5001,BD!$B$3:$B$5001,E$173,BD!$A$3:$A$5001,_xlfn.MAXIFS(BD!$A$3:$A$5001,BD!$B$3:$B$5001,E$173,BD!$A$3:$A$5001,"&gt;="&amp;$C$7,BD!$A$3:$A$5001,"&lt;="&amp;$B180,BD!$Y$3:$Y$5001,"&lt;&gt;"))))</f>
        <v/>
      </c>
      <c r="F180" s="42" t="str">
        <f>IF(OR($B180="",$A180&gt;$B$9),"",IF(COUNTIFS(BD!$B$3:$B$5001,F$173,BD!$A$3:$A$5001,"&gt;="&amp;$C$7,BD!$A$3:$A$5001,"&lt;="&amp;$B180,BD!$Y$3:$Y$5001,"&lt;&gt;")=0,"",SUMIFS(BD!$Y$3:$Y$5001,BD!$B$3:$B$5001,F$173,BD!$A$3:$A$5001,_xlfn.MAXIFS(BD!$A$3:$A$5001,BD!$B$3:$B$5001,F$173,BD!$A$3:$A$5001,"&gt;="&amp;$C$7,BD!$A$3:$A$5001,"&lt;="&amp;$B180,BD!$Y$3:$Y$5001,"&lt;&gt;"))))</f>
        <v/>
      </c>
      <c r="G180" s="42" t="str">
        <f>IF(OR($B180="",$A180&gt;$B$9),"",IF(COUNTIFS(BD!$B$3:$B$5001,G$173,BD!$A$3:$A$5001,"&gt;="&amp;$C$7,BD!$A$3:$A$5001,"&lt;="&amp;$B180,BD!$Y$3:$Y$5001,"&lt;&gt;")=0,"",SUMIFS(BD!$Y$3:$Y$5001,BD!$B$3:$B$5001,G$173,BD!$A$3:$A$5001,_xlfn.MAXIFS(BD!$A$3:$A$5001,BD!$B$3:$B$5001,G$173,BD!$A$3:$A$5001,"&gt;="&amp;$C$7,BD!$A$3:$A$5001,"&lt;="&amp;$B180,BD!$Y$3:$Y$5001,"&lt;&gt;"))))</f>
        <v/>
      </c>
      <c r="H180" s="42" t="str">
        <f>IF(OR($B180="",$A180&gt;$B$9),"",IF(COUNTIFS(BD!$B$3:$B$5001,H$173,BD!$A$3:$A$5001,"&gt;="&amp;$C$7,BD!$A$3:$A$5001,"&lt;="&amp;$B180,BD!$Y$3:$Y$5001,"&lt;&gt;")=0,"",SUMIFS(BD!$Y$3:$Y$5001,BD!$B$3:$B$5001,H$173,BD!$A$3:$A$5001,_xlfn.MAXIFS(BD!$A$3:$A$5001,BD!$B$3:$B$5001,H$173,BD!$A$3:$A$5001,"&gt;="&amp;$C$7,BD!$A$3:$A$5001,"&lt;="&amp;$B180,BD!$Y$3:$Y$5001,"&lt;&gt;"))))</f>
        <v/>
      </c>
      <c r="I180" s="42" t="str">
        <f>IF(OR($B180="",$A180&gt;$B$9),"",IF(COUNTIFS(BD!$B$3:$B$5001,I$173,BD!$A$3:$A$5001,"&gt;="&amp;$C$7,BD!$A$3:$A$5001,"&lt;="&amp;$B180,BD!$Y$3:$Y$5001,"&lt;&gt;")=0,"",SUMIFS(BD!$Y$3:$Y$5001,BD!$B$3:$B$5001,I$173,BD!$A$3:$A$5001,_xlfn.MAXIFS(BD!$A$3:$A$5001,BD!$B$3:$B$5001,I$173,BD!$A$3:$A$5001,"&gt;="&amp;$C$7,BD!$A$3:$A$5001,"&lt;="&amp;$B180,BD!$Y$3:$Y$5001,"&lt;&gt;"))))</f>
        <v/>
      </c>
      <c r="J180" s="42" t="str">
        <f>IF(OR($B180="",$A180&gt;$B$9),"",IF(COUNTIFS(BD!$B$3:$B$5001,J$173,BD!$A$3:$A$5001,"&gt;="&amp;$C$7,BD!$A$3:$A$5001,"&lt;="&amp;$B180,BD!$Y$3:$Y$5001,"&lt;&gt;")=0,"",SUMIFS(BD!$Y$3:$Y$5001,BD!$B$3:$B$5001,J$173,BD!$A$3:$A$5001,_xlfn.MAXIFS(BD!$A$3:$A$5001,BD!$B$3:$B$5001,J$173,BD!$A$3:$A$5001,"&gt;="&amp;$C$7,BD!$A$3:$A$5001,"&lt;="&amp;$B180,BD!$Y$3:$Y$5001,"&lt;&gt;"))))</f>
        <v/>
      </c>
      <c r="K180" s="42" t="str">
        <f>IF(OR($B180="",$A180&gt;$B$9),"",IF(COUNTIFS(BD!$B$3:$B$5001,K$173,BD!$A$3:$A$5001,"&gt;="&amp;$C$7,BD!$A$3:$A$5001,"&lt;="&amp;$B180,BD!$Y$3:$Y$5001,"&lt;&gt;")=0,"",SUMIFS(BD!$Y$3:$Y$5001,BD!$B$3:$B$5001,K$173,BD!$A$3:$A$5001,_xlfn.MAXIFS(BD!$A$3:$A$5001,BD!$B$3:$B$5001,K$173,BD!$A$3:$A$5001,"&gt;="&amp;$C$7,BD!$A$3:$A$5001,"&lt;="&amp;$B180,BD!$Y$3:$Y$5001,"&lt;&gt;"))))</f>
        <v/>
      </c>
    </row>
    <row r="181">
      <c r="A181" s="40">
        <v>8</v>
      </c>
      <c r="B181" s="41">
        <f>$B$19</f>
        <v>46303</v>
      </c>
      <c r="C181" s="42" t="str">
        <f>IF(OR($B181="",$A181&gt;$B$9),"",IF(COUNTIFS(BD!$B$3:$B$5001,C$173,BD!$A$3:$A$5001,"&gt;="&amp;$C$7,BD!$A$3:$A$5001,"&lt;="&amp;$B181,BD!$Y$3:$Y$5001,"&lt;&gt;")=0,"",SUMIFS(BD!$Y$3:$Y$5001,BD!$B$3:$B$5001,C$173,BD!$A$3:$A$5001,_xlfn.MAXIFS(BD!$A$3:$A$5001,BD!$B$3:$B$5001,C$173,BD!$A$3:$A$5001,"&gt;="&amp;$C$7,BD!$A$3:$A$5001,"&lt;="&amp;$B181,BD!$Y$3:$Y$5001,"&lt;&gt;"))))</f>
        <v/>
      </c>
      <c r="D181" s="42" t="str">
        <f>IF(OR($B181="",$A181&gt;$B$9),"",IF(COUNTIFS(BD!$B$3:$B$5001,D$173,BD!$A$3:$A$5001,"&gt;="&amp;$C$7,BD!$A$3:$A$5001,"&lt;="&amp;$B181,BD!$Y$3:$Y$5001,"&lt;&gt;")=0,"",SUMIFS(BD!$Y$3:$Y$5001,BD!$B$3:$B$5001,D$173,BD!$A$3:$A$5001,_xlfn.MAXIFS(BD!$A$3:$A$5001,BD!$B$3:$B$5001,D$173,BD!$A$3:$A$5001,"&gt;="&amp;$C$7,BD!$A$3:$A$5001,"&lt;="&amp;$B181,BD!$Y$3:$Y$5001,"&lt;&gt;"))))</f>
        <v/>
      </c>
      <c r="E181" s="42" t="str">
        <f>IF(OR($B181="",$A181&gt;$B$9),"",IF(COUNTIFS(BD!$B$3:$B$5001,E$173,BD!$A$3:$A$5001,"&gt;="&amp;$C$7,BD!$A$3:$A$5001,"&lt;="&amp;$B181,BD!$Y$3:$Y$5001,"&lt;&gt;")=0,"",SUMIFS(BD!$Y$3:$Y$5001,BD!$B$3:$B$5001,E$173,BD!$A$3:$A$5001,_xlfn.MAXIFS(BD!$A$3:$A$5001,BD!$B$3:$B$5001,E$173,BD!$A$3:$A$5001,"&gt;="&amp;$C$7,BD!$A$3:$A$5001,"&lt;="&amp;$B181,BD!$Y$3:$Y$5001,"&lt;&gt;"))))</f>
        <v/>
      </c>
      <c r="F181" s="42" t="str">
        <f>IF(OR($B181="",$A181&gt;$B$9),"",IF(COUNTIFS(BD!$B$3:$B$5001,F$173,BD!$A$3:$A$5001,"&gt;="&amp;$C$7,BD!$A$3:$A$5001,"&lt;="&amp;$B181,BD!$Y$3:$Y$5001,"&lt;&gt;")=0,"",SUMIFS(BD!$Y$3:$Y$5001,BD!$B$3:$B$5001,F$173,BD!$A$3:$A$5001,_xlfn.MAXIFS(BD!$A$3:$A$5001,BD!$B$3:$B$5001,F$173,BD!$A$3:$A$5001,"&gt;="&amp;$C$7,BD!$A$3:$A$5001,"&lt;="&amp;$B181,BD!$Y$3:$Y$5001,"&lt;&gt;"))))</f>
        <v/>
      </c>
      <c r="G181" s="42" t="str">
        <f>IF(OR($B181="",$A181&gt;$B$9),"",IF(COUNTIFS(BD!$B$3:$B$5001,G$173,BD!$A$3:$A$5001,"&gt;="&amp;$C$7,BD!$A$3:$A$5001,"&lt;="&amp;$B181,BD!$Y$3:$Y$5001,"&lt;&gt;")=0,"",SUMIFS(BD!$Y$3:$Y$5001,BD!$B$3:$B$5001,G$173,BD!$A$3:$A$5001,_xlfn.MAXIFS(BD!$A$3:$A$5001,BD!$B$3:$B$5001,G$173,BD!$A$3:$A$5001,"&gt;="&amp;$C$7,BD!$A$3:$A$5001,"&lt;="&amp;$B181,BD!$Y$3:$Y$5001,"&lt;&gt;"))))</f>
        <v/>
      </c>
      <c r="H181" s="42" t="str">
        <f>IF(OR($B181="",$A181&gt;$B$9),"",IF(COUNTIFS(BD!$B$3:$B$5001,H$173,BD!$A$3:$A$5001,"&gt;="&amp;$C$7,BD!$A$3:$A$5001,"&lt;="&amp;$B181,BD!$Y$3:$Y$5001,"&lt;&gt;")=0,"",SUMIFS(BD!$Y$3:$Y$5001,BD!$B$3:$B$5001,H$173,BD!$A$3:$A$5001,_xlfn.MAXIFS(BD!$A$3:$A$5001,BD!$B$3:$B$5001,H$173,BD!$A$3:$A$5001,"&gt;="&amp;$C$7,BD!$A$3:$A$5001,"&lt;="&amp;$B181,BD!$Y$3:$Y$5001,"&lt;&gt;"))))</f>
        <v/>
      </c>
      <c r="I181" s="42" t="str">
        <f>IF(OR($B181="",$A181&gt;$B$9),"",IF(COUNTIFS(BD!$B$3:$B$5001,I$173,BD!$A$3:$A$5001,"&gt;="&amp;$C$7,BD!$A$3:$A$5001,"&lt;="&amp;$B181,BD!$Y$3:$Y$5001,"&lt;&gt;")=0,"",SUMIFS(BD!$Y$3:$Y$5001,BD!$B$3:$B$5001,I$173,BD!$A$3:$A$5001,_xlfn.MAXIFS(BD!$A$3:$A$5001,BD!$B$3:$B$5001,I$173,BD!$A$3:$A$5001,"&gt;="&amp;$C$7,BD!$A$3:$A$5001,"&lt;="&amp;$B181,BD!$Y$3:$Y$5001,"&lt;&gt;"))))</f>
        <v/>
      </c>
      <c r="J181" s="42" t="str">
        <f>IF(OR($B181="",$A181&gt;$B$9),"",IF(COUNTIFS(BD!$B$3:$B$5001,J$173,BD!$A$3:$A$5001,"&gt;="&amp;$C$7,BD!$A$3:$A$5001,"&lt;="&amp;$B181,BD!$Y$3:$Y$5001,"&lt;&gt;")=0,"",SUMIFS(BD!$Y$3:$Y$5001,BD!$B$3:$B$5001,J$173,BD!$A$3:$A$5001,_xlfn.MAXIFS(BD!$A$3:$A$5001,BD!$B$3:$B$5001,J$173,BD!$A$3:$A$5001,"&gt;="&amp;$C$7,BD!$A$3:$A$5001,"&lt;="&amp;$B181,BD!$Y$3:$Y$5001,"&lt;&gt;"))))</f>
        <v/>
      </c>
      <c r="K181" s="42" t="str">
        <f>IF(OR($B181="",$A181&gt;$B$9),"",IF(COUNTIFS(BD!$B$3:$B$5001,K$173,BD!$A$3:$A$5001,"&gt;="&amp;$C$7,BD!$A$3:$A$5001,"&lt;="&amp;$B181,BD!$Y$3:$Y$5001,"&lt;&gt;")=0,"",SUMIFS(BD!$Y$3:$Y$5001,BD!$B$3:$B$5001,K$173,BD!$A$3:$A$5001,_xlfn.MAXIFS(BD!$A$3:$A$5001,BD!$B$3:$B$5001,K$173,BD!$A$3:$A$5001,"&gt;="&amp;$C$7,BD!$A$3:$A$5001,"&lt;="&amp;$B181,BD!$Y$3:$Y$5001,"&lt;&gt;"))))</f>
        <v/>
      </c>
    </row>
    <row r="182">
      <c r="A182" s="40">
        <v>9</v>
      </c>
      <c r="B182" s="41">
        <f>$B$20</f>
        <v>46304</v>
      </c>
      <c r="C182" s="42" t="str">
        <f>IF(OR($B182="",$A182&gt;$B$9),"",IF(COUNTIFS(BD!$B$3:$B$5001,C$173,BD!$A$3:$A$5001,"&gt;="&amp;$C$7,BD!$A$3:$A$5001,"&lt;="&amp;$B182,BD!$Y$3:$Y$5001,"&lt;&gt;")=0,"",SUMIFS(BD!$Y$3:$Y$5001,BD!$B$3:$B$5001,C$173,BD!$A$3:$A$5001,_xlfn.MAXIFS(BD!$A$3:$A$5001,BD!$B$3:$B$5001,C$173,BD!$A$3:$A$5001,"&gt;="&amp;$C$7,BD!$A$3:$A$5001,"&lt;="&amp;$B182,BD!$Y$3:$Y$5001,"&lt;&gt;"))))</f>
        <v/>
      </c>
      <c r="D182" s="42" t="str">
        <f>IF(OR($B182="",$A182&gt;$B$9),"",IF(COUNTIFS(BD!$B$3:$B$5001,D$173,BD!$A$3:$A$5001,"&gt;="&amp;$C$7,BD!$A$3:$A$5001,"&lt;="&amp;$B182,BD!$Y$3:$Y$5001,"&lt;&gt;")=0,"",SUMIFS(BD!$Y$3:$Y$5001,BD!$B$3:$B$5001,D$173,BD!$A$3:$A$5001,_xlfn.MAXIFS(BD!$A$3:$A$5001,BD!$B$3:$B$5001,D$173,BD!$A$3:$A$5001,"&gt;="&amp;$C$7,BD!$A$3:$A$5001,"&lt;="&amp;$B182,BD!$Y$3:$Y$5001,"&lt;&gt;"))))</f>
        <v/>
      </c>
      <c r="E182" s="42" t="str">
        <f>IF(OR($B182="",$A182&gt;$B$9),"",IF(COUNTIFS(BD!$B$3:$B$5001,E$173,BD!$A$3:$A$5001,"&gt;="&amp;$C$7,BD!$A$3:$A$5001,"&lt;="&amp;$B182,BD!$Y$3:$Y$5001,"&lt;&gt;")=0,"",SUMIFS(BD!$Y$3:$Y$5001,BD!$B$3:$B$5001,E$173,BD!$A$3:$A$5001,_xlfn.MAXIFS(BD!$A$3:$A$5001,BD!$B$3:$B$5001,E$173,BD!$A$3:$A$5001,"&gt;="&amp;$C$7,BD!$A$3:$A$5001,"&lt;="&amp;$B182,BD!$Y$3:$Y$5001,"&lt;&gt;"))))</f>
        <v/>
      </c>
      <c r="F182" s="42" t="str">
        <f>IF(OR($B182="",$A182&gt;$B$9),"",IF(COUNTIFS(BD!$B$3:$B$5001,F$173,BD!$A$3:$A$5001,"&gt;="&amp;$C$7,BD!$A$3:$A$5001,"&lt;="&amp;$B182,BD!$Y$3:$Y$5001,"&lt;&gt;")=0,"",SUMIFS(BD!$Y$3:$Y$5001,BD!$B$3:$B$5001,F$173,BD!$A$3:$A$5001,_xlfn.MAXIFS(BD!$A$3:$A$5001,BD!$B$3:$B$5001,F$173,BD!$A$3:$A$5001,"&gt;="&amp;$C$7,BD!$A$3:$A$5001,"&lt;="&amp;$B182,BD!$Y$3:$Y$5001,"&lt;&gt;"))))</f>
        <v/>
      </c>
      <c r="G182" s="42" t="str">
        <f>IF(OR($B182="",$A182&gt;$B$9),"",IF(COUNTIFS(BD!$B$3:$B$5001,G$173,BD!$A$3:$A$5001,"&gt;="&amp;$C$7,BD!$A$3:$A$5001,"&lt;="&amp;$B182,BD!$Y$3:$Y$5001,"&lt;&gt;")=0,"",SUMIFS(BD!$Y$3:$Y$5001,BD!$B$3:$B$5001,G$173,BD!$A$3:$A$5001,_xlfn.MAXIFS(BD!$A$3:$A$5001,BD!$B$3:$B$5001,G$173,BD!$A$3:$A$5001,"&gt;="&amp;$C$7,BD!$A$3:$A$5001,"&lt;="&amp;$B182,BD!$Y$3:$Y$5001,"&lt;&gt;"))))</f>
        <v/>
      </c>
      <c r="H182" s="42" t="str">
        <f>IF(OR($B182="",$A182&gt;$B$9),"",IF(COUNTIFS(BD!$B$3:$B$5001,H$173,BD!$A$3:$A$5001,"&gt;="&amp;$C$7,BD!$A$3:$A$5001,"&lt;="&amp;$B182,BD!$Y$3:$Y$5001,"&lt;&gt;")=0,"",SUMIFS(BD!$Y$3:$Y$5001,BD!$B$3:$B$5001,H$173,BD!$A$3:$A$5001,_xlfn.MAXIFS(BD!$A$3:$A$5001,BD!$B$3:$B$5001,H$173,BD!$A$3:$A$5001,"&gt;="&amp;$C$7,BD!$A$3:$A$5001,"&lt;="&amp;$B182,BD!$Y$3:$Y$5001,"&lt;&gt;"))))</f>
        <v/>
      </c>
      <c r="I182" s="42" t="str">
        <f>IF(OR($B182="",$A182&gt;$B$9),"",IF(COUNTIFS(BD!$B$3:$B$5001,I$173,BD!$A$3:$A$5001,"&gt;="&amp;$C$7,BD!$A$3:$A$5001,"&lt;="&amp;$B182,BD!$Y$3:$Y$5001,"&lt;&gt;")=0,"",SUMIFS(BD!$Y$3:$Y$5001,BD!$B$3:$B$5001,I$173,BD!$A$3:$A$5001,_xlfn.MAXIFS(BD!$A$3:$A$5001,BD!$B$3:$B$5001,I$173,BD!$A$3:$A$5001,"&gt;="&amp;$C$7,BD!$A$3:$A$5001,"&lt;="&amp;$B182,BD!$Y$3:$Y$5001,"&lt;&gt;"))))</f>
        <v/>
      </c>
      <c r="J182" s="42" t="str">
        <f>IF(OR($B182="",$A182&gt;$B$9),"",IF(COUNTIFS(BD!$B$3:$B$5001,J$173,BD!$A$3:$A$5001,"&gt;="&amp;$C$7,BD!$A$3:$A$5001,"&lt;="&amp;$B182,BD!$Y$3:$Y$5001,"&lt;&gt;")=0,"",SUMIFS(BD!$Y$3:$Y$5001,BD!$B$3:$B$5001,J$173,BD!$A$3:$A$5001,_xlfn.MAXIFS(BD!$A$3:$A$5001,BD!$B$3:$B$5001,J$173,BD!$A$3:$A$5001,"&gt;="&amp;$C$7,BD!$A$3:$A$5001,"&lt;="&amp;$B182,BD!$Y$3:$Y$5001,"&lt;&gt;"))))</f>
        <v/>
      </c>
      <c r="K182" s="42" t="str">
        <f>IF(OR($B182="",$A182&gt;$B$9),"",IF(COUNTIFS(BD!$B$3:$B$5001,K$173,BD!$A$3:$A$5001,"&gt;="&amp;$C$7,BD!$A$3:$A$5001,"&lt;="&amp;$B182,BD!$Y$3:$Y$5001,"&lt;&gt;")=0,"",SUMIFS(BD!$Y$3:$Y$5001,BD!$B$3:$B$5001,K$173,BD!$A$3:$A$5001,_xlfn.MAXIFS(BD!$A$3:$A$5001,BD!$B$3:$B$5001,K$173,BD!$A$3:$A$5001,"&gt;="&amp;$C$7,BD!$A$3:$A$5001,"&lt;="&amp;$B182,BD!$Y$3:$Y$5001,"&lt;&gt;"))))</f>
        <v/>
      </c>
    </row>
    <row r="183">
      <c r="A183" s="40">
        <v>10</v>
      </c>
      <c r="B183" s="41">
        <f>$B$21</f>
        <v>46305</v>
      </c>
      <c r="C183" s="42" t="str">
        <f>IF(OR($B183="",$A183&gt;$B$9),"",IF(COUNTIFS(BD!$B$3:$B$5001,C$173,BD!$A$3:$A$5001,"&gt;="&amp;$C$7,BD!$A$3:$A$5001,"&lt;="&amp;$B183,BD!$Y$3:$Y$5001,"&lt;&gt;")=0,"",SUMIFS(BD!$Y$3:$Y$5001,BD!$B$3:$B$5001,C$173,BD!$A$3:$A$5001,_xlfn.MAXIFS(BD!$A$3:$A$5001,BD!$B$3:$B$5001,C$173,BD!$A$3:$A$5001,"&gt;="&amp;$C$7,BD!$A$3:$A$5001,"&lt;="&amp;$B183,BD!$Y$3:$Y$5001,"&lt;&gt;"))))</f>
        <v/>
      </c>
      <c r="D183" s="42" t="str">
        <f>IF(OR($B183="",$A183&gt;$B$9),"",IF(COUNTIFS(BD!$B$3:$B$5001,D$173,BD!$A$3:$A$5001,"&gt;="&amp;$C$7,BD!$A$3:$A$5001,"&lt;="&amp;$B183,BD!$Y$3:$Y$5001,"&lt;&gt;")=0,"",SUMIFS(BD!$Y$3:$Y$5001,BD!$B$3:$B$5001,D$173,BD!$A$3:$A$5001,_xlfn.MAXIFS(BD!$A$3:$A$5001,BD!$B$3:$B$5001,D$173,BD!$A$3:$A$5001,"&gt;="&amp;$C$7,BD!$A$3:$A$5001,"&lt;="&amp;$B183,BD!$Y$3:$Y$5001,"&lt;&gt;"))))</f>
        <v/>
      </c>
      <c r="E183" s="42" t="str">
        <f>IF(OR($B183="",$A183&gt;$B$9),"",IF(COUNTIFS(BD!$B$3:$B$5001,E$173,BD!$A$3:$A$5001,"&gt;="&amp;$C$7,BD!$A$3:$A$5001,"&lt;="&amp;$B183,BD!$Y$3:$Y$5001,"&lt;&gt;")=0,"",SUMIFS(BD!$Y$3:$Y$5001,BD!$B$3:$B$5001,E$173,BD!$A$3:$A$5001,_xlfn.MAXIFS(BD!$A$3:$A$5001,BD!$B$3:$B$5001,E$173,BD!$A$3:$A$5001,"&gt;="&amp;$C$7,BD!$A$3:$A$5001,"&lt;="&amp;$B183,BD!$Y$3:$Y$5001,"&lt;&gt;"))))</f>
        <v/>
      </c>
      <c r="F183" s="42" t="str">
        <f>IF(OR($B183="",$A183&gt;$B$9),"",IF(COUNTIFS(BD!$B$3:$B$5001,F$173,BD!$A$3:$A$5001,"&gt;="&amp;$C$7,BD!$A$3:$A$5001,"&lt;="&amp;$B183,BD!$Y$3:$Y$5001,"&lt;&gt;")=0,"",SUMIFS(BD!$Y$3:$Y$5001,BD!$B$3:$B$5001,F$173,BD!$A$3:$A$5001,_xlfn.MAXIFS(BD!$A$3:$A$5001,BD!$B$3:$B$5001,F$173,BD!$A$3:$A$5001,"&gt;="&amp;$C$7,BD!$A$3:$A$5001,"&lt;="&amp;$B183,BD!$Y$3:$Y$5001,"&lt;&gt;"))))</f>
        <v/>
      </c>
      <c r="G183" s="42" t="str">
        <f>IF(OR($B183="",$A183&gt;$B$9),"",IF(COUNTIFS(BD!$B$3:$B$5001,G$173,BD!$A$3:$A$5001,"&gt;="&amp;$C$7,BD!$A$3:$A$5001,"&lt;="&amp;$B183,BD!$Y$3:$Y$5001,"&lt;&gt;")=0,"",SUMIFS(BD!$Y$3:$Y$5001,BD!$B$3:$B$5001,G$173,BD!$A$3:$A$5001,_xlfn.MAXIFS(BD!$A$3:$A$5001,BD!$B$3:$B$5001,G$173,BD!$A$3:$A$5001,"&gt;="&amp;$C$7,BD!$A$3:$A$5001,"&lt;="&amp;$B183,BD!$Y$3:$Y$5001,"&lt;&gt;"))))</f>
        <v/>
      </c>
      <c r="H183" s="42" t="str">
        <f>IF(OR($B183="",$A183&gt;$B$9),"",IF(COUNTIFS(BD!$B$3:$B$5001,H$173,BD!$A$3:$A$5001,"&gt;="&amp;$C$7,BD!$A$3:$A$5001,"&lt;="&amp;$B183,BD!$Y$3:$Y$5001,"&lt;&gt;")=0,"",SUMIFS(BD!$Y$3:$Y$5001,BD!$B$3:$B$5001,H$173,BD!$A$3:$A$5001,_xlfn.MAXIFS(BD!$A$3:$A$5001,BD!$B$3:$B$5001,H$173,BD!$A$3:$A$5001,"&gt;="&amp;$C$7,BD!$A$3:$A$5001,"&lt;="&amp;$B183,BD!$Y$3:$Y$5001,"&lt;&gt;"))))</f>
        <v/>
      </c>
      <c r="I183" s="42" t="str">
        <f>IF(OR($B183="",$A183&gt;$B$9),"",IF(COUNTIFS(BD!$B$3:$B$5001,I$173,BD!$A$3:$A$5001,"&gt;="&amp;$C$7,BD!$A$3:$A$5001,"&lt;="&amp;$B183,BD!$Y$3:$Y$5001,"&lt;&gt;")=0,"",SUMIFS(BD!$Y$3:$Y$5001,BD!$B$3:$B$5001,I$173,BD!$A$3:$A$5001,_xlfn.MAXIFS(BD!$A$3:$A$5001,BD!$B$3:$B$5001,I$173,BD!$A$3:$A$5001,"&gt;="&amp;$C$7,BD!$A$3:$A$5001,"&lt;="&amp;$B183,BD!$Y$3:$Y$5001,"&lt;&gt;"))))</f>
        <v/>
      </c>
      <c r="J183" s="42" t="str">
        <f>IF(OR($B183="",$A183&gt;$B$9),"",IF(COUNTIFS(BD!$B$3:$B$5001,J$173,BD!$A$3:$A$5001,"&gt;="&amp;$C$7,BD!$A$3:$A$5001,"&lt;="&amp;$B183,BD!$Y$3:$Y$5001,"&lt;&gt;")=0,"",SUMIFS(BD!$Y$3:$Y$5001,BD!$B$3:$B$5001,J$173,BD!$A$3:$A$5001,_xlfn.MAXIFS(BD!$A$3:$A$5001,BD!$B$3:$B$5001,J$173,BD!$A$3:$A$5001,"&gt;="&amp;$C$7,BD!$A$3:$A$5001,"&lt;="&amp;$B183,BD!$Y$3:$Y$5001,"&lt;&gt;"))))</f>
        <v/>
      </c>
      <c r="K183" s="42" t="str">
        <f>IF(OR($B183="",$A183&gt;$B$9),"",IF(COUNTIFS(BD!$B$3:$B$5001,K$173,BD!$A$3:$A$5001,"&gt;="&amp;$C$7,BD!$A$3:$A$5001,"&lt;="&amp;$B183,BD!$Y$3:$Y$5001,"&lt;&gt;")=0,"",SUMIFS(BD!$Y$3:$Y$5001,BD!$B$3:$B$5001,K$173,BD!$A$3:$A$5001,_xlfn.MAXIFS(BD!$A$3:$A$5001,BD!$B$3:$B$5001,K$173,BD!$A$3:$A$5001,"&gt;="&amp;$C$7,BD!$A$3:$A$5001,"&lt;="&amp;$B183,BD!$Y$3:$Y$5001,"&lt;&gt;"))))</f>
        <v/>
      </c>
    </row>
    <row r="184">
      <c r="A184" s="40">
        <v>11</v>
      </c>
      <c r="B184" s="41">
        <f>$B$22</f>
        <v>46306</v>
      </c>
      <c r="C184" s="42" t="str">
        <f>IF(OR($B184="",$A184&gt;$B$9),"",IF(COUNTIFS(BD!$B$3:$B$5001,C$173,BD!$A$3:$A$5001,"&gt;="&amp;$C$7,BD!$A$3:$A$5001,"&lt;="&amp;$B184,BD!$Y$3:$Y$5001,"&lt;&gt;")=0,"",SUMIFS(BD!$Y$3:$Y$5001,BD!$B$3:$B$5001,C$173,BD!$A$3:$A$5001,_xlfn.MAXIFS(BD!$A$3:$A$5001,BD!$B$3:$B$5001,C$173,BD!$A$3:$A$5001,"&gt;="&amp;$C$7,BD!$A$3:$A$5001,"&lt;="&amp;$B184,BD!$Y$3:$Y$5001,"&lt;&gt;"))))</f>
        <v/>
      </c>
      <c r="D184" s="42" t="str">
        <f>IF(OR($B184="",$A184&gt;$B$9),"",IF(COUNTIFS(BD!$B$3:$B$5001,D$173,BD!$A$3:$A$5001,"&gt;="&amp;$C$7,BD!$A$3:$A$5001,"&lt;="&amp;$B184,BD!$Y$3:$Y$5001,"&lt;&gt;")=0,"",SUMIFS(BD!$Y$3:$Y$5001,BD!$B$3:$B$5001,D$173,BD!$A$3:$A$5001,_xlfn.MAXIFS(BD!$A$3:$A$5001,BD!$B$3:$B$5001,D$173,BD!$A$3:$A$5001,"&gt;="&amp;$C$7,BD!$A$3:$A$5001,"&lt;="&amp;$B184,BD!$Y$3:$Y$5001,"&lt;&gt;"))))</f>
        <v/>
      </c>
      <c r="E184" s="42" t="str">
        <f>IF(OR($B184="",$A184&gt;$B$9),"",IF(COUNTIFS(BD!$B$3:$B$5001,E$173,BD!$A$3:$A$5001,"&gt;="&amp;$C$7,BD!$A$3:$A$5001,"&lt;="&amp;$B184,BD!$Y$3:$Y$5001,"&lt;&gt;")=0,"",SUMIFS(BD!$Y$3:$Y$5001,BD!$B$3:$B$5001,E$173,BD!$A$3:$A$5001,_xlfn.MAXIFS(BD!$A$3:$A$5001,BD!$B$3:$B$5001,E$173,BD!$A$3:$A$5001,"&gt;="&amp;$C$7,BD!$A$3:$A$5001,"&lt;="&amp;$B184,BD!$Y$3:$Y$5001,"&lt;&gt;"))))</f>
        <v/>
      </c>
      <c r="F184" s="42" t="str">
        <f>IF(OR($B184="",$A184&gt;$B$9),"",IF(COUNTIFS(BD!$B$3:$B$5001,F$173,BD!$A$3:$A$5001,"&gt;="&amp;$C$7,BD!$A$3:$A$5001,"&lt;="&amp;$B184,BD!$Y$3:$Y$5001,"&lt;&gt;")=0,"",SUMIFS(BD!$Y$3:$Y$5001,BD!$B$3:$B$5001,F$173,BD!$A$3:$A$5001,_xlfn.MAXIFS(BD!$A$3:$A$5001,BD!$B$3:$B$5001,F$173,BD!$A$3:$A$5001,"&gt;="&amp;$C$7,BD!$A$3:$A$5001,"&lt;="&amp;$B184,BD!$Y$3:$Y$5001,"&lt;&gt;"))))</f>
        <v/>
      </c>
      <c r="G184" s="42" t="str">
        <f>IF(OR($B184="",$A184&gt;$B$9),"",IF(COUNTIFS(BD!$B$3:$B$5001,G$173,BD!$A$3:$A$5001,"&gt;="&amp;$C$7,BD!$A$3:$A$5001,"&lt;="&amp;$B184,BD!$Y$3:$Y$5001,"&lt;&gt;")=0,"",SUMIFS(BD!$Y$3:$Y$5001,BD!$B$3:$B$5001,G$173,BD!$A$3:$A$5001,_xlfn.MAXIFS(BD!$A$3:$A$5001,BD!$B$3:$B$5001,G$173,BD!$A$3:$A$5001,"&gt;="&amp;$C$7,BD!$A$3:$A$5001,"&lt;="&amp;$B184,BD!$Y$3:$Y$5001,"&lt;&gt;"))))</f>
        <v/>
      </c>
      <c r="H184" s="42" t="str">
        <f>IF(OR($B184="",$A184&gt;$B$9),"",IF(COUNTIFS(BD!$B$3:$B$5001,H$173,BD!$A$3:$A$5001,"&gt;="&amp;$C$7,BD!$A$3:$A$5001,"&lt;="&amp;$B184,BD!$Y$3:$Y$5001,"&lt;&gt;")=0,"",SUMIFS(BD!$Y$3:$Y$5001,BD!$B$3:$B$5001,H$173,BD!$A$3:$A$5001,_xlfn.MAXIFS(BD!$A$3:$A$5001,BD!$B$3:$B$5001,H$173,BD!$A$3:$A$5001,"&gt;="&amp;$C$7,BD!$A$3:$A$5001,"&lt;="&amp;$B184,BD!$Y$3:$Y$5001,"&lt;&gt;"))))</f>
        <v/>
      </c>
      <c r="I184" s="42" t="str">
        <f>IF(OR($B184="",$A184&gt;$B$9),"",IF(COUNTIFS(BD!$B$3:$B$5001,I$173,BD!$A$3:$A$5001,"&gt;="&amp;$C$7,BD!$A$3:$A$5001,"&lt;="&amp;$B184,BD!$Y$3:$Y$5001,"&lt;&gt;")=0,"",SUMIFS(BD!$Y$3:$Y$5001,BD!$B$3:$B$5001,I$173,BD!$A$3:$A$5001,_xlfn.MAXIFS(BD!$A$3:$A$5001,BD!$B$3:$B$5001,I$173,BD!$A$3:$A$5001,"&gt;="&amp;$C$7,BD!$A$3:$A$5001,"&lt;="&amp;$B184,BD!$Y$3:$Y$5001,"&lt;&gt;"))))</f>
        <v/>
      </c>
      <c r="J184" s="42" t="str">
        <f>IF(OR($B184="",$A184&gt;$B$9),"",IF(COUNTIFS(BD!$B$3:$B$5001,J$173,BD!$A$3:$A$5001,"&gt;="&amp;$C$7,BD!$A$3:$A$5001,"&lt;="&amp;$B184,BD!$Y$3:$Y$5001,"&lt;&gt;")=0,"",SUMIFS(BD!$Y$3:$Y$5001,BD!$B$3:$B$5001,J$173,BD!$A$3:$A$5001,_xlfn.MAXIFS(BD!$A$3:$A$5001,BD!$B$3:$B$5001,J$173,BD!$A$3:$A$5001,"&gt;="&amp;$C$7,BD!$A$3:$A$5001,"&lt;="&amp;$B184,BD!$Y$3:$Y$5001,"&lt;&gt;"))))</f>
        <v/>
      </c>
      <c r="K184" s="42" t="str">
        <f>IF(OR($B184="",$A184&gt;$B$9),"",IF(COUNTIFS(BD!$B$3:$B$5001,K$173,BD!$A$3:$A$5001,"&gt;="&amp;$C$7,BD!$A$3:$A$5001,"&lt;="&amp;$B184,BD!$Y$3:$Y$5001,"&lt;&gt;")=0,"",SUMIFS(BD!$Y$3:$Y$5001,BD!$B$3:$B$5001,K$173,BD!$A$3:$A$5001,_xlfn.MAXIFS(BD!$A$3:$A$5001,BD!$B$3:$B$5001,K$173,BD!$A$3:$A$5001,"&gt;="&amp;$C$7,BD!$A$3:$A$5001,"&lt;="&amp;$B184,BD!$Y$3:$Y$5001,"&lt;&gt;"))))</f>
        <v/>
      </c>
    </row>
    <row r="185">
      <c r="A185" s="40">
        <v>12</v>
      </c>
      <c r="B185" s="41">
        <f>$B$23</f>
        <v>46307</v>
      </c>
      <c r="C185" s="42" t="str">
        <f>IF(OR($B185="",$A185&gt;$B$9),"",IF(COUNTIFS(BD!$B$3:$B$5001,C$173,BD!$A$3:$A$5001,"&gt;="&amp;$C$7,BD!$A$3:$A$5001,"&lt;="&amp;$B185,BD!$Y$3:$Y$5001,"&lt;&gt;")=0,"",SUMIFS(BD!$Y$3:$Y$5001,BD!$B$3:$B$5001,C$173,BD!$A$3:$A$5001,_xlfn.MAXIFS(BD!$A$3:$A$5001,BD!$B$3:$B$5001,C$173,BD!$A$3:$A$5001,"&gt;="&amp;$C$7,BD!$A$3:$A$5001,"&lt;="&amp;$B185,BD!$Y$3:$Y$5001,"&lt;&gt;"))))</f>
        <v/>
      </c>
      <c r="D185" s="42" t="str">
        <f>IF(OR($B185="",$A185&gt;$B$9),"",IF(COUNTIFS(BD!$B$3:$B$5001,D$173,BD!$A$3:$A$5001,"&gt;="&amp;$C$7,BD!$A$3:$A$5001,"&lt;="&amp;$B185,BD!$Y$3:$Y$5001,"&lt;&gt;")=0,"",SUMIFS(BD!$Y$3:$Y$5001,BD!$B$3:$B$5001,D$173,BD!$A$3:$A$5001,_xlfn.MAXIFS(BD!$A$3:$A$5001,BD!$B$3:$B$5001,D$173,BD!$A$3:$A$5001,"&gt;="&amp;$C$7,BD!$A$3:$A$5001,"&lt;="&amp;$B185,BD!$Y$3:$Y$5001,"&lt;&gt;"))))</f>
        <v/>
      </c>
      <c r="E185" s="42" t="str">
        <f>IF(OR($B185="",$A185&gt;$B$9),"",IF(COUNTIFS(BD!$B$3:$B$5001,E$173,BD!$A$3:$A$5001,"&gt;="&amp;$C$7,BD!$A$3:$A$5001,"&lt;="&amp;$B185,BD!$Y$3:$Y$5001,"&lt;&gt;")=0,"",SUMIFS(BD!$Y$3:$Y$5001,BD!$B$3:$B$5001,E$173,BD!$A$3:$A$5001,_xlfn.MAXIFS(BD!$A$3:$A$5001,BD!$B$3:$B$5001,E$173,BD!$A$3:$A$5001,"&gt;="&amp;$C$7,BD!$A$3:$A$5001,"&lt;="&amp;$B185,BD!$Y$3:$Y$5001,"&lt;&gt;"))))</f>
        <v/>
      </c>
      <c r="F185" s="42" t="str">
        <f>IF(OR($B185="",$A185&gt;$B$9),"",IF(COUNTIFS(BD!$B$3:$B$5001,F$173,BD!$A$3:$A$5001,"&gt;="&amp;$C$7,BD!$A$3:$A$5001,"&lt;="&amp;$B185,BD!$Y$3:$Y$5001,"&lt;&gt;")=0,"",SUMIFS(BD!$Y$3:$Y$5001,BD!$B$3:$B$5001,F$173,BD!$A$3:$A$5001,_xlfn.MAXIFS(BD!$A$3:$A$5001,BD!$B$3:$B$5001,F$173,BD!$A$3:$A$5001,"&gt;="&amp;$C$7,BD!$A$3:$A$5001,"&lt;="&amp;$B185,BD!$Y$3:$Y$5001,"&lt;&gt;"))))</f>
        <v/>
      </c>
      <c r="G185" s="42" t="str">
        <f>IF(OR($B185="",$A185&gt;$B$9),"",IF(COUNTIFS(BD!$B$3:$B$5001,G$173,BD!$A$3:$A$5001,"&gt;="&amp;$C$7,BD!$A$3:$A$5001,"&lt;="&amp;$B185,BD!$Y$3:$Y$5001,"&lt;&gt;")=0,"",SUMIFS(BD!$Y$3:$Y$5001,BD!$B$3:$B$5001,G$173,BD!$A$3:$A$5001,_xlfn.MAXIFS(BD!$A$3:$A$5001,BD!$B$3:$B$5001,G$173,BD!$A$3:$A$5001,"&gt;="&amp;$C$7,BD!$A$3:$A$5001,"&lt;="&amp;$B185,BD!$Y$3:$Y$5001,"&lt;&gt;"))))</f>
        <v/>
      </c>
      <c r="H185" s="42" t="str">
        <f>IF(OR($B185="",$A185&gt;$B$9),"",IF(COUNTIFS(BD!$B$3:$B$5001,H$173,BD!$A$3:$A$5001,"&gt;="&amp;$C$7,BD!$A$3:$A$5001,"&lt;="&amp;$B185,BD!$Y$3:$Y$5001,"&lt;&gt;")=0,"",SUMIFS(BD!$Y$3:$Y$5001,BD!$B$3:$B$5001,H$173,BD!$A$3:$A$5001,_xlfn.MAXIFS(BD!$A$3:$A$5001,BD!$B$3:$B$5001,H$173,BD!$A$3:$A$5001,"&gt;="&amp;$C$7,BD!$A$3:$A$5001,"&lt;="&amp;$B185,BD!$Y$3:$Y$5001,"&lt;&gt;"))))</f>
        <v/>
      </c>
      <c r="I185" s="42" t="str">
        <f>IF(OR($B185="",$A185&gt;$B$9),"",IF(COUNTIFS(BD!$B$3:$B$5001,I$173,BD!$A$3:$A$5001,"&gt;="&amp;$C$7,BD!$A$3:$A$5001,"&lt;="&amp;$B185,BD!$Y$3:$Y$5001,"&lt;&gt;")=0,"",SUMIFS(BD!$Y$3:$Y$5001,BD!$B$3:$B$5001,I$173,BD!$A$3:$A$5001,_xlfn.MAXIFS(BD!$A$3:$A$5001,BD!$B$3:$B$5001,I$173,BD!$A$3:$A$5001,"&gt;="&amp;$C$7,BD!$A$3:$A$5001,"&lt;="&amp;$B185,BD!$Y$3:$Y$5001,"&lt;&gt;"))))</f>
        <v/>
      </c>
      <c r="J185" s="42" t="str">
        <f>IF(OR($B185="",$A185&gt;$B$9),"",IF(COUNTIFS(BD!$B$3:$B$5001,J$173,BD!$A$3:$A$5001,"&gt;="&amp;$C$7,BD!$A$3:$A$5001,"&lt;="&amp;$B185,BD!$Y$3:$Y$5001,"&lt;&gt;")=0,"",SUMIFS(BD!$Y$3:$Y$5001,BD!$B$3:$B$5001,J$173,BD!$A$3:$A$5001,_xlfn.MAXIFS(BD!$A$3:$A$5001,BD!$B$3:$B$5001,J$173,BD!$A$3:$A$5001,"&gt;="&amp;$C$7,BD!$A$3:$A$5001,"&lt;="&amp;$B185,BD!$Y$3:$Y$5001,"&lt;&gt;"))))</f>
        <v/>
      </c>
      <c r="K185" s="42" t="str">
        <f>IF(OR($B185="",$A185&gt;$B$9),"",IF(COUNTIFS(BD!$B$3:$B$5001,K$173,BD!$A$3:$A$5001,"&gt;="&amp;$C$7,BD!$A$3:$A$5001,"&lt;="&amp;$B185,BD!$Y$3:$Y$5001,"&lt;&gt;")=0,"",SUMIFS(BD!$Y$3:$Y$5001,BD!$B$3:$B$5001,K$173,BD!$A$3:$A$5001,_xlfn.MAXIFS(BD!$A$3:$A$5001,BD!$B$3:$B$5001,K$173,BD!$A$3:$A$5001,"&gt;="&amp;$C$7,BD!$A$3:$A$5001,"&lt;="&amp;$B185,BD!$Y$3:$Y$5001,"&lt;&gt;"))))</f>
        <v/>
      </c>
    </row>
    <row r="186">
      <c r="A186" s="40">
        <v>13</v>
      </c>
      <c r="B186" s="41">
        <f>$B$24</f>
        <v>46308</v>
      </c>
      <c r="C186" s="42" t="str">
        <f>IF(OR($B186="",$A186&gt;$B$9),"",IF(COUNTIFS(BD!$B$3:$B$5001,C$173,BD!$A$3:$A$5001,"&gt;="&amp;$C$7,BD!$A$3:$A$5001,"&lt;="&amp;$B186,BD!$Y$3:$Y$5001,"&lt;&gt;")=0,"",SUMIFS(BD!$Y$3:$Y$5001,BD!$B$3:$B$5001,C$173,BD!$A$3:$A$5001,_xlfn.MAXIFS(BD!$A$3:$A$5001,BD!$B$3:$B$5001,C$173,BD!$A$3:$A$5001,"&gt;="&amp;$C$7,BD!$A$3:$A$5001,"&lt;="&amp;$B186,BD!$Y$3:$Y$5001,"&lt;&gt;"))))</f>
        <v/>
      </c>
      <c r="D186" s="42" t="str">
        <f>IF(OR($B186="",$A186&gt;$B$9),"",IF(COUNTIFS(BD!$B$3:$B$5001,D$173,BD!$A$3:$A$5001,"&gt;="&amp;$C$7,BD!$A$3:$A$5001,"&lt;="&amp;$B186,BD!$Y$3:$Y$5001,"&lt;&gt;")=0,"",SUMIFS(BD!$Y$3:$Y$5001,BD!$B$3:$B$5001,D$173,BD!$A$3:$A$5001,_xlfn.MAXIFS(BD!$A$3:$A$5001,BD!$B$3:$B$5001,D$173,BD!$A$3:$A$5001,"&gt;="&amp;$C$7,BD!$A$3:$A$5001,"&lt;="&amp;$B186,BD!$Y$3:$Y$5001,"&lt;&gt;"))))</f>
        <v/>
      </c>
      <c r="E186" s="42" t="str">
        <f>IF(OR($B186="",$A186&gt;$B$9),"",IF(COUNTIFS(BD!$B$3:$B$5001,E$173,BD!$A$3:$A$5001,"&gt;="&amp;$C$7,BD!$A$3:$A$5001,"&lt;="&amp;$B186,BD!$Y$3:$Y$5001,"&lt;&gt;")=0,"",SUMIFS(BD!$Y$3:$Y$5001,BD!$B$3:$B$5001,E$173,BD!$A$3:$A$5001,_xlfn.MAXIFS(BD!$A$3:$A$5001,BD!$B$3:$B$5001,E$173,BD!$A$3:$A$5001,"&gt;="&amp;$C$7,BD!$A$3:$A$5001,"&lt;="&amp;$B186,BD!$Y$3:$Y$5001,"&lt;&gt;"))))</f>
        <v/>
      </c>
      <c r="F186" s="42" t="str">
        <f>IF(OR($B186="",$A186&gt;$B$9),"",IF(COUNTIFS(BD!$B$3:$B$5001,F$173,BD!$A$3:$A$5001,"&gt;="&amp;$C$7,BD!$A$3:$A$5001,"&lt;="&amp;$B186,BD!$Y$3:$Y$5001,"&lt;&gt;")=0,"",SUMIFS(BD!$Y$3:$Y$5001,BD!$B$3:$B$5001,F$173,BD!$A$3:$A$5001,_xlfn.MAXIFS(BD!$A$3:$A$5001,BD!$B$3:$B$5001,F$173,BD!$A$3:$A$5001,"&gt;="&amp;$C$7,BD!$A$3:$A$5001,"&lt;="&amp;$B186,BD!$Y$3:$Y$5001,"&lt;&gt;"))))</f>
        <v/>
      </c>
      <c r="G186" s="42" t="str">
        <f>IF(OR($B186="",$A186&gt;$B$9),"",IF(COUNTIFS(BD!$B$3:$B$5001,G$173,BD!$A$3:$A$5001,"&gt;="&amp;$C$7,BD!$A$3:$A$5001,"&lt;="&amp;$B186,BD!$Y$3:$Y$5001,"&lt;&gt;")=0,"",SUMIFS(BD!$Y$3:$Y$5001,BD!$B$3:$B$5001,G$173,BD!$A$3:$A$5001,_xlfn.MAXIFS(BD!$A$3:$A$5001,BD!$B$3:$B$5001,G$173,BD!$A$3:$A$5001,"&gt;="&amp;$C$7,BD!$A$3:$A$5001,"&lt;="&amp;$B186,BD!$Y$3:$Y$5001,"&lt;&gt;"))))</f>
        <v/>
      </c>
      <c r="H186" s="42" t="str">
        <f>IF(OR($B186="",$A186&gt;$B$9),"",IF(COUNTIFS(BD!$B$3:$B$5001,H$173,BD!$A$3:$A$5001,"&gt;="&amp;$C$7,BD!$A$3:$A$5001,"&lt;="&amp;$B186,BD!$Y$3:$Y$5001,"&lt;&gt;")=0,"",SUMIFS(BD!$Y$3:$Y$5001,BD!$B$3:$B$5001,H$173,BD!$A$3:$A$5001,_xlfn.MAXIFS(BD!$A$3:$A$5001,BD!$B$3:$B$5001,H$173,BD!$A$3:$A$5001,"&gt;="&amp;$C$7,BD!$A$3:$A$5001,"&lt;="&amp;$B186,BD!$Y$3:$Y$5001,"&lt;&gt;"))))</f>
        <v/>
      </c>
      <c r="I186" s="42" t="str">
        <f>IF(OR($B186="",$A186&gt;$B$9),"",IF(COUNTIFS(BD!$B$3:$B$5001,I$173,BD!$A$3:$A$5001,"&gt;="&amp;$C$7,BD!$A$3:$A$5001,"&lt;="&amp;$B186,BD!$Y$3:$Y$5001,"&lt;&gt;")=0,"",SUMIFS(BD!$Y$3:$Y$5001,BD!$B$3:$B$5001,I$173,BD!$A$3:$A$5001,_xlfn.MAXIFS(BD!$A$3:$A$5001,BD!$B$3:$B$5001,I$173,BD!$A$3:$A$5001,"&gt;="&amp;$C$7,BD!$A$3:$A$5001,"&lt;="&amp;$B186,BD!$Y$3:$Y$5001,"&lt;&gt;"))))</f>
        <v/>
      </c>
      <c r="J186" s="42" t="str">
        <f>IF(OR($B186="",$A186&gt;$B$9),"",IF(COUNTIFS(BD!$B$3:$B$5001,J$173,BD!$A$3:$A$5001,"&gt;="&amp;$C$7,BD!$A$3:$A$5001,"&lt;="&amp;$B186,BD!$Y$3:$Y$5001,"&lt;&gt;")=0,"",SUMIFS(BD!$Y$3:$Y$5001,BD!$B$3:$B$5001,J$173,BD!$A$3:$A$5001,_xlfn.MAXIFS(BD!$A$3:$A$5001,BD!$B$3:$B$5001,J$173,BD!$A$3:$A$5001,"&gt;="&amp;$C$7,BD!$A$3:$A$5001,"&lt;="&amp;$B186,BD!$Y$3:$Y$5001,"&lt;&gt;"))))</f>
        <v/>
      </c>
      <c r="K186" s="42" t="str">
        <f>IF(OR($B186="",$A186&gt;$B$9),"",IF(COUNTIFS(BD!$B$3:$B$5001,K$173,BD!$A$3:$A$5001,"&gt;="&amp;$C$7,BD!$A$3:$A$5001,"&lt;="&amp;$B186,BD!$Y$3:$Y$5001,"&lt;&gt;")=0,"",SUMIFS(BD!$Y$3:$Y$5001,BD!$B$3:$B$5001,K$173,BD!$A$3:$A$5001,_xlfn.MAXIFS(BD!$A$3:$A$5001,BD!$B$3:$B$5001,K$173,BD!$A$3:$A$5001,"&gt;="&amp;$C$7,BD!$A$3:$A$5001,"&lt;="&amp;$B186,BD!$Y$3:$Y$5001,"&lt;&gt;"))))</f>
        <v/>
      </c>
    </row>
    <row r="187">
      <c r="A187" s="40">
        <v>14</v>
      </c>
      <c r="B187" s="41">
        <f>$B$25</f>
        <v>46309</v>
      </c>
      <c r="C187" s="42" t="str">
        <f>IF(OR($B187="",$A187&gt;$B$9),"",IF(COUNTIFS(BD!$B$3:$B$5001,C$173,BD!$A$3:$A$5001,"&gt;="&amp;$C$7,BD!$A$3:$A$5001,"&lt;="&amp;$B187,BD!$Y$3:$Y$5001,"&lt;&gt;")=0,"",SUMIFS(BD!$Y$3:$Y$5001,BD!$B$3:$B$5001,C$173,BD!$A$3:$A$5001,_xlfn.MAXIFS(BD!$A$3:$A$5001,BD!$B$3:$B$5001,C$173,BD!$A$3:$A$5001,"&gt;="&amp;$C$7,BD!$A$3:$A$5001,"&lt;="&amp;$B187,BD!$Y$3:$Y$5001,"&lt;&gt;"))))</f>
        <v/>
      </c>
      <c r="D187" s="42" t="str">
        <f>IF(OR($B187="",$A187&gt;$B$9),"",IF(COUNTIFS(BD!$B$3:$B$5001,D$173,BD!$A$3:$A$5001,"&gt;="&amp;$C$7,BD!$A$3:$A$5001,"&lt;="&amp;$B187,BD!$Y$3:$Y$5001,"&lt;&gt;")=0,"",SUMIFS(BD!$Y$3:$Y$5001,BD!$B$3:$B$5001,D$173,BD!$A$3:$A$5001,_xlfn.MAXIFS(BD!$A$3:$A$5001,BD!$B$3:$B$5001,D$173,BD!$A$3:$A$5001,"&gt;="&amp;$C$7,BD!$A$3:$A$5001,"&lt;="&amp;$B187,BD!$Y$3:$Y$5001,"&lt;&gt;"))))</f>
        <v/>
      </c>
      <c r="E187" s="42" t="str">
        <f>IF(OR($B187="",$A187&gt;$B$9),"",IF(COUNTIFS(BD!$B$3:$B$5001,E$173,BD!$A$3:$A$5001,"&gt;="&amp;$C$7,BD!$A$3:$A$5001,"&lt;="&amp;$B187,BD!$Y$3:$Y$5001,"&lt;&gt;")=0,"",SUMIFS(BD!$Y$3:$Y$5001,BD!$B$3:$B$5001,E$173,BD!$A$3:$A$5001,_xlfn.MAXIFS(BD!$A$3:$A$5001,BD!$B$3:$B$5001,E$173,BD!$A$3:$A$5001,"&gt;="&amp;$C$7,BD!$A$3:$A$5001,"&lt;="&amp;$B187,BD!$Y$3:$Y$5001,"&lt;&gt;"))))</f>
        <v/>
      </c>
      <c r="F187" s="42" t="str">
        <f>IF(OR($B187="",$A187&gt;$B$9),"",IF(COUNTIFS(BD!$B$3:$B$5001,F$173,BD!$A$3:$A$5001,"&gt;="&amp;$C$7,BD!$A$3:$A$5001,"&lt;="&amp;$B187,BD!$Y$3:$Y$5001,"&lt;&gt;")=0,"",SUMIFS(BD!$Y$3:$Y$5001,BD!$B$3:$B$5001,F$173,BD!$A$3:$A$5001,_xlfn.MAXIFS(BD!$A$3:$A$5001,BD!$B$3:$B$5001,F$173,BD!$A$3:$A$5001,"&gt;="&amp;$C$7,BD!$A$3:$A$5001,"&lt;="&amp;$B187,BD!$Y$3:$Y$5001,"&lt;&gt;"))))</f>
        <v/>
      </c>
      <c r="G187" s="42" t="str">
        <f>IF(OR($B187="",$A187&gt;$B$9),"",IF(COUNTIFS(BD!$B$3:$B$5001,G$173,BD!$A$3:$A$5001,"&gt;="&amp;$C$7,BD!$A$3:$A$5001,"&lt;="&amp;$B187,BD!$Y$3:$Y$5001,"&lt;&gt;")=0,"",SUMIFS(BD!$Y$3:$Y$5001,BD!$B$3:$B$5001,G$173,BD!$A$3:$A$5001,_xlfn.MAXIFS(BD!$A$3:$A$5001,BD!$B$3:$B$5001,G$173,BD!$A$3:$A$5001,"&gt;="&amp;$C$7,BD!$A$3:$A$5001,"&lt;="&amp;$B187,BD!$Y$3:$Y$5001,"&lt;&gt;"))))</f>
        <v/>
      </c>
      <c r="H187" s="42" t="str">
        <f>IF(OR($B187="",$A187&gt;$B$9),"",IF(COUNTIFS(BD!$B$3:$B$5001,H$173,BD!$A$3:$A$5001,"&gt;="&amp;$C$7,BD!$A$3:$A$5001,"&lt;="&amp;$B187,BD!$Y$3:$Y$5001,"&lt;&gt;")=0,"",SUMIFS(BD!$Y$3:$Y$5001,BD!$B$3:$B$5001,H$173,BD!$A$3:$A$5001,_xlfn.MAXIFS(BD!$A$3:$A$5001,BD!$B$3:$B$5001,H$173,BD!$A$3:$A$5001,"&gt;="&amp;$C$7,BD!$A$3:$A$5001,"&lt;="&amp;$B187,BD!$Y$3:$Y$5001,"&lt;&gt;"))))</f>
        <v/>
      </c>
      <c r="I187" s="42" t="str">
        <f>IF(OR($B187="",$A187&gt;$B$9),"",IF(COUNTIFS(BD!$B$3:$B$5001,I$173,BD!$A$3:$A$5001,"&gt;="&amp;$C$7,BD!$A$3:$A$5001,"&lt;="&amp;$B187,BD!$Y$3:$Y$5001,"&lt;&gt;")=0,"",SUMIFS(BD!$Y$3:$Y$5001,BD!$B$3:$B$5001,I$173,BD!$A$3:$A$5001,_xlfn.MAXIFS(BD!$A$3:$A$5001,BD!$B$3:$B$5001,I$173,BD!$A$3:$A$5001,"&gt;="&amp;$C$7,BD!$A$3:$A$5001,"&lt;="&amp;$B187,BD!$Y$3:$Y$5001,"&lt;&gt;"))))</f>
        <v/>
      </c>
      <c r="J187" s="42" t="str">
        <f>IF(OR($B187="",$A187&gt;$B$9),"",IF(COUNTIFS(BD!$B$3:$B$5001,J$173,BD!$A$3:$A$5001,"&gt;="&amp;$C$7,BD!$A$3:$A$5001,"&lt;="&amp;$B187,BD!$Y$3:$Y$5001,"&lt;&gt;")=0,"",SUMIFS(BD!$Y$3:$Y$5001,BD!$B$3:$B$5001,J$173,BD!$A$3:$A$5001,_xlfn.MAXIFS(BD!$A$3:$A$5001,BD!$B$3:$B$5001,J$173,BD!$A$3:$A$5001,"&gt;="&amp;$C$7,BD!$A$3:$A$5001,"&lt;="&amp;$B187,BD!$Y$3:$Y$5001,"&lt;&gt;"))))</f>
        <v/>
      </c>
      <c r="K187" s="42" t="str">
        <f>IF(OR($B187="",$A187&gt;$B$9),"",IF(COUNTIFS(BD!$B$3:$B$5001,K$173,BD!$A$3:$A$5001,"&gt;="&amp;$C$7,BD!$A$3:$A$5001,"&lt;="&amp;$B187,BD!$Y$3:$Y$5001,"&lt;&gt;")=0,"",SUMIFS(BD!$Y$3:$Y$5001,BD!$B$3:$B$5001,K$173,BD!$A$3:$A$5001,_xlfn.MAXIFS(BD!$A$3:$A$5001,BD!$B$3:$B$5001,K$173,BD!$A$3:$A$5001,"&gt;="&amp;$C$7,BD!$A$3:$A$5001,"&lt;="&amp;$B187,BD!$Y$3:$Y$5001,"&lt;&gt;"))))</f>
        <v/>
      </c>
    </row>
    <row r="188">
      <c r="A188" s="40">
        <v>15</v>
      </c>
      <c r="B188" s="41">
        <f>$B$26</f>
        <v>46310</v>
      </c>
      <c r="C188" s="42" t="str">
        <f>IF(OR($B188="",$A188&gt;$B$9),"",IF(COUNTIFS(BD!$B$3:$B$5001,C$173,BD!$A$3:$A$5001,"&gt;="&amp;$C$7,BD!$A$3:$A$5001,"&lt;="&amp;$B188,BD!$Y$3:$Y$5001,"&lt;&gt;")=0,"",SUMIFS(BD!$Y$3:$Y$5001,BD!$B$3:$B$5001,C$173,BD!$A$3:$A$5001,_xlfn.MAXIFS(BD!$A$3:$A$5001,BD!$B$3:$B$5001,C$173,BD!$A$3:$A$5001,"&gt;="&amp;$C$7,BD!$A$3:$A$5001,"&lt;="&amp;$B188,BD!$Y$3:$Y$5001,"&lt;&gt;"))))</f>
        <v/>
      </c>
      <c r="D188" s="42" t="str">
        <f>IF(OR($B188="",$A188&gt;$B$9),"",IF(COUNTIFS(BD!$B$3:$B$5001,D$173,BD!$A$3:$A$5001,"&gt;="&amp;$C$7,BD!$A$3:$A$5001,"&lt;="&amp;$B188,BD!$Y$3:$Y$5001,"&lt;&gt;")=0,"",SUMIFS(BD!$Y$3:$Y$5001,BD!$B$3:$B$5001,D$173,BD!$A$3:$A$5001,_xlfn.MAXIFS(BD!$A$3:$A$5001,BD!$B$3:$B$5001,D$173,BD!$A$3:$A$5001,"&gt;="&amp;$C$7,BD!$A$3:$A$5001,"&lt;="&amp;$B188,BD!$Y$3:$Y$5001,"&lt;&gt;"))))</f>
        <v/>
      </c>
      <c r="E188" s="42" t="str">
        <f>IF(OR($B188="",$A188&gt;$B$9),"",IF(COUNTIFS(BD!$B$3:$B$5001,E$173,BD!$A$3:$A$5001,"&gt;="&amp;$C$7,BD!$A$3:$A$5001,"&lt;="&amp;$B188,BD!$Y$3:$Y$5001,"&lt;&gt;")=0,"",SUMIFS(BD!$Y$3:$Y$5001,BD!$B$3:$B$5001,E$173,BD!$A$3:$A$5001,_xlfn.MAXIFS(BD!$A$3:$A$5001,BD!$B$3:$B$5001,E$173,BD!$A$3:$A$5001,"&gt;="&amp;$C$7,BD!$A$3:$A$5001,"&lt;="&amp;$B188,BD!$Y$3:$Y$5001,"&lt;&gt;"))))</f>
        <v/>
      </c>
      <c r="F188" s="42" t="str">
        <f>IF(OR($B188="",$A188&gt;$B$9),"",IF(COUNTIFS(BD!$B$3:$B$5001,F$173,BD!$A$3:$A$5001,"&gt;="&amp;$C$7,BD!$A$3:$A$5001,"&lt;="&amp;$B188,BD!$Y$3:$Y$5001,"&lt;&gt;")=0,"",SUMIFS(BD!$Y$3:$Y$5001,BD!$B$3:$B$5001,F$173,BD!$A$3:$A$5001,_xlfn.MAXIFS(BD!$A$3:$A$5001,BD!$B$3:$B$5001,F$173,BD!$A$3:$A$5001,"&gt;="&amp;$C$7,BD!$A$3:$A$5001,"&lt;="&amp;$B188,BD!$Y$3:$Y$5001,"&lt;&gt;"))))</f>
        <v/>
      </c>
      <c r="G188" s="42" t="str">
        <f>IF(OR($B188="",$A188&gt;$B$9),"",IF(COUNTIFS(BD!$B$3:$B$5001,G$173,BD!$A$3:$A$5001,"&gt;="&amp;$C$7,BD!$A$3:$A$5001,"&lt;="&amp;$B188,BD!$Y$3:$Y$5001,"&lt;&gt;")=0,"",SUMIFS(BD!$Y$3:$Y$5001,BD!$B$3:$B$5001,G$173,BD!$A$3:$A$5001,_xlfn.MAXIFS(BD!$A$3:$A$5001,BD!$B$3:$B$5001,G$173,BD!$A$3:$A$5001,"&gt;="&amp;$C$7,BD!$A$3:$A$5001,"&lt;="&amp;$B188,BD!$Y$3:$Y$5001,"&lt;&gt;"))))</f>
        <v/>
      </c>
      <c r="H188" s="42" t="str">
        <f>IF(OR($B188="",$A188&gt;$B$9),"",IF(COUNTIFS(BD!$B$3:$B$5001,H$173,BD!$A$3:$A$5001,"&gt;="&amp;$C$7,BD!$A$3:$A$5001,"&lt;="&amp;$B188,BD!$Y$3:$Y$5001,"&lt;&gt;")=0,"",SUMIFS(BD!$Y$3:$Y$5001,BD!$B$3:$B$5001,H$173,BD!$A$3:$A$5001,_xlfn.MAXIFS(BD!$A$3:$A$5001,BD!$B$3:$B$5001,H$173,BD!$A$3:$A$5001,"&gt;="&amp;$C$7,BD!$A$3:$A$5001,"&lt;="&amp;$B188,BD!$Y$3:$Y$5001,"&lt;&gt;"))))</f>
        <v/>
      </c>
      <c r="I188" s="42" t="str">
        <f>IF(OR($B188="",$A188&gt;$B$9),"",IF(COUNTIFS(BD!$B$3:$B$5001,I$173,BD!$A$3:$A$5001,"&gt;="&amp;$C$7,BD!$A$3:$A$5001,"&lt;="&amp;$B188,BD!$Y$3:$Y$5001,"&lt;&gt;")=0,"",SUMIFS(BD!$Y$3:$Y$5001,BD!$B$3:$B$5001,I$173,BD!$A$3:$A$5001,_xlfn.MAXIFS(BD!$A$3:$A$5001,BD!$B$3:$B$5001,I$173,BD!$A$3:$A$5001,"&gt;="&amp;$C$7,BD!$A$3:$A$5001,"&lt;="&amp;$B188,BD!$Y$3:$Y$5001,"&lt;&gt;"))))</f>
        <v/>
      </c>
      <c r="J188" s="42" t="str">
        <f>IF(OR($B188="",$A188&gt;$B$9),"",IF(COUNTIFS(BD!$B$3:$B$5001,J$173,BD!$A$3:$A$5001,"&gt;="&amp;$C$7,BD!$A$3:$A$5001,"&lt;="&amp;$B188,BD!$Y$3:$Y$5001,"&lt;&gt;")=0,"",SUMIFS(BD!$Y$3:$Y$5001,BD!$B$3:$B$5001,J$173,BD!$A$3:$A$5001,_xlfn.MAXIFS(BD!$A$3:$A$5001,BD!$B$3:$B$5001,J$173,BD!$A$3:$A$5001,"&gt;="&amp;$C$7,BD!$A$3:$A$5001,"&lt;="&amp;$B188,BD!$Y$3:$Y$5001,"&lt;&gt;"))))</f>
        <v/>
      </c>
      <c r="K188" s="42" t="str">
        <f>IF(OR($B188="",$A188&gt;$B$9),"",IF(COUNTIFS(BD!$B$3:$B$5001,K$173,BD!$A$3:$A$5001,"&gt;="&amp;$C$7,BD!$A$3:$A$5001,"&lt;="&amp;$B188,BD!$Y$3:$Y$5001,"&lt;&gt;")=0,"",SUMIFS(BD!$Y$3:$Y$5001,BD!$B$3:$B$5001,K$173,BD!$A$3:$A$5001,_xlfn.MAXIFS(BD!$A$3:$A$5001,BD!$B$3:$B$5001,K$173,BD!$A$3:$A$5001,"&gt;="&amp;$C$7,BD!$A$3:$A$5001,"&lt;="&amp;$B188,BD!$Y$3:$Y$5001,"&lt;&gt;"))))</f>
        <v/>
      </c>
    </row>
    <row r="189">
      <c r="A189" s="40">
        <v>16</v>
      </c>
      <c r="B189" s="41">
        <f>$B$27</f>
        <v>46311</v>
      </c>
      <c r="C189" s="42" t="str">
        <f>IF(OR($B189="",$A189&gt;$B$9),"",IF(COUNTIFS(BD!$B$3:$B$5001,C$173,BD!$A$3:$A$5001,"&gt;="&amp;$C$7,BD!$A$3:$A$5001,"&lt;="&amp;$B189,BD!$Y$3:$Y$5001,"&lt;&gt;")=0,"",SUMIFS(BD!$Y$3:$Y$5001,BD!$B$3:$B$5001,C$173,BD!$A$3:$A$5001,_xlfn.MAXIFS(BD!$A$3:$A$5001,BD!$B$3:$B$5001,C$173,BD!$A$3:$A$5001,"&gt;="&amp;$C$7,BD!$A$3:$A$5001,"&lt;="&amp;$B189,BD!$Y$3:$Y$5001,"&lt;&gt;"))))</f>
        <v/>
      </c>
      <c r="D189" s="42" t="str">
        <f>IF(OR($B189="",$A189&gt;$B$9),"",IF(COUNTIFS(BD!$B$3:$B$5001,D$173,BD!$A$3:$A$5001,"&gt;="&amp;$C$7,BD!$A$3:$A$5001,"&lt;="&amp;$B189,BD!$Y$3:$Y$5001,"&lt;&gt;")=0,"",SUMIFS(BD!$Y$3:$Y$5001,BD!$B$3:$B$5001,D$173,BD!$A$3:$A$5001,_xlfn.MAXIFS(BD!$A$3:$A$5001,BD!$B$3:$B$5001,D$173,BD!$A$3:$A$5001,"&gt;="&amp;$C$7,BD!$A$3:$A$5001,"&lt;="&amp;$B189,BD!$Y$3:$Y$5001,"&lt;&gt;"))))</f>
        <v/>
      </c>
      <c r="E189" s="42" t="str">
        <f>IF(OR($B189="",$A189&gt;$B$9),"",IF(COUNTIFS(BD!$B$3:$B$5001,E$173,BD!$A$3:$A$5001,"&gt;="&amp;$C$7,BD!$A$3:$A$5001,"&lt;="&amp;$B189,BD!$Y$3:$Y$5001,"&lt;&gt;")=0,"",SUMIFS(BD!$Y$3:$Y$5001,BD!$B$3:$B$5001,E$173,BD!$A$3:$A$5001,_xlfn.MAXIFS(BD!$A$3:$A$5001,BD!$B$3:$B$5001,E$173,BD!$A$3:$A$5001,"&gt;="&amp;$C$7,BD!$A$3:$A$5001,"&lt;="&amp;$B189,BD!$Y$3:$Y$5001,"&lt;&gt;"))))</f>
        <v/>
      </c>
      <c r="F189" s="42" t="str">
        <f>IF(OR($B189="",$A189&gt;$B$9),"",IF(COUNTIFS(BD!$B$3:$B$5001,F$173,BD!$A$3:$A$5001,"&gt;="&amp;$C$7,BD!$A$3:$A$5001,"&lt;="&amp;$B189,BD!$Y$3:$Y$5001,"&lt;&gt;")=0,"",SUMIFS(BD!$Y$3:$Y$5001,BD!$B$3:$B$5001,F$173,BD!$A$3:$A$5001,_xlfn.MAXIFS(BD!$A$3:$A$5001,BD!$B$3:$B$5001,F$173,BD!$A$3:$A$5001,"&gt;="&amp;$C$7,BD!$A$3:$A$5001,"&lt;="&amp;$B189,BD!$Y$3:$Y$5001,"&lt;&gt;"))))</f>
        <v/>
      </c>
      <c r="G189" s="42" t="str">
        <f>IF(OR($B189="",$A189&gt;$B$9),"",IF(COUNTIFS(BD!$B$3:$B$5001,G$173,BD!$A$3:$A$5001,"&gt;="&amp;$C$7,BD!$A$3:$A$5001,"&lt;="&amp;$B189,BD!$Y$3:$Y$5001,"&lt;&gt;")=0,"",SUMIFS(BD!$Y$3:$Y$5001,BD!$B$3:$B$5001,G$173,BD!$A$3:$A$5001,_xlfn.MAXIFS(BD!$A$3:$A$5001,BD!$B$3:$B$5001,G$173,BD!$A$3:$A$5001,"&gt;="&amp;$C$7,BD!$A$3:$A$5001,"&lt;="&amp;$B189,BD!$Y$3:$Y$5001,"&lt;&gt;"))))</f>
        <v/>
      </c>
      <c r="H189" s="42" t="str">
        <f>IF(OR($B189="",$A189&gt;$B$9),"",IF(COUNTIFS(BD!$B$3:$B$5001,H$173,BD!$A$3:$A$5001,"&gt;="&amp;$C$7,BD!$A$3:$A$5001,"&lt;="&amp;$B189,BD!$Y$3:$Y$5001,"&lt;&gt;")=0,"",SUMIFS(BD!$Y$3:$Y$5001,BD!$B$3:$B$5001,H$173,BD!$A$3:$A$5001,_xlfn.MAXIFS(BD!$A$3:$A$5001,BD!$B$3:$B$5001,H$173,BD!$A$3:$A$5001,"&gt;="&amp;$C$7,BD!$A$3:$A$5001,"&lt;="&amp;$B189,BD!$Y$3:$Y$5001,"&lt;&gt;"))))</f>
        <v/>
      </c>
      <c r="I189" s="42" t="str">
        <f>IF(OR($B189="",$A189&gt;$B$9),"",IF(COUNTIFS(BD!$B$3:$B$5001,I$173,BD!$A$3:$A$5001,"&gt;="&amp;$C$7,BD!$A$3:$A$5001,"&lt;="&amp;$B189,BD!$Y$3:$Y$5001,"&lt;&gt;")=0,"",SUMIFS(BD!$Y$3:$Y$5001,BD!$B$3:$B$5001,I$173,BD!$A$3:$A$5001,_xlfn.MAXIFS(BD!$A$3:$A$5001,BD!$B$3:$B$5001,I$173,BD!$A$3:$A$5001,"&gt;="&amp;$C$7,BD!$A$3:$A$5001,"&lt;="&amp;$B189,BD!$Y$3:$Y$5001,"&lt;&gt;"))))</f>
        <v/>
      </c>
      <c r="J189" s="42" t="str">
        <f>IF(OR($B189="",$A189&gt;$B$9),"",IF(COUNTIFS(BD!$B$3:$B$5001,J$173,BD!$A$3:$A$5001,"&gt;="&amp;$C$7,BD!$A$3:$A$5001,"&lt;="&amp;$B189,BD!$Y$3:$Y$5001,"&lt;&gt;")=0,"",SUMIFS(BD!$Y$3:$Y$5001,BD!$B$3:$B$5001,J$173,BD!$A$3:$A$5001,_xlfn.MAXIFS(BD!$A$3:$A$5001,BD!$B$3:$B$5001,J$173,BD!$A$3:$A$5001,"&gt;="&amp;$C$7,BD!$A$3:$A$5001,"&lt;="&amp;$B189,BD!$Y$3:$Y$5001,"&lt;&gt;"))))</f>
        <v/>
      </c>
      <c r="K189" s="42" t="str">
        <f>IF(OR($B189="",$A189&gt;$B$9),"",IF(COUNTIFS(BD!$B$3:$B$5001,K$173,BD!$A$3:$A$5001,"&gt;="&amp;$C$7,BD!$A$3:$A$5001,"&lt;="&amp;$B189,BD!$Y$3:$Y$5001,"&lt;&gt;")=0,"",SUMIFS(BD!$Y$3:$Y$5001,BD!$B$3:$B$5001,K$173,BD!$A$3:$A$5001,_xlfn.MAXIFS(BD!$A$3:$A$5001,BD!$B$3:$B$5001,K$173,BD!$A$3:$A$5001,"&gt;="&amp;$C$7,BD!$A$3:$A$5001,"&lt;="&amp;$B189,BD!$Y$3:$Y$5001,"&lt;&gt;"))))</f>
        <v/>
      </c>
    </row>
    <row r="190">
      <c r="A190" s="40">
        <v>17</v>
      </c>
      <c r="B190" s="41">
        <f>$B$28</f>
        <v>46312</v>
      </c>
      <c r="C190" s="42" t="str">
        <f>IF(OR($B190="",$A190&gt;$B$9),"",IF(COUNTIFS(BD!$B$3:$B$5001,C$173,BD!$A$3:$A$5001,"&gt;="&amp;$C$7,BD!$A$3:$A$5001,"&lt;="&amp;$B190,BD!$Y$3:$Y$5001,"&lt;&gt;")=0,"",SUMIFS(BD!$Y$3:$Y$5001,BD!$B$3:$B$5001,C$173,BD!$A$3:$A$5001,_xlfn.MAXIFS(BD!$A$3:$A$5001,BD!$B$3:$B$5001,C$173,BD!$A$3:$A$5001,"&gt;="&amp;$C$7,BD!$A$3:$A$5001,"&lt;="&amp;$B190,BD!$Y$3:$Y$5001,"&lt;&gt;"))))</f>
        <v/>
      </c>
      <c r="D190" s="42" t="str">
        <f>IF(OR($B190="",$A190&gt;$B$9),"",IF(COUNTIFS(BD!$B$3:$B$5001,D$173,BD!$A$3:$A$5001,"&gt;="&amp;$C$7,BD!$A$3:$A$5001,"&lt;="&amp;$B190,BD!$Y$3:$Y$5001,"&lt;&gt;")=0,"",SUMIFS(BD!$Y$3:$Y$5001,BD!$B$3:$B$5001,D$173,BD!$A$3:$A$5001,_xlfn.MAXIFS(BD!$A$3:$A$5001,BD!$B$3:$B$5001,D$173,BD!$A$3:$A$5001,"&gt;="&amp;$C$7,BD!$A$3:$A$5001,"&lt;="&amp;$B190,BD!$Y$3:$Y$5001,"&lt;&gt;"))))</f>
        <v/>
      </c>
      <c r="E190" s="42" t="str">
        <f>IF(OR($B190="",$A190&gt;$B$9),"",IF(COUNTIFS(BD!$B$3:$B$5001,E$173,BD!$A$3:$A$5001,"&gt;="&amp;$C$7,BD!$A$3:$A$5001,"&lt;="&amp;$B190,BD!$Y$3:$Y$5001,"&lt;&gt;")=0,"",SUMIFS(BD!$Y$3:$Y$5001,BD!$B$3:$B$5001,E$173,BD!$A$3:$A$5001,_xlfn.MAXIFS(BD!$A$3:$A$5001,BD!$B$3:$B$5001,E$173,BD!$A$3:$A$5001,"&gt;="&amp;$C$7,BD!$A$3:$A$5001,"&lt;="&amp;$B190,BD!$Y$3:$Y$5001,"&lt;&gt;"))))</f>
        <v/>
      </c>
      <c r="F190" s="42" t="str">
        <f>IF(OR($B190="",$A190&gt;$B$9),"",IF(COUNTIFS(BD!$B$3:$B$5001,F$173,BD!$A$3:$A$5001,"&gt;="&amp;$C$7,BD!$A$3:$A$5001,"&lt;="&amp;$B190,BD!$Y$3:$Y$5001,"&lt;&gt;")=0,"",SUMIFS(BD!$Y$3:$Y$5001,BD!$B$3:$B$5001,F$173,BD!$A$3:$A$5001,_xlfn.MAXIFS(BD!$A$3:$A$5001,BD!$B$3:$B$5001,F$173,BD!$A$3:$A$5001,"&gt;="&amp;$C$7,BD!$A$3:$A$5001,"&lt;="&amp;$B190,BD!$Y$3:$Y$5001,"&lt;&gt;"))))</f>
        <v/>
      </c>
      <c r="G190" s="42" t="str">
        <f>IF(OR($B190="",$A190&gt;$B$9),"",IF(COUNTIFS(BD!$B$3:$B$5001,G$173,BD!$A$3:$A$5001,"&gt;="&amp;$C$7,BD!$A$3:$A$5001,"&lt;="&amp;$B190,BD!$Y$3:$Y$5001,"&lt;&gt;")=0,"",SUMIFS(BD!$Y$3:$Y$5001,BD!$B$3:$B$5001,G$173,BD!$A$3:$A$5001,_xlfn.MAXIFS(BD!$A$3:$A$5001,BD!$B$3:$B$5001,G$173,BD!$A$3:$A$5001,"&gt;="&amp;$C$7,BD!$A$3:$A$5001,"&lt;="&amp;$B190,BD!$Y$3:$Y$5001,"&lt;&gt;"))))</f>
        <v/>
      </c>
      <c r="H190" s="42" t="str">
        <f>IF(OR($B190="",$A190&gt;$B$9),"",IF(COUNTIFS(BD!$B$3:$B$5001,H$173,BD!$A$3:$A$5001,"&gt;="&amp;$C$7,BD!$A$3:$A$5001,"&lt;="&amp;$B190,BD!$Y$3:$Y$5001,"&lt;&gt;")=0,"",SUMIFS(BD!$Y$3:$Y$5001,BD!$B$3:$B$5001,H$173,BD!$A$3:$A$5001,_xlfn.MAXIFS(BD!$A$3:$A$5001,BD!$B$3:$B$5001,H$173,BD!$A$3:$A$5001,"&gt;="&amp;$C$7,BD!$A$3:$A$5001,"&lt;="&amp;$B190,BD!$Y$3:$Y$5001,"&lt;&gt;"))))</f>
        <v/>
      </c>
      <c r="I190" s="42" t="str">
        <f>IF(OR($B190="",$A190&gt;$B$9),"",IF(COUNTIFS(BD!$B$3:$B$5001,I$173,BD!$A$3:$A$5001,"&gt;="&amp;$C$7,BD!$A$3:$A$5001,"&lt;="&amp;$B190,BD!$Y$3:$Y$5001,"&lt;&gt;")=0,"",SUMIFS(BD!$Y$3:$Y$5001,BD!$B$3:$B$5001,I$173,BD!$A$3:$A$5001,_xlfn.MAXIFS(BD!$A$3:$A$5001,BD!$B$3:$B$5001,I$173,BD!$A$3:$A$5001,"&gt;="&amp;$C$7,BD!$A$3:$A$5001,"&lt;="&amp;$B190,BD!$Y$3:$Y$5001,"&lt;&gt;"))))</f>
        <v/>
      </c>
      <c r="J190" s="42" t="str">
        <f>IF(OR($B190="",$A190&gt;$B$9),"",IF(COUNTIFS(BD!$B$3:$B$5001,J$173,BD!$A$3:$A$5001,"&gt;="&amp;$C$7,BD!$A$3:$A$5001,"&lt;="&amp;$B190,BD!$Y$3:$Y$5001,"&lt;&gt;")=0,"",SUMIFS(BD!$Y$3:$Y$5001,BD!$B$3:$B$5001,J$173,BD!$A$3:$A$5001,_xlfn.MAXIFS(BD!$A$3:$A$5001,BD!$B$3:$B$5001,J$173,BD!$A$3:$A$5001,"&gt;="&amp;$C$7,BD!$A$3:$A$5001,"&lt;="&amp;$B190,BD!$Y$3:$Y$5001,"&lt;&gt;"))))</f>
        <v/>
      </c>
      <c r="K190" s="42" t="str">
        <f>IF(OR($B190="",$A190&gt;$B$9),"",IF(COUNTIFS(BD!$B$3:$B$5001,K$173,BD!$A$3:$A$5001,"&gt;="&amp;$C$7,BD!$A$3:$A$5001,"&lt;="&amp;$B190,BD!$Y$3:$Y$5001,"&lt;&gt;")=0,"",SUMIFS(BD!$Y$3:$Y$5001,BD!$B$3:$B$5001,K$173,BD!$A$3:$A$5001,_xlfn.MAXIFS(BD!$A$3:$A$5001,BD!$B$3:$B$5001,K$173,BD!$A$3:$A$5001,"&gt;="&amp;$C$7,BD!$A$3:$A$5001,"&lt;="&amp;$B190,BD!$Y$3:$Y$5001,"&lt;&gt;"))))</f>
        <v/>
      </c>
    </row>
    <row r="191">
      <c r="A191" s="40">
        <v>18</v>
      </c>
      <c r="B191" s="41">
        <f>$B$29</f>
        <v>46313</v>
      </c>
      <c r="C191" s="42" t="str">
        <f>IF(OR($B191="",$A191&gt;$B$9),"",IF(COUNTIFS(BD!$B$3:$B$5001,C$173,BD!$A$3:$A$5001,"&gt;="&amp;$C$7,BD!$A$3:$A$5001,"&lt;="&amp;$B191,BD!$Y$3:$Y$5001,"&lt;&gt;")=0,"",SUMIFS(BD!$Y$3:$Y$5001,BD!$B$3:$B$5001,C$173,BD!$A$3:$A$5001,_xlfn.MAXIFS(BD!$A$3:$A$5001,BD!$B$3:$B$5001,C$173,BD!$A$3:$A$5001,"&gt;="&amp;$C$7,BD!$A$3:$A$5001,"&lt;="&amp;$B191,BD!$Y$3:$Y$5001,"&lt;&gt;"))))</f>
        <v/>
      </c>
      <c r="D191" s="42" t="str">
        <f>IF(OR($B191="",$A191&gt;$B$9),"",IF(COUNTIFS(BD!$B$3:$B$5001,D$173,BD!$A$3:$A$5001,"&gt;="&amp;$C$7,BD!$A$3:$A$5001,"&lt;="&amp;$B191,BD!$Y$3:$Y$5001,"&lt;&gt;")=0,"",SUMIFS(BD!$Y$3:$Y$5001,BD!$B$3:$B$5001,D$173,BD!$A$3:$A$5001,_xlfn.MAXIFS(BD!$A$3:$A$5001,BD!$B$3:$B$5001,D$173,BD!$A$3:$A$5001,"&gt;="&amp;$C$7,BD!$A$3:$A$5001,"&lt;="&amp;$B191,BD!$Y$3:$Y$5001,"&lt;&gt;"))))</f>
        <v/>
      </c>
      <c r="E191" s="42" t="str">
        <f>IF(OR($B191="",$A191&gt;$B$9),"",IF(COUNTIFS(BD!$B$3:$B$5001,E$173,BD!$A$3:$A$5001,"&gt;="&amp;$C$7,BD!$A$3:$A$5001,"&lt;="&amp;$B191,BD!$Y$3:$Y$5001,"&lt;&gt;")=0,"",SUMIFS(BD!$Y$3:$Y$5001,BD!$B$3:$B$5001,E$173,BD!$A$3:$A$5001,_xlfn.MAXIFS(BD!$A$3:$A$5001,BD!$B$3:$B$5001,E$173,BD!$A$3:$A$5001,"&gt;="&amp;$C$7,BD!$A$3:$A$5001,"&lt;="&amp;$B191,BD!$Y$3:$Y$5001,"&lt;&gt;"))))</f>
        <v/>
      </c>
      <c r="F191" s="42" t="str">
        <f>IF(OR($B191="",$A191&gt;$B$9),"",IF(COUNTIFS(BD!$B$3:$B$5001,F$173,BD!$A$3:$A$5001,"&gt;="&amp;$C$7,BD!$A$3:$A$5001,"&lt;="&amp;$B191,BD!$Y$3:$Y$5001,"&lt;&gt;")=0,"",SUMIFS(BD!$Y$3:$Y$5001,BD!$B$3:$B$5001,F$173,BD!$A$3:$A$5001,_xlfn.MAXIFS(BD!$A$3:$A$5001,BD!$B$3:$B$5001,F$173,BD!$A$3:$A$5001,"&gt;="&amp;$C$7,BD!$A$3:$A$5001,"&lt;="&amp;$B191,BD!$Y$3:$Y$5001,"&lt;&gt;"))))</f>
        <v/>
      </c>
      <c r="G191" s="42" t="str">
        <f>IF(OR($B191="",$A191&gt;$B$9),"",IF(COUNTIFS(BD!$B$3:$B$5001,G$173,BD!$A$3:$A$5001,"&gt;="&amp;$C$7,BD!$A$3:$A$5001,"&lt;="&amp;$B191,BD!$Y$3:$Y$5001,"&lt;&gt;")=0,"",SUMIFS(BD!$Y$3:$Y$5001,BD!$B$3:$B$5001,G$173,BD!$A$3:$A$5001,_xlfn.MAXIFS(BD!$A$3:$A$5001,BD!$B$3:$B$5001,G$173,BD!$A$3:$A$5001,"&gt;="&amp;$C$7,BD!$A$3:$A$5001,"&lt;="&amp;$B191,BD!$Y$3:$Y$5001,"&lt;&gt;"))))</f>
        <v/>
      </c>
      <c r="H191" s="42" t="str">
        <f>IF(OR($B191="",$A191&gt;$B$9),"",IF(COUNTIFS(BD!$B$3:$B$5001,H$173,BD!$A$3:$A$5001,"&gt;="&amp;$C$7,BD!$A$3:$A$5001,"&lt;="&amp;$B191,BD!$Y$3:$Y$5001,"&lt;&gt;")=0,"",SUMIFS(BD!$Y$3:$Y$5001,BD!$B$3:$B$5001,H$173,BD!$A$3:$A$5001,_xlfn.MAXIFS(BD!$A$3:$A$5001,BD!$B$3:$B$5001,H$173,BD!$A$3:$A$5001,"&gt;="&amp;$C$7,BD!$A$3:$A$5001,"&lt;="&amp;$B191,BD!$Y$3:$Y$5001,"&lt;&gt;"))))</f>
        <v/>
      </c>
      <c r="I191" s="42" t="str">
        <f>IF(OR($B191="",$A191&gt;$B$9),"",IF(COUNTIFS(BD!$B$3:$B$5001,I$173,BD!$A$3:$A$5001,"&gt;="&amp;$C$7,BD!$A$3:$A$5001,"&lt;="&amp;$B191,BD!$Y$3:$Y$5001,"&lt;&gt;")=0,"",SUMIFS(BD!$Y$3:$Y$5001,BD!$B$3:$B$5001,I$173,BD!$A$3:$A$5001,_xlfn.MAXIFS(BD!$A$3:$A$5001,BD!$B$3:$B$5001,I$173,BD!$A$3:$A$5001,"&gt;="&amp;$C$7,BD!$A$3:$A$5001,"&lt;="&amp;$B191,BD!$Y$3:$Y$5001,"&lt;&gt;"))))</f>
        <v/>
      </c>
      <c r="J191" s="42" t="str">
        <f>IF(OR($B191="",$A191&gt;$B$9),"",IF(COUNTIFS(BD!$B$3:$B$5001,J$173,BD!$A$3:$A$5001,"&gt;="&amp;$C$7,BD!$A$3:$A$5001,"&lt;="&amp;$B191,BD!$Y$3:$Y$5001,"&lt;&gt;")=0,"",SUMIFS(BD!$Y$3:$Y$5001,BD!$B$3:$B$5001,J$173,BD!$A$3:$A$5001,_xlfn.MAXIFS(BD!$A$3:$A$5001,BD!$B$3:$B$5001,J$173,BD!$A$3:$A$5001,"&gt;="&amp;$C$7,BD!$A$3:$A$5001,"&lt;="&amp;$B191,BD!$Y$3:$Y$5001,"&lt;&gt;"))))</f>
        <v/>
      </c>
      <c r="K191" s="42" t="str">
        <f>IF(OR($B191="",$A191&gt;$B$9),"",IF(COUNTIFS(BD!$B$3:$B$5001,K$173,BD!$A$3:$A$5001,"&gt;="&amp;$C$7,BD!$A$3:$A$5001,"&lt;="&amp;$B191,BD!$Y$3:$Y$5001,"&lt;&gt;")=0,"",SUMIFS(BD!$Y$3:$Y$5001,BD!$B$3:$B$5001,K$173,BD!$A$3:$A$5001,_xlfn.MAXIFS(BD!$A$3:$A$5001,BD!$B$3:$B$5001,K$173,BD!$A$3:$A$5001,"&gt;="&amp;$C$7,BD!$A$3:$A$5001,"&lt;="&amp;$B191,BD!$Y$3:$Y$5001,"&lt;&gt;"))))</f>
        <v/>
      </c>
    </row>
    <row r="192">
      <c r="A192" s="40">
        <v>19</v>
      </c>
      <c r="B192" s="41">
        <f>$B$30</f>
        <v>46314</v>
      </c>
      <c r="C192" s="42" t="str">
        <f>IF(OR($B192="",$A192&gt;$B$9),"",IF(COUNTIFS(BD!$B$3:$B$5001,C$173,BD!$A$3:$A$5001,"&gt;="&amp;$C$7,BD!$A$3:$A$5001,"&lt;="&amp;$B192,BD!$Y$3:$Y$5001,"&lt;&gt;")=0,"",SUMIFS(BD!$Y$3:$Y$5001,BD!$B$3:$B$5001,C$173,BD!$A$3:$A$5001,_xlfn.MAXIFS(BD!$A$3:$A$5001,BD!$B$3:$B$5001,C$173,BD!$A$3:$A$5001,"&gt;="&amp;$C$7,BD!$A$3:$A$5001,"&lt;="&amp;$B192,BD!$Y$3:$Y$5001,"&lt;&gt;"))))</f>
        <v/>
      </c>
      <c r="D192" s="42" t="str">
        <f>IF(OR($B192="",$A192&gt;$B$9),"",IF(COUNTIFS(BD!$B$3:$B$5001,D$173,BD!$A$3:$A$5001,"&gt;="&amp;$C$7,BD!$A$3:$A$5001,"&lt;="&amp;$B192,BD!$Y$3:$Y$5001,"&lt;&gt;")=0,"",SUMIFS(BD!$Y$3:$Y$5001,BD!$B$3:$B$5001,D$173,BD!$A$3:$A$5001,_xlfn.MAXIFS(BD!$A$3:$A$5001,BD!$B$3:$B$5001,D$173,BD!$A$3:$A$5001,"&gt;="&amp;$C$7,BD!$A$3:$A$5001,"&lt;="&amp;$B192,BD!$Y$3:$Y$5001,"&lt;&gt;"))))</f>
        <v/>
      </c>
      <c r="E192" s="42" t="str">
        <f>IF(OR($B192="",$A192&gt;$B$9),"",IF(COUNTIFS(BD!$B$3:$B$5001,E$173,BD!$A$3:$A$5001,"&gt;="&amp;$C$7,BD!$A$3:$A$5001,"&lt;="&amp;$B192,BD!$Y$3:$Y$5001,"&lt;&gt;")=0,"",SUMIFS(BD!$Y$3:$Y$5001,BD!$B$3:$B$5001,E$173,BD!$A$3:$A$5001,_xlfn.MAXIFS(BD!$A$3:$A$5001,BD!$B$3:$B$5001,E$173,BD!$A$3:$A$5001,"&gt;="&amp;$C$7,BD!$A$3:$A$5001,"&lt;="&amp;$B192,BD!$Y$3:$Y$5001,"&lt;&gt;"))))</f>
        <v/>
      </c>
      <c r="F192" s="42" t="str">
        <f>IF(OR($B192="",$A192&gt;$B$9),"",IF(COUNTIFS(BD!$B$3:$B$5001,F$173,BD!$A$3:$A$5001,"&gt;="&amp;$C$7,BD!$A$3:$A$5001,"&lt;="&amp;$B192,BD!$Y$3:$Y$5001,"&lt;&gt;")=0,"",SUMIFS(BD!$Y$3:$Y$5001,BD!$B$3:$B$5001,F$173,BD!$A$3:$A$5001,_xlfn.MAXIFS(BD!$A$3:$A$5001,BD!$B$3:$B$5001,F$173,BD!$A$3:$A$5001,"&gt;="&amp;$C$7,BD!$A$3:$A$5001,"&lt;="&amp;$B192,BD!$Y$3:$Y$5001,"&lt;&gt;"))))</f>
        <v/>
      </c>
      <c r="G192" s="42" t="str">
        <f>IF(OR($B192="",$A192&gt;$B$9),"",IF(COUNTIFS(BD!$B$3:$B$5001,G$173,BD!$A$3:$A$5001,"&gt;="&amp;$C$7,BD!$A$3:$A$5001,"&lt;="&amp;$B192,BD!$Y$3:$Y$5001,"&lt;&gt;")=0,"",SUMIFS(BD!$Y$3:$Y$5001,BD!$B$3:$B$5001,G$173,BD!$A$3:$A$5001,_xlfn.MAXIFS(BD!$A$3:$A$5001,BD!$B$3:$B$5001,G$173,BD!$A$3:$A$5001,"&gt;="&amp;$C$7,BD!$A$3:$A$5001,"&lt;="&amp;$B192,BD!$Y$3:$Y$5001,"&lt;&gt;"))))</f>
        <v/>
      </c>
      <c r="H192" s="42" t="str">
        <f>IF(OR($B192="",$A192&gt;$B$9),"",IF(COUNTIFS(BD!$B$3:$B$5001,H$173,BD!$A$3:$A$5001,"&gt;="&amp;$C$7,BD!$A$3:$A$5001,"&lt;="&amp;$B192,BD!$Y$3:$Y$5001,"&lt;&gt;")=0,"",SUMIFS(BD!$Y$3:$Y$5001,BD!$B$3:$B$5001,H$173,BD!$A$3:$A$5001,_xlfn.MAXIFS(BD!$A$3:$A$5001,BD!$B$3:$B$5001,H$173,BD!$A$3:$A$5001,"&gt;="&amp;$C$7,BD!$A$3:$A$5001,"&lt;="&amp;$B192,BD!$Y$3:$Y$5001,"&lt;&gt;"))))</f>
        <v/>
      </c>
      <c r="I192" s="42" t="str">
        <f>IF(OR($B192="",$A192&gt;$B$9),"",IF(COUNTIFS(BD!$B$3:$B$5001,I$173,BD!$A$3:$A$5001,"&gt;="&amp;$C$7,BD!$A$3:$A$5001,"&lt;="&amp;$B192,BD!$Y$3:$Y$5001,"&lt;&gt;")=0,"",SUMIFS(BD!$Y$3:$Y$5001,BD!$B$3:$B$5001,I$173,BD!$A$3:$A$5001,_xlfn.MAXIFS(BD!$A$3:$A$5001,BD!$B$3:$B$5001,I$173,BD!$A$3:$A$5001,"&gt;="&amp;$C$7,BD!$A$3:$A$5001,"&lt;="&amp;$B192,BD!$Y$3:$Y$5001,"&lt;&gt;"))))</f>
        <v/>
      </c>
      <c r="J192" s="42" t="str">
        <f>IF(OR($B192="",$A192&gt;$B$9),"",IF(COUNTIFS(BD!$B$3:$B$5001,J$173,BD!$A$3:$A$5001,"&gt;="&amp;$C$7,BD!$A$3:$A$5001,"&lt;="&amp;$B192,BD!$Y$3:$Y$5001,"&lt;&gt;")=0,"",SUMIFS(BD!$Y$3:$Y$5001,BD!$B$3:$B$5001,J$173,BD!$A$3:$A$5001,_xlfn.MAXIFS(BD!$A$3:$A$5001,BD!$B$3:$B$5001,J$173,BD!$A$3:$A$5001,"&gt;="&amp;$C$7,BD!$A$3:$A$5001,"&lt;="&amp;$B192,BD!$Y$3:$Y$5001,"&lt;&gt;"))))</f>
        <v/>
      </c>
      <c r="K192" s="42" t="str">
        <f>IF(OR($B192="",$A192&gt;$B$9),"",IF(COUNTIFS(BD!$B$3:$B$5001,K$173,BD!$A$3:$A$5001,"&gt;="&amp;$C$7,BD!$A$3:$A$5001,"&lt;="&amp;$B192,BD!$Y$3:$Y$5001,"&lt;&gt;")=0,"",SUMIFS(BD!$Y$3:$Y$5001,BD!$B$3:$B$5001,K$173,BD!$A$3:$A$5001,_xlfn.MAXIFS(BD!$A$3:$A$5001,BD!$B$3:$B$5001,K$173,BD!$A$3:$A$5001,"&gt;="&amp;$C$7,BD!$A$3:$A$5001,"&lt;="&amp;$B192,BD!$Y$3:$Y$5001,"&lt;&gt;"))))</f>
        <v/>
      </c>
    </row>
    <row r="193">
      <c r="A193" s="40">
        <v>20</v>
      </c>
      <c r="B193" s="41">
        <f>$B$31</f>
        <v>46315</v>
      </c>
      <c r="C193" s="42" t="str">
        <f>IF(OR($B193="",$A193&gt;$B$9),"",IF(COUNTIFS(BD!$B$3:$B$5001,C$173,BD!$A$3:$A$5001,"&gt;="&amp;$C$7,BD!$A$3:$A$5001,"&lt;="&amp;$B193,BD!$Y$3:$Y$5001,"&lt;&gt;")=0,"",SUMIFS(BD!$Y$3:$Y$5001,BD!$B$3:$B$5001,C$173,BD!$A$3:$A$5001,_xlfn.MAXIFS(BD!$A$3:$A$5001,BD!$B$3:$B$5001,C$173,BD!$A$3:$A$5001,"&gt;="&amp;$C$7,BD!$A$3:$A$5001,"&lt;="&amp;$B193,BD!$Y$3:$Y$5001,"&lt;&gt;"))))</f>
        <v/>
      </c>
      <c r="D193" s="42" t="str">
        <f>IF(OR($B193="",$A193&gt;$B$9),"",IF(COUNTIFS(BD!$B$3:$B$5001,D$173,BD!$A$3:$A$5001,"&gt;="&amp;$C$7,BD!$A$3:$A$5001,"&lt;="&amp;$B193,BD!$Y$3:$Y$5001,"&lt;&gt;")=0,"",SUMIFS(BD!$Y$3:$Y$5001,BD!$B$3:$B$5001,D$173,BD!$A$3:$A$5001,_xlfn.MAXIFS(BD!$A$3:$A$5001,BD!$B$3:$B$5001,D$173,BD!$A$3:$A$5001,"&gt;="&amp;$C$7,BD!$A$3:$A$5001,"&lt;="&amp;$B193,BD!$Y$3:$Y$5001,"&lt;&gt;"))))</f>
        <v/>
      </c>
      <c r="E193" s="42" t="str">
        <f>IF(OR($B193="",$A193&gt;$B$9),"",IF(COUNTIFS(BD!$B$3:$B$5001,E$173,BD!$A$3:$A$5001,"&gt;="&amp;$C$7,BD!$A$3:$A$5001,"&lt;="&amp;$B193,BD!$Y$3:$Y$5001,"&lt;&gt;")=0,"",SUMIFS(BD!$Y$3:$Y$5001,BD!$B$3:$B$5001,E$173,BD!$A$3:$A$5001,_xlfn.MAXIFS(BD!$A$3:$A$5001,BD!$B$3:$B$5001,E$173,BD!$A$3:$A$5001,"&gt;="&amp;$C$7,BD!$A$3:$A$5001,"&lt;="&amp;$B193,BD!$Y$3:$Y$5001,"&lt;&gt;"))))</f>
        <v/>
      </c>
      <c r="F193" s="42" t="str">
        <f>IF(OR($B193="",$A193&gt;$B$9),"",IF(COUNTIFS(BD!$B$3:$B$5001,F$173,BD!$A$3:$A$5001,"&gt;="&amp;$C$7,BD!$A$3:$A$5001,"&lt;="&amp;$B193,BD!$Y$3:$Y$5001,"&lt;&gt;")=0,"",SUMIFS(BD!$Y$3:$Y$5001,BD!$B$3:$B$5001,F$173,BD!$A$3:$A$5001,_xlfn.MAXIFS(BD!$A$3:$A$5001,BD!$B$3:$B$5001,F$173,BD!$A$3:$A$5001,"&gt;="&amp;$C$7,BD!$A$3:$A$5001,"&lt;="&amp;$B193,BD!$Y$3:$Y$5001,"&lt;&gt;"))))</f>
        <v/>
      </c>
      <c r="G193" s="42" t="str">
        <f>IF(OR($B193="",$A193&gt;$B$9),"",IF(COUNTIFS(BD!$B$3:$B$5001,G$173,BD!$A$3:$A$5001,"&gt;="&amp;$C$7,BD!$A$3:$A$5001,"&lt;="&amp;$B193,BD!$Y$3:$Y$5001,"&lt;&gt;")=0,"",SUMIFS(BD!$Y$3:$Y$5001,BD!$B$3:$B$5001,G$173,BD!$A$3:$A$5001,_xlfn.MAXIFS(BD!$A$3:$A$5001,BD!$B$3:$B$5001,G$173,BD!$A$3:$A$5001,"&gt;="&amp;$C$7,BD!$A$3:$A$5001,"&lt;="&amp;$B193,BD!$Y$3:$Y$5001,"&lt;&gt;"))))</f>
        <v/>
      </c>
      <c r="H193" s="42" t="str">
        <f>IF(OR($B193="",$A193&gt;$B$9),"",IF(COUNTIFS(BD!$B$3:$B$5001,H$173,BD!$A$3:$A$5001,"&gt;="&amp;$C$7,BD!$A$3:$A$5001,"&lt;="&amp;$B193,BD!$Y$3:$Y$5001,"&lt;&gt;")=0,"",SUMIFS(BD!$Y$3:$Y$5001,BD!$B$3:$B$5001,H$173,BD!$A$3:$A$5001,_xlfn.MAXIFS(BD!$A$3:$A$5001,BD!$B$3:$B$5001,H$173,BD!$A$3:$A$5001,"&gt;="&amp;$C$7,BD!$A$3:$A$5001,"&lt;="&amp;$B193,BD!$Y$3:$Y$5001,"&lt;&gt;"))))</f>
        <v/>
      </c>
      <c r="I193" s="42" t="str">
        <f>IF(OR($B193="",$A193&gt;$B$9),"",IF(COUNTIFS(BD!$B$3:$B$5001,I$173,BD!$A$3:$A$5001,"&gt;="&amp;$C$7,BD!$A$3:$A$5001,"&lt;="&amp;$B193,BD!$Y$3:$Y$5001,"&lt;&gt;")=0,"",SUMIFS(BD!$Y$3:$Y$5001,BD!$B$3:$B$5001,I$173,BD!$A$3:$A$5001,_xlfn.MAXIFS(BD!$A$3:$A$5001,BD!$B$3:$B$5001,I$173,BD!$A$3:$A$5001,"&gt;="&amp;$C$7,BD!$A$3:$A$5001,"&lt;="&amp;$B193,BD!$Y$3:$Y$5001,"&lt;&gt;"))))</f>
        <v/>
      </c>
      <c r="J193" s="42" t="str">
        <f>IF(OR($B193="",$A193&gt;$B$9),"",IF(COUNTIFS(BD!$B$3:$B$5001,J$173,BD!$A$3:$A$5001,"&gt;="&amp;$C$7,BD!$A$3:$A$5001,"&lt;="&amp;$B193,BD!$Y$3:$Y$5001,"&lt;&gt;")=0,"",SUMIFS(BD!$Y$3:$Y$5001,BD!$B$3:$B$5001,J$173,BD!$A$3:$A$5001,_xlfn.MAXIFS(BD!$A$3:$A$5001,BD!$B$3:$B$5001,J$173,BD!$A$3:$A$5001,"&gt;="&amp;$C$7,BD!$A$3:$A$5001,"&lt;="&amp;$B193,BD!$Y$3:$Y$5001,"&lt;&gt;"))))</f>
        <v/>
      </c>
      <c r="K193" s="42" t="str">
        <f>IF(OR($B193="",$A193&gt;$B$9),"",IF(COUNTIFS(BD!$B$3:$B$5001,K$173,BD!$A$3:$A$5001,"&gt;="&amp;$C$7,BD!$A$3:$A$5001,"&lt;="&amp;$B193,BD!$Y$3:$Y$5001,"&lt;&gt;")=0,"",SUMIFS(BD!$Y$3:$Y$5001,BD!$B$3:$B$5001,K$173,BD!$A$3:$A$5001,_xlfn.MAXIFS(BD!$A$3:$A$5001,BD!$B$3:$B$5001,K$173,BD!$A$3:$A$5001,"&gt;="&amp;$C$7,BD!$A$3:$A$5001,"&lt;="&amp;$B193,BD!$Y$3:$Y$5001,"&lt;&gt;"))))</f>
        <v/>
      </c>
    </row>
    <row r="194">
      <c r="A194" s="40">
        <v>21</v>
      </c>
      <c r="B194" s="41">
        <f>$B$32</f>
        <v>46316</v>
      </c>
      <c r="C194" s="42" t="str">
        <f>IF(OR($B194="",$A194&gt;$B$9),"",IF(COUNTIFS(BD!$B$3:$B$5001,C$173,BD!$A$3:$A$5001,"&gt;="&amp;$C$7,BD!$A$3:$A$5001,"&lt;="&amp;$B194,BD!$Y$3:$Y$5001,"&lt;&gt;")=0,"",SUMIFS(BD!$Y$3:$Y$5001,BD!$B$3:$B$5001,C$173,BD!$A$3:$A$5001,_xlfn.MAXIFS(BD!$A$3:$A$5001,BD!$B$3:$B$5001,C$173,BD!$A$3:$A$5001,"&gt;="&amp;$C$7,BD!$A$3:$A$5001,"&lt;="&amp;$B194,BD!$Y$3:$Y$5001,"&lt;&gt;"))))</f>
        <v/>
      </c>
      <c r="D194" s="42" t="str">
        <f>IF(OR($B194="",$A194&gt;$B$9),"",IF(COUNTIFS(BD!$B$3:$B$5001,D$173,BD!$A$3:$A$5001,"&gt;="&amp;$C$7,BD!$A$3:$A$5001,"&lt;="&amp;$B194,BD!$Y$3:$Y$5001,"&lt;&gt;")=0,"",SUMIFS(BD!$Y$3:$Y$5001,BD!$B$3:$B$5001,D$173,BD!$A$3:$A$5001,_xlfn.MAXIFS(BD!$A$3:$A$5001,BD!$B$3:$B$5001,D$173,BD!$A$3:$A$5001,"&gt;="&amp;$C$7,BD!$A$3:$A$5001,"&lt;="&amp;$B194,BD!$Y$3:$Y$5001,"&lt;&gt;"))))</f>
        <v/>
      </c>
      <c r="E194" s="42" t="str">
        <f>IF(OR($B194="",$A194&gt;$B$9),"",IF(COUNTIFS(BD!$B$3:$B$5001,E$173,BD!$A$3:$A$5001,"&gt;="&amp;$C$7,BD!$A$3:$A$5001,"&lt;="&amp;$B194,BD!$Y$3:$Y$5001,"&lt;&gt;")=0,"",SUMIFS(BD!$Y$3:$Y$5001,BD!$B$3:$B$5001,E$173,BD!$A$3:$A$5001,_xlfn.MAXIFS(BD!$A$3:$A$5001,BD!$B$3:$B$5001,E$173,BD!$A$3:$A$5001,"&gt;="&amp;$C$7,BD!$A$3:$A$5001,"&lt;="&amp;$B194,BD!$Y$3:$Y$5001,"&lt;&gt;"))))</f>
        <v/>
      </c>
      <c r="F194" s="42" t="str">
        <f>IF(OR($B194="",$A194&gt;$B$9),"",IF(COUNTIFS(BD!$B$3:$B$5001,F$173,BD!$A$3:$A$5001,"&gt;="&amp;$C$7,BD!$A$3:$A$5001,"&lt;="&amp;$B194,BD!$Y$3:$Y$5001,"&lt;&gt;")=0,"",SUMIFS(BD!$Y$3:$Y$5001,BD!$B$3:$B$5001,F$173,BD!$A$3:$A$5001,_xlfn.MAXIFS(BD!$A$3:$A$5001,BD!$B$3:$B$5001,F$173,BD!$A$3:$A$5001,"&gt;="&amp;$C$7,BD!$A$3:$A$5001,"&lt;="&amp;$B194,BD!$Y$3:$Y$5001,"&lt;&gt;"))))</f>
        <v/>
      </c>
      <c r="G194" s="42" t="str">
        <f>IF(OR($B194="",$A194&gt;$B$9),"",IF(COUNTIFS(BD!$B$3:$B$5001,G$173,BD!$A$3:$A$5001,"&gt;="&amp;$C$7,BD!$A$3:$A$5001,"&lt;="&amp;$B194,BD!$Y$3:$Y$5001,"&lt;&gt;")=0,"",SUMIFS(BD!$Y$3:$Y$5001,BD!$B$3:$B$5001,G$173,BD!$A$3:$A$5001,_xlfn.MAXIFS(BD!$A$3:$A$5001,BD!$B$3:$B$5001,G$173,BD!$A$3:$A$5001,"&gt;="&amp;$C$7,BD!$A$3:$A$5001,"&lt;="&amp;$B194,BD!$Y$3:$Y$5001,"&lt;&gt;"))))</f>
        <v/>
      </c>
      <c r="H194" s="42" t="str">
        <f>IF(OR($B194="",$A194&gt;$B$9),"",IF(COUNTIFS(BD!$B$3:$B$5001,H$173,BD!$A$3:$A$5001,"&gt;="&amp;$C$7,BD!$A$3:$A$5001,"&lt;="&amp;$B194,BD!$Y$3:$Y$5001,"&lt;&gt;")=0,"",SUMIFS(BD!$Y$3:$Y$5001,BD!$B$3:$B$5001,H$173,BD!$A$3:$A$5001,_xlfn.MAXIFS(BD!$A$3:$A$5001,BD!$B$3:$B$5001,H$173,BD!$A$3:$A$5001,"&gt;="&amp;$C$7,BD!$A$3:$A$5001,"&lt;="&amp;$B194,BD!$Y$3:$Y$5001,"&lt;&gt;"))))</f>
        <v/>
      </c>
      <c r="I194" s="42" t="str">
        <f>IF(OR($B194="",$A194&gt;$B$9),"",IF(COUNTIFS(BD!$B$3:$B$5001,I$173,BD!$A$3:$A$5001,"&gt;="&amp;$C$7,BD!$A$3:$A$5001,"&lt;="&amp;$B194,BD!$Y$3:$Y$5001,"&lt;&gt;")=0,"",SUMIFS(BD!$Y$3:$Y$5001,BD!$B$3:$B$5001,I$173,BD!$A$3:$A$5001,_xlfn.MAXIFS(BD!$A$3:$A$5001,BD!$B$3:$B$5001,I$173,BD!$A$3:$A$5001,"&gt;="&amp;$C$7,BD!$A$3:$A$5001,"&lt;="&amp;$B194,BD!$Y$3:$Y$5001,"&lt;&gt;"))))</f>
        <v/>
      </c>
      <c r="J194" s="42" t="str">
        <f>IF(OR($B194="",$A194&gt;$B$9),"",IF(COUNTIFS(BD!$B$3:$B$5001,J$173,BD!$A$3:$A$5001,"&gt;="&amp;$C$7,BD!$A$3:$A$5001,"&lt;="&amp;$B194,BD!$Y$3:$Y$5001,"&lt;&gt;")=0,"",SUMIFS(BD!$Y$3:$Y$5001,BD!$B$3:$B$5001,J$173,BD!$A$3:$A$5001,_xlfn.MAXIFS(BD!$A$3:$A$5001,BD!$B$3:$B$5001,J$173,BD!$A$3:$A$5001,"&gt;="&amp;$C$7,BD!$A$3:$A$5001,"&lt;="&amp;$B194,BD!$Y$3:$Y$5001,"&lt;&gt;"))))</f>
        <v/>
      </c>
      <c r="K194" s="42" t="str">
        <f>IF(OR($B194="",$A194&gt;$B$9),"",IF(COUNTIFS(BD!$B$3:$B$5001,K$173,BD!$A$3:$A$5001,"&gt;="&amp;$C$7,BD!$A$3:$A$5001,"&lt;="&amp;$B194,BD!$Y$3:$Y$5001,"&lt;&gt;")=0,"",SUMIFS(BD!$Y$3:$Y$5001,BD!$B$3:$B$5001,K$173,BD!$A$3:$A$5001,_xlfn.MAXIFS(BD!$A$3:$A$5001,BD!$B$3:$B$5001,K$173,BD!$A$3:$A$5001,"&gt;="&amp;$C$7,BD!$A$3:$A$5001,"&lt;="&amp;$B194,BD!$Y$3:$Y$5001,"&lt;&gt;"))))</f>
        <v/>
      </c>
    </row>
    <row r="195">
      <c r="A195" s="40">
        <v>22</v>
      </c>
      <c r="B195" s="41">
        <f>$B$33</f>
        <v>46317</v>
      </c>
      <c r="C195" s="42" t="str">
        <f>IF(OR($B195="",$A195&gt;$B$9),"",IF(COUNTIFS(BD!$B$3:$B$5001,C$173,BD!$A$3:$A$5001,"&gt;="&amp;$C$7,BD!$A$3:$A$5001,"&lt;="&amp;$B195,BD!$Y$3:$Y$5001,"&lt;&gt;")=0,"",SUMIFS(BD!$Y$3:$Y$5001,BD!$B$3:$B$5001,C$173,BD!$A$3:$A$5001,_xlfn.MAXIFS(BD!$A$3:$A$5001,BD!$B$3:$B$5001,C$173,BD!$A$3:$A$5001,"&gt;="&amp;$C$7,BD!$A$3:$A$5001,"&lt;="&amp;$B195,BD!$Y$3:$Y$5001,"&lt;&gt;"))))</f>
        <v/>
      </c>
      <c r="D195" s="42" t="str">
        <f>IF(OR($B195="",$A195&gt;$B$9),"",IF(COUNTIFS(BD!$B$3:$B$5001,D$173,BD!$A$3:$A$5001,"&gt;="&amp;$C$7,BD!$A$3:$A$5001,"&lt;="&amp;$B195,BD!$Y$3:$Y$5001,"&lt;&gt;")=0,"",SUMIFS(BD!$Y$3:$Y$5001,BD!$B$3:$B$5001,D$173,BD!$A$3:$A$5001,_xlfn.MAXIFS(BD!$A$3:$A$5001,BD!$B$3:$B$5001,D$173,BD!$A$3:$A$5001,"&gt;="&amp;$C$7,BD!$A$3:$A$5001,"&lt;="&amp;$B195,BD!$Y$3:$Y$5001,"&lt;&gt;"))))</f>
        <v/>
      </c>
      <c r="E195" s="42" t="str">
        <f>IF(OR($B195="",$A195&gt;$B$9),"",IF(COUNTIFS(BD!$B$3:$B$5001,E$173,BD!$A$3:$A$5001,"&gt;="&amp;$C$7,BD!$A$3:$A$5001,"&lt;="&amp;$B195,BD!$Y$3:$Y$5001,"&lt;&gt;")=0,"",SUMIFS(BD!$Y$3:$Y$5001,BD!$B$3:$B$5001,E$173,BD!$A$3:$A$5001,_xlfn.MAXIFS(BD!$A$3:$A$5001,BD!$B$3:$B$5001,E$173,BD!$A$3:$A$5001,"&gt;="&amp;$C$7,BD!$A$3:$A$5001,"&lt;="&amp;$B195,BD!$Y$3:$Y$5001,"&lt;&gt;"))))</f>
        <v/>
      </c>
      <c r="F195" s="42" t="str">
        <f>IF(OR($B195="",$A195&gt;$B$9),"",IF(COUNTIFS(BD!$B$3:$B$5001,F$173,BD!$A$3:$A$5001,"&gt;="&amp;$C$7,BD!$A$3:$A$5001,"&lt;="&amp;$B195,BD!$Y$3:$Y$5001,"&lt;&gt;")=0,"",SUMIFS(BD!$Y$3:$Y$5001,BD!$B$3:$B$5001,F$173,BD!$A$3:$A$5001,_xlfn.MAXIFS(BD!$A$3:$A$5001,BD!$B$3:$B$5001,F$173,BD!$A$3:$A$5001,"&gt;="&amp;$C$7,BD!$A$3:$A$5001,"&lt;="&amp;$B195,BD!$Y$3:$Y$5001,"&lt;&gt;"))))</f>
        <v/>
      </c>
      <c r="G195" s="42" t="str">
        <f>IF(OR($B195="",$A195&gt;$B$9),"",IF(COUNTIFS(BD!$B$3:$B$5001,G$173,BD!$A$3:$A$5001,"&gt;="&amp;$C$7,BD!$A$3:$A$5001,"&lt;="&amp;$B195,BD!$Y$3:$Y$5001,"&lt;&gt;")=0,"",SUMIFS(BD!$Y$3:$Y$5001,BD!$B$3:$B$5001,G$173,BD!$A$3:$A$5001,_xlfn.MAXIFS(BD!$A$3:$A$5001,BD!$B$3:$B$5001,G$173,BD!$A$3:$A$5001,"&gt;="&amp;$C$7,BD!$A$3:$A$5001,"&lt;="&amp;$B195,BD!$Y$3:$Y$5001,"&lt;&gt;"))))</f>
        <v/>
      </c>
      <c r="H195" s="42" t="str">
        <f>IF(OR($B195="",$A195&gt;$B$9),"",IF(COUNTIFS(BD!$B$3:$B$5001,H$173,BD!$A$3:$A$5001,"&gt;="&amp;$C$7,BD!$A$3:$A$5001,"&lt;="&amp;$B195,BD!$Y$3:$Y$5001,"&lt;&gt;")=0,"",SUMIFS(BD!$Y$3:$Y$5001,BD!$B$3:$B$5001,H$173,BD!$A$3:$A$5001,_xlfn.MAXIFS(BD!$A$3:$A$5001,BD!$B$3:$B$5001,H$173,BD!$A$3:$A$5001,"&gt;="&amp;$C$7,BD!$A$3:$A$5001,"&lt;="&amp;$B195,BD!$Y$3:$Y$5001,"&lt;&gt;"))))</f>
        <v/>
      </c>
      <c r="I195" s="42" t="str">
        <f>IF(OR($B195="",$A195&gt;$B$9),"",IF(COUNTIFS(BD!$B$3:$B$5001,I$173,BD!$A$3:$A$5001,"&gt;="&amp;$C$7,BD!$A$3:$A$5001,"&lt;="&amp;$B195,BD!$Y$3:$Y$5001,"&lt;&gt;")=0,"",SUMIFS(BD!$Y$3:$Y$5001,BD!$B$3:$B$5001,I$173,BD!$A$3:$A$5001,_xlfn.MAXIFS(BD!$A$3:$A$5001,BD!$B$3:$B$5001,I$173,BD!$A$3:$A$5001,"&gt;="&amp;$C$7,BD!$A$3:$A$5001,"&lt;="&amp;$B195,BD!$Y$3:$Y$5001,"&lt;&gt;"))))</f>
        <v/>
      </c>
      <c r="J195" s="42" t="str">
        <f>IF(OR($B195="",$A195&gt;$B$9),"",IF(COUNTIFS(BD!$B$3:$B$5001,J$173,BD!$A$3:$A$5001,"&gt;="&amp;$C$7,BD!$A$3:$A$5001,"&lt;="&amp;$B195,BD!$Y$3:$Y$5001,"&lt;&gt;")=0,"",SUMIFS(BD!$Y$3:$Y$5001,BD!$B$3:$B$5001,J$173,BD!$A$3:$A$5001,_xlfn.MAXIFS(BD!$A$3:$A$5001,BD!$B$3:$B$5001,J$173,BD!$A$3:$A$5001,"&gt;="&amp;$C$7,BD!$A$3:$A$5001,"&lt;="&amp;$B195,BD!$Y$3:$Y$5001,"&lt;&gt;"))))</f>
        <v/>
      </c>
      <c r="K195" s="42" t="str">
        <f>IF(OR($B195="",$A195&gt;$B$9),"",IF(COUNTIFS(BD!$B$3:$B$5001,K$173,BD!$A$3:$A$5001,"&gt;="&amp;$C$7,BD!$A$3:$A$5001,"&lt;="&amp;$B195,BD!$Y$3:$Y$5001,"&lt;&gt;")=0,"",SUMIFS(BD!$Y$3:$Y$5001,BD!$B$3:$B$5001,K$173,BD!$A$3:$A$5001,_xlfn.MAXIFS(BD!$A$3:$A$5001,BD!$B$3:$B$5001,K$173,BD!$A$3:$A$5001,"&gt;="&amp;$C$7,BD!$A$3:$A$5001,"&lt;="&amp;$B195,BD!$Y$3:$Y$5001,"&lt;&gt;"))))</f>
        <v/>
      </c>
    </row>
    <row r="196">
      <c r="A196" s="40">
        <v>23</v>
      </c>
      <c r="B196" s="41">
        <f>$B$34</f>
        <v>46318</v>
      </c>
      <c r="C196" s="42" t="str">
        <f>IF(OR($B196="",$A196&gt;$B$9),"",IF(COUNTIFS(BD!$B$3:$B$5001,C$173,BD!$A$3:$A$5001,"&gt;="&amp;$C$7,BD!$A$3:$A$5001,"&lt;="&amp;$B196,BD!$Y$3:$Y$5001,"&lt;&gt;")=0,"",SUMIFS(BD!$Y$3:$Y$5001,BD!$B$3:$B$5001,C$173,BD!$A$3:$A$5001,_xlfn.MAXIFS(BD!$A$3:$A$5001,BD!$B$3:$B$5001,C$173,BD!$A$3:$A$5001,"&gt;="&amp;$C$7,BD!$A$3:$A$5001,"&lt;="&amp;$B196,BD!$Y$3:$Y$5001,"&lt;&gt;"))))</f>
        <v/>
      </c>
      <c r="D196" s="42" t="str">
        <f>IF(OR($B196="",$A196&gt;$B$9),"",IF(COUNTIFS(BD!$B$3:$B$5001,D$173,BD!$A$3:$A$5001,"&gt;="&amp;$C$7,BD!$A$3:$A$5001,"&lt;="&amp;$B196,BD!$Y$3:$Y$5001,"&lt;&gt;")=0,"",SUMIFS(BD!$Y$3:$Y$5001,BD!$B$3:$B$5001,D$173,BD!$A$3:$A$5001,_xlfn.MAXIFS(BD!$A$3:$A$5001,BD!$B$3:$B$5001,D$173,BD!$A$3:$A$5001,"&gt;="&amp;$C$7,BD!$A$3:$A$5001,"&lt;="&amp;$B196,BD!$Y$3:$Y$5001,"&lt;&gt;"))))</f>
        <v/>
      </c>
      <c r="E196" s="42" t="str">
        <f>IF(OR($B196="",$A196&gt;$B$9),"",IF(COUNTIFS(BD!$B$3:$B$5001,E$173,BD!$A$3:$A$5001,"&gt;="&amp;$C$7,BD!$A$3:$A$5001,"&lt;="&amp;$B196,BD!$Y$3:$Y$5001,"&lt;&gt;")=0,"",SUMIFS(BD!$Y$3:$Y$5001,BD!$B$3:$B$5001,E$173,BD!$A$3:$A$5001,_xlfn.MAXIFS(BD!$A$3:$A$5001,BD!$B$3:$B$5001,E$173,BD!$A$3:$A$5001,"&gt;="&amp;$C$7,BD!$A$3:$A$5001,"&lt;="&amp;$B196,BD!$Y$3:$Y$5001,"&lt;&gt;"))))</f>
        <v/>
      </c>
      <c r="F196" s="42" t="str">
        <f>IF(OR($B196="",$A196&gt;$B$9),"",IF(COUNTIFS(BD!$B$3:$B$5001,F$173,BD!$A$3:$A$5001,"&gt;="&amp;$C$7,BD!$A$3:$A$5001,"&lt;="&amp;$B196,BD!$Y$3:$Y$5001,"&lt;&gt;")=0,"",SUMIFS(BD!$Y$3:$Y$5001,BD!$B$3:$B$5001,F$173,BD!$A$3:$A$5001,_xlfn.MAXIFS(BD!$A$3:$A$5001,BD!$B$3:$B$5001,F$173,BD!$A$3:$A$5001,"&gt;="&amp;$C$7,BD!$A$3:$A$5001,"&lt;="&amp;$B196,BD!$Y$3:$Y$5001,"&lt;&gt;"))))</f>
        <v/>
      </c>
      <c r="G196" s="42" t="str">
        <f>IF(OR($B196="",$A196&gt;$B$9),"",IF(COUNTIFS(BD!$B$3:$B$5001,G$173,BD!$A$3:$A$5001,"&gt;="&amp;$C$7,BD!$A$3:$A$5001,"&lt;="&amp;$B196,BD!$Y$3:$Y$5001,"&lt;&gt;")=0,"",SUMIFS(BD!$Y$3:$Y$5001,BD!$B$3:$B$5001,G$173,BD!$A$3:$A$5001,_xlfn.MAXIFS(BD!$A$3:$A$5001,BD!$B$3:$B$5001,G$173,BD!$A$3:$A$5001,"&gt;="&amp;$C$7,BD!$A$3:$A$5001,"&lt;="&amp;$B196,BD!$Y$3:$Y$5001,"&lt;&gt;"))))</f>
        <v/>
      </c>
      <c r="H196" s="42" t="str">
        <f>IF(OR($B196="",$A196&gt;$B$9),"",IF(COUNTIFS(BD!$B$3:$B$5001,H$173,BD!$A$3:$A$5001,"&gt;="&amp;$C$7,BD!$A$3:$A$5001,"&lt;="&amp;$B196,BD!$Y$3:$Y$5001,"&lt;&gt;")=0,"",SUMIFS(BD!$Y$3:$Y$5001,BD!$B$3:$B$5001,H$173,BD!$A$3:$A$5001,_xlfn.MAXIFS(BD!$A$3:$A$5001,BD!$B$3:$B$5001,H$173,BD!$A$3:$A$5001,"&gt;="&amp;$C$7,BD!$A$3:$A$5001,"&lt;="&amp;$B196,BD!$Y$3:$Y$5001,"&lt;&gt;"))))</f>
        <v/>
      </c>
      <c r="I196" s="42" t="str">
        <f>IF(OR($B196="",$A196&gt;$B$9),"",IF(COUNTIFS(BD!$B$3:$B$5001,I$173,BD!$A$3:$A$5001,"&gt;="&amp;$C$7,BD!$A$3:$A$5001,"&lt;="&amp;$B196,BD!$Y$3:$Y$5001,"&lt;&gt;")=0,"",SUMIFS(BD!$Y$3:$Y$5001,BD!$B$3:$B$5001,I$173,BD!$A$3:$A$5001,_xlfn.MAXIFS(BD!$A$3:$A$5001,BD!$B$3:$B$5001,I$173,BD!$A$3:$A$5001,"&gt;="&amp;$C$7,BD!$A$3:$A$5001,"&lt;="&amp;$B196,BD!$Y$3:$Y$5001,"&lt;&gt;"))))</f>
        <v/>
      </c>
      <c r="J196" s="42" t="str">
        <f>IF(OR($B196="",$A196&gt;$B$9),"",IF(COUNTIFS(BD!$B$3:$B$5001,J$173,BD!$A$3:$A$5001,"&gt;="&amp;$C$7,BD!$A$3:$A$5001,"&lt;="&amp;$B196,BD!$Y$3:$Y$5001,"&lt;&gt;")=0,"",SUMIFS(BD!$Y$3:$Y$5001,BD!$B$3:$B$5001,J$173,BD!$A$3:$A$5001,_xlfn.MAXIFS(BD!$A$3:$A$5001,BD!$B$3:$B$5001,J$173,BD!$A$3:$A$5001,"&gt;="&amp;$C$7,BD!$A$3:$A$5001,"&lt;="&amp;$B196,BD!$Y$3:$Y$5001,"&lt;&gt;"))))</f>
        <v/>
      </c>
      <c r="K196" s="42" t="str">
        <f>IF(OR($B196="",$A196&gt;$B$9),"",IF(COUNTIFS(BD!$B$3:$B$5001,K$173,BD!$A$3:$A$5001,"&gt;="&amp;$C$7,BD!$A$3:$A$5001,"&lt;="&amp;$B196,BD!$Y$3:$Y$5001,"&lt;&gt;")=0,"",SUMIFS(BD!$Y$3:$Y$5001,BD!$B$3:$B$5001,K$173,BD!$A$3:$A$5001,_xlfn.MAXIFS(BD!$A$3:$A$5001,BD!$B$3:$B$5001,K$173,BD!$A$3:$A$5001,"&gt;="&amp;$C$7,BD!$A$3:$A$5001,"&lt;="&amp;$B196,BD!$Y$3:$Y$5001,"&lt;&gt;"))))</f>
        <v/>
      </c>
    </row>
    <row r="197">
      <c r="A197" s="40">
        <v>24</v>
      </c>
      <c r="B197" s="41">
        <f>$B$35</f>
        <v>46319</v>
      </c>
      <c r="C197" s="42" t="str">
        <f>IF(OR($B197="",$A197&gt;$B$9),"",IF(COUNTIFS(BD!$B$3:$B$5001,C$173,BD!$A$3:$A$5001,"&gt;="&amp;$C$7,BD!$A$3:$A$5001,"&lt;="&amp;$B197,BD!$Y$3:$Y$5001,"&lt;&gt;")=0,"",SUMIFS(BD!$Y$3:$Y$5001,BD!$B$3:$B$5001,C$173,BD!$A$3:$A$5001,_xlfn.MAXIFS(BD!$A$3:$A$5001,BD!$B$3:$B$5001,C$173,BD!$A$3:$A$5001,"&gt;="&amp;$C$7,BD!$A$3:$A$5001,"&lt;="&amp;$B197,BD!$Y$3:$Y$5001,"&lt;&gt;"))))</f>
        <v/>
      </c>
      <c r="D197" s="42" t="str">
        <f>IF(OR($B197="",$A197&gt;$B$9),"",IF(COUNTIFS(BD!$B$3:$B$5001,D$173,BD!$A$3:$A$5001,"&gt;="&amp;$C$7,BD!$A$3:$A$5001,"&lt;="&amp;$B197,BD!$Y$3:$Y$5001,"&lt;&gt;")=0,"",SUMIFS(BD!$Y$3:$Y$5001,BD!$B$3:$B$5001,D$173,BD!$A$3:$A$5001,_xlfn.MAXIFS(BD!$A$3:$A$5001,BD!$B$3:$B$5001,D$173,BD!$A$3:$A$5001,"&gt;="&amp;$C$7,BD!$A$3:$A$5001,"&lt;="&amp;$B197,BD!$Y$3:$Y$5001,"&lt;&gt;"))))</f>
        <v/>
      </c>
      <c r="E197" s="42" t="str">
        <f>IF(OR($B197="",$A197&gt;$B$9),"",IF(COUNTIFS(BD!$B$3:$B$5001,E$173,BD!$A$3:$A$5001,"&gt;="&amp;$C$7,BD!$A$3:$A$5001,"&lt;="&amp;$B197,BD!$Y$3:$Y$5001,"&lt;&gt;")=0,"",SUMIFS(BD!$Y$3:$Y$5001,BD!$B$3:$B$5001,E$173,BD!$A$3:$A$5001,_xlfn.MAXIFS(BD!$A$3:$A$5001,BD!$B$3:$B$5001,E$173,BD!$A$3:$A$5001,"&gt;="&amp;$C$7,BD!$A$3:$A$5001,"&lt;="&amp;$B197,BD!$Y$3:$Y$5001,"&lt;&gt;"))))</f>
        <v/>
      </c>
      <c r="F197" s="42" t="str">
        <f>IF(OR($B197="",$A197&gt;$B$9),"",IF(COUNTIFS(BD!$B$3:$B$5001,F$173,BD!$A$3:$A$5001,"&gt;="&amp;$C$7,BD!$A$3:$A$5001,"&lt;="&amp;$B197,BD!$Y$3:$Y$5001,"&lt;&gt;")=0,"",SUMIFS(BD!$Y$3:$Y$5001,BD!$B$3:$B$5001,F$173,BD!$A$3:$A$5001,_xlfn.MAXIFS(BD!$A$3:$A$5001,BD!$B$3:$B$5001,F$173,BD!$A$3:$A$5001,"&gt;="&amp;$C$7,BD!$A$3:$A$5001,"&lt;="&amp;$B197,BD!$Y$3:$Y$5001,"&lt;&gt;"))))</f>
        <v/>
      </c>
      <c r="G197" s="42" t="str">
        <f>IF(OR($B197="",$A197&gt;$B$9),"",IF(COUNTIFS(BD!$B$3:$B$5001,G$173,BD!$A$3:$A$5001,"&gt;="&amp;$C$7,BD!$A$3:$A$5001,"&lt;="&amp;$B197,BD!$Y$3:$Y$5001,"&lt;&gt;")=0,"",SUMIFS(BD!$Y$3:$Y$5001,BD!$B$3:$B$5001,G$173,BD!$A$3:$A$5001,_xlfn.MAXIFS(BD!$A$3:$A$5001,BD!$B$3:$B$5001,G$173,BD!$A$3:$A$5001,"&gt;="&amp;$C$7,BD!$A$3:$A$5001,"&lt;="&amp;$B197,BD!$Y$3:$Y$5001,"&lt;&gt;"))))</f>
        <v/>
      </c>
      <c r="H197" s="42" t="str">
        <f>IF(OR($B197="",$A197&gt;$B$9),"",IF(COUNTIFS(BD!$B$3:$B$5001,H$173,BD!$A$3:$A$5001,"&gt;="&amp;$C$7,BD!$A$3:$A$5001,"&lt;="&amp;$B197,BD!$Y$3:$Y$5001,"&lt;&gt;")=0,"",SUMIFS(BD!$Y$3:$Y$5001,BD!$B$3:$B$5001,H$173,BD!$A$3:$A$5001,_xlfn.MAXIFS(BD!$A$3:$A$5001,BD!$B$3:$B$5001,H$173,BD!$A$3:$A$5001,"&gt;="&amp;$C$7,BD!$A$3:$A$5001,"&lt;="&amp;$B197,BD!$Y$3:$Y$5001,"&lt;&gt;"))))</f>
        <v/>
      </c>
      <c r="I197" s="42" t="str">
        <f>IF(OR($B197="",$A197&gt;$B$9),"",IF(COUNTIFS(BD!$B$3:$B$5001,I$173,BD!$A$3:$A$5001,"&gt;="&amp;$C$7,BD!$A$3:$A$5001,"&lt;="&amp;$B197,BD!$Y$3:$Y$5001,"&lt;&gt;")=0,"",SUMIFS(BD!$Y$3:$Y$5001,BD!$B$3:$B$5001,I$173,BD!$A$3:$A$5001,_xlfn.MAXIFS(BD!$A$3:$A$5001,BD!$B$3:$B$5001,I$173,BD!$A$3:$A$5001,"&gt;="&amp;$C$7,BD!$A$3:$A$5001,"&lt;="&amp;$B197,BD!$Y$3:$Y$5001,"&lt;&gt;"))))</f>
        <v/>
      </c>
      <c r="J197" s="42" t="str">
        <f>IF(OR($B197="",$A197&gt;$B$9),"",IF(COUNTIFS(BD!$B$3:$B$5001,J$173,BD!$A$3:$A$5001,"&gt;="&amp;$C$7,BD!$A$3:$A$5001,"&lt;="&amp;$B197,BD!$Y$3:$Y$5001,"&lt;&gt;")=0,"",SUMIFS(BD!$Y$3:$Y$5001,BD!$B$3:$B$5001,J$173,BD!$A$3:$A$5001,_xlfn.MAXIFS(BD!$A$3:$A$5001,BD!$B$3:$B$5001,J$173,BD!$A$3:$A$5001,"&gt;="&amp;$C$7,BD!$A$3:$A$5001,"&lt;="&amp;$B197,BD!$Y$3:$Y$5001,"&lt;&gt;"))))</f>
        <v/>
      </c>
      <c r="K197" s="42" t="str">
        <f>IF(OR($B197="",$A197&gt;$B$9),"",IF(COUNTIFS(BD!$B$3:$B$5001,K$173,BD!$A$3:$A$5001,"&gt;="&amp;$C$7,BD!$A$3:$A$5001,"&lt;="&amp;$B197,BD!$Y$3:$Y$5001,"&lt;&gt;")=0,"",SUMIFS(BD!$Y$3:$Y$5001,BD!$B$3:$B$5001,K$173,BD!$A$3:$A$5001,_xlfn.MAXIFS(BD!$A$3:$A$5001,BD!$B$3:$B$5001,K$173,BD!$A$3:$A$5001,"&gt;="&amp;$C$7,BD!$A$3:$A$5001,"&lt;="&amp;$B197,BD!$Y$3:$Y$5001,"&lt;&gt;"))))</f>
        <v/>
      </c>
    </row>
    <row r="198">
      <c r="A198" s="40">
        <v>25</v>
      </c>
      <c r="B198" s="41">
        <f>$B$36</f>
        <v>46320</v>
      </c>
      <c r="C198" s="42" t="str">
        <f>IF(OR($B198="",$A198&gt;$B$9),"",IF(COUNTIFS(BD!$B$3:$B$5001,C$173,BD!$A$3:$A$5001,"&gt;="&amp;$C$7,BD!$A$3:$A$5001,"&lt;="&amp;$B198,BD!$Y$3:$Y$5001,"&lt;&gt;")=0,"",SUMIFS(BD!$Y$3:$Y$5001,BD!$B$3:$B$5001,C$173,BD!$A$3:$A$5001,_xlfn.MAXIFS(BD!$A$3:$A$5001,BD!$B$3:$B$5001,C$173,BD!$A$3:$A$5001,"&gt;="&amp;$C$7,BD!$A$3:$A$5001,"&lt;="&amp;$B198,BD!$Y$3:$Y$5001,"&lt;&gt;"))))</f>
        <v/>
      </c>
      <c r="D198" s="42" t="str">
        <f>IF(OR($B198="",$A198&gt;$B$9),"",IF(COUNTIFS(BD!$B$3:$B$5001,D$173,BD!$A$3:$A$5001,"&gt;="&amp;$C$7,BD!$A$3:$A$5001,"&lt;="&amp;$B198,BD!$Y$3:$Y$5001,"&lt;&gt;")=0,"",SUMIFS(BD!$Y$3:$Y$5001,BD!$B$3:$B$5001,D$173,BD!$A$3:$A$5001,_xlfn.MAXIFS(BD!$A$3:$A$5001,BD!$B$3:$B$5001,D$173,BD!$A$3:$A$5001,"&gt;="&amp;$C$7,BD!$A$3:$A$5001,"&lt;="&amp;$B198,BD!$Y$3:$Y$5001,"&lt;&gt;"))))</f>
        <v/>
      </c>
      <c r="E198" s="42" t="str">
        <f>IF(OR($B198="",$A198&gt;$B$9),"",IF(COUNTIFS(BD!$B$3:$B$5001,E$173,BD!$A$3:$A$5001,"&gt;="&amp;$C$7,BD!$A$3:$A$5001,"&lt;="&amp;$B198,BD!$Y$3:$Y$5001,"&lt;&gt;")=0,"",SUMIFS(BD!$Y$3:$Y$5001,BD!$B$3:$B$5001,E$173,BD!$A$3:$A$5001,_xlfn.MAXIFS(BD!$A$3:$A$5001,BD!$B$3:$B$5001,E$173,BD!$A$3:$A$5001,"&gt;="&amp;$C$7,BD!$A$3:$A$5001,"&lt;="&amp;$B198,BD!$Y$3:$Y$5001,"&lt;&gt;"))))</f>
        <v/>
      </c>
      <c r="F198" s="42" t="str">
        <f>IF(OR($B198="",$A198&gt;$B$9),"",IF(COUNTIFS(BD!$B$3:$B$5001,F$173,BD!$A$3:$A$5001,"&gt;="&amp;$C$7,BD!$A$3:$A$5001,"&lt;="&amp;$B198,BD!$Y$3:$Y$5001,"&lt;&gt;")=0,"",SUMIFS(BD!$Y$3:$Y$5001,BD!$B$3:$B$5001,F$173,BD!$A$3:$A$5001,_xlfn.MAXIFS(BD!$A$3:$A$5001,BD!$B$3:$B$5001,F$173,BD!$A$3:$A$5001,"&gt;="&amp;$C$7,BD!$A$3:$A$5001,"&lt;="&amp;$B198,BD!$Y$3:$Y$5001,"&lt;&gt;"))))</f>
        <v/>
      </c>
      <c r="G198" s="42" t="str">
        <f>IF(OR($B198="",$A198&gt;$B$9),"",IF(COUNTIFS(BD!$B$3:$B$5001,G$173,BD!$A$3:$A$5001,"&gt;="&amp;$C$7,BD!$A$3:$A$5001,"&lt;="&amp;$B198,BD!$Y$3:$Y$5001,"&lt;&gt;")=0,"",SUMIFS(BD!$Y$3:$Y$5001,BD!$B$3:$B$5001,G$173,BD!$A$3:$A$5001,_xlfn.MAXIFS(BD!$A$3:$A$5001,BD!$B$3:$B$5001,G$173,BD!$A$3:$A$5001,"&gt;="&amp;$C$7,BD!$A$3:$A$5001,"&lt;="&amp;$B198,BD!$Y$3:$Y$5001,"&lt;&gt;"))))</f>
        <v/>
      </c>
      <c r="H198" s="42" t="str">
        <f>IF(OR($B198="",$A198&gt;$B$9),"",IF(COUNTIFS(BD!$B$3:$B$5001,H$173,BD!$A$3:$A$5001,"&gt;="&amp;$C$7,BD!$A$3:$A$5001,"&lt;="&amp;$B198,BD!$Y$3:$Y$5001,"&lt;&gt;")=0,"",SUMIFS(BD!$Y$3:$Y$5001,BD!$B$3:$B$5001,H$173,BD!$A$3:$A$5001,_xlfn.MAXIFS(BD!$A$3:$A$5001,BD!$B$3:$B$5001,H$173,BD!$A$3:$A$5001,"&gt;="&amp;$C$7,BD!$A$3:$A$5001,"&lt;="&amp;$B198,BD!$Y$3:$Y$5001,"&lt;&gt;"))))</f>
        <v/>
      </c>
      <c r="I198" s="42" t="str">
        <f>IF(OR($B198="",$A198&gt;$B$9),"",IF(COUNTIFS(BD!$B$3:$B$5001,I$173,BD!$A$3:$A$5001,"&gt;="&amp;$C$7,BD!$A$3:$A$5001,"&lt;="&amp;$B198,BD!$Y$3:$Y$5001,"&lt;&gt;")=0,"",SUMIFS(BD!$Y$3:$Y$5001,BD!$B$3:$B$5001,I$173,BD!$A$3:$A$5001,_xlfn.MAXIFS(BD!$A$3:$A$5001,BD!$B$3:$B$5001,I$173,BD!$A$3:$A$5001,"&gt;="&amp;$C$7,BD!$A$3:$A$5001,"&lt;="&amp;$B198,BD!$Y$3:$Y$5001,"&lt;&gt;"))))</f>
        <v/>
      </c>
      <c r="J198" s="42" t="str">
        <f>IF(OR($B198="",$A198&gt;$B$9),"",IF(COUNTIFS(BD!$B$3:$B$5001,J$173,BD!$A$3:$A$5001,"&gt;="&amp;$C$7,BD!$A$3:$A$5001,"&lt;="&amp;$B198,BD!$Y$3:$Y$5001,"&lt;&gt;")=0,"",SUMIFS(BD!$Y$3:$Y$5001,BD!$B$3:$B$5001,J$173,BD!$A$3:$A$5001,_xlfn.MAXIFS(BD!$A$3:$A$5001,BD!$B$3:$B$5001,J$173,BD!$A$3:$A$5001,"&gt;="&amp;$C$7,BD!$A$3:$A$5001,"&lt;="&amp;$B198,BD!$Y$3:$Y$5001,"&lt;&gt;"))))</f>
        <v/>
      </c>
      <c r="K198" s="42" t="str">
        <f>IF(OR($B198="",$A198&gt;$B$9),"",IF(COUNTIFS(BD!$B$3:$B$5001,K$173,BD!$A$3:$A$5001,"&gt;="&amp;$C$7,BD!$A$3:$A$5001,"&lt;="&amp;$B198,BD!$Y$3:$Y$5001,"&lt;&gt;")=0,"",SUMIFS(BD!$Y$3:$Y$5001,BD!$B$3:$B$5001,K$173,BD!$A$3:$A$5001,_xlfn.MAXIFS(BD!$A$3:$A$5001,BD!$B$3:$B$5001,K$173,BD!$A$3:$A$5001,"&gt;="&amp;$C$7,BD!$A$3:$A$5001,"&lt;="&amp;$B198,BD!$Y$3:$Y$5001,"&lt;&gt;"))))</f>
        <v/>
      </c>
    </row>
    <row r="199">
      <c r="A199" s="40">
        <v>26</v>
      </c>
      <c r="B199" s="41">
        <f>$B$37</f>
        <v>46321</v>
      </c>
      <c r="C199" s="42" t="str">
        <f>IF(OR($B199="",$A199&gt;$B$9),"",IF(COUNTIFS(BD!$B$3:$B$5001,C$173,BD!$A$3:$A$5001,"&gt;="&amp;$C$7,BD!$A$3:$A$5001,"&lt;="&amp;$B199,BD!$Y$3:$Y$5001,"&lt;&gt;")=0,"",SUMIFS(BD!$Y$3:$Y$5001,BD!$B$3:$B$5001,C$173,BD!$A$3:$A$5001,_xlfn.MAXIFS(BD!$A$3:$A$5001,BD!$B$3:$B$5001,C$173,BD!$A$3:$A$5001,"&gt;="&amp;$C$7,BD!$A$3:$A$5001,"&lt;="&amp;$B199,BD!$Y$3:$Y$5001,"&lt;&gt;"))))</f>
        <v/>
      </c>
      <c r="D199" s="42" t="str">
        <f>IF(OR($B199="",$A199&gt;$B$9),"",IF(COUNTIFS(BD!$B$3:$B$5001,D$173,BD!$A$3:$A$5001,"&gt;="&amp;$C$7,BD!$A$3:$A$5001,"&lt;="&amp;$B199,BD!$Y$3:$Y$5001,"&lt;&gt;")=0,"",SUMIFS(BD!$Y$3:$Y$5001,BD!$B$3:$B$5001,D$173,BD!$A$3:$A$5001,_xlfn.MAXIFS(BD!$A$3:$A$5001,BD!$B$3:$B$5001,D$173,BD!$A$3:$A$5001,"&gt;="&amp;$C$7,BD!$A$3:$A$5001,"&lt;="&amp;$B199,BD!$Y$3:$Y$5001,"&lt;&gt;"))))</f>
        <v/>
      </c>
      <c r="E199" s="42" t="str">
        <f>IF(OR($B199="",$A199&gt;$B$9),"",IF(COUNTIFS(BD!$B$3:$B$5001,E$173,BD!$A$3:$A$5001,"&gt;="&amp;$C$7,BD!$A$3:$A$5001,"&lt;="&amp;$B199,BD!$Y$3:$Y$5001,"&lt;&gt;")=0,"",SUMIFS(BD!$Y$3:$Y$5001,BD!$B$3:$B$5001,E$173,BD!$A$3:$A$5001,_xlfn.MAXIFS(BD!$A$3:$A$5001,BD!$B$3:$B$5001,E$173,BD!$A$3:$A$5001,"&gt;="&amp;$C$7,BD!$A$3:$A$5001,"&lt;="&amp;$B199,BD!$Y$3:$Y$5001,"&lt;&gt;"))))</f>
        <v/>
      </c>
      <c r="F199" s="42" t="str">
        <f>IF(OR($B199="",$A199&gt;$B$9),"",IF(COUNTIFS(BD!$B$3:$B$5001,F$173,BD!$A$3:$A$5001,"&gt;="&amp;$C$7,BD!$A$3:$A$5001,"&lt;="&amp;$B199,BD!$Y$3:$Y$5001,"&lt;&gt;")=0,"",SUMIFS(BD!$Y$3:$Y$5001,BD!$B$3:$B$5001,F$173,BD!$A$3:$A$5001,_xlfn.MAXIFS(BD!$A$3:$A$5001,BD!$B$3:$B$5001,F$173,BD!$A$3:$A$5001,"&gt;="&amp;$C$7,BD!$A$3:$A$5001,"&lt;="&amp;$B199,BD!$Y$3:$Y$5001,"&lt;&gt;"))))</f>
        <v/>
      </c>
      <c r="G199" s="42" t="str">
        <f>IF(OR($B199="",$A199&gt;$B$9),"",IF(COUNTIFS(BD!$B$3:$B$5001,G$173,BD!$A$3:$A$5001,"&gt;="&amp;$C$7,BD!$A$3:$A$5001,"&lt;="&amp;$B199,BD!$Y$3:$Y$5001,"&lt;&gt;")=0,"",SUMIFS(BD!$Y$3:$Y$5001,BD!$B$3:$B$5001,G$173,BD!$A$3:$A$5001,_xlfn.MAXIFS(BD!$A$3:$A$5001,BD!$B$3:$B$5001,G$173,BD!$A$3:$A$5001,"&gt;="&amp;$C$7,BD!$A$3:$A$5001,"&lt;="&amp;$B199,BD!$Y$3:$Y$5001,"&lt;&gt;"))))</f>
        <v/>
      </c>
      <c r="H199" s="42" t="str">
        <f>IF(OR($B199="",$A199&gt;$B$9),"",IF(COUNTIFS(BD!$B$3:$B$5001,H$173,BD!$A$3:$A$5001,"&gt;="&amp;$C$7,BD!$A$3:$A$5001,"&lt;="&amp;$B199,BD!$Y$3:$Y$5001,"&lt;&gt;")=0,"",SUMIFS(BD!$Y$3:$Y$5001,BD!$B$3:$B$5001,H$173,BD!$A$3:$A$5001,_xlfn.MAXIFS(BD!$A$3:$A$5001,BD!$B$3:$B$5001,H$173,BD!$A$3:$A$5001,"&gt;="&amp;$C$7,BD!$A$3:$A$5001,"&lt;="&amp;$B199,BD!$Y$3:$Y$5001,"&lt;&gt;"))))</f>
        <v/>
      </c>
      <c r="I199" s="42" t="str">
        <f>IF(OR($B199="",$A199&gt;$B$9),"",IF(COUNTIFS(BD!$B$3:$B$5001,I$173,BD!$A$3:$A$5001,"&gt;="&amp;$C$7,BD!$A$3:$A$5001,"&lt;="&amp;$B199,BD!$Y$3:$Y$5001,"&lt;&gt;")=0,"",SUMIFS(BD!$Y$3:$Y$5001,BD!$B$3:$B$5001,I$173,BD!$A$3:$A$5001,_xlfn.MAXIFS(BD!$A$3:$A$5001,BD!$B$3:$B$5001,I$173,BD!$A$3:$A$5001,"&gt;="&amp;$C$7,BD!$A$3:$A$5001,"&lt;="&amp;$B199,BD!$Y$3:$Y$5001,"&lt;&gt;"))))</f>
        <v/>
      </c>
      <c r="J199" s="42" t="str">
        <f>IF(OR($B199="",$A199&gt;$B$9),"",IF(COUNTIFS(BD!$B$3:$B$5001,J$173,BD!$A$3:$A$5001,"&gt;="&amp;$C$7,BD!$A$3:$A$5001,"&lt;="&amp;$B199,BD!$Y$3:$Y$5001,"&lt;&gt;")=0,"",SUMIFS(BD!$Y$3:$Y$5001,BD!$B$3:$B$5001,J$173,BD!$A$3:$A$5001,_xlfn.MAXIFS(BD!$A$3:$A$5001,BD!$B$3:$B$5001,J$173,BD!$A$3:$A$5001,"&gt;="&amp;$C$7,BD!$A$3:$A$5001,"&lt;="&amp;$B199,BD!$Y$3:$Y$5001,"&lt;&gt;"))))</f>
        <v/>
      </c>
      <c r="K199" s="42" t="str">
        <f>IF(OR($B199="",$A199&gt;$B$9),"",IF(COUNTIFS(BD!$B$3:$B$5001,K$173,BD!$A$3:$A$5001,"&gt;="&amp;$C$7,BD!$A$3:$A$5001,"&lt;="&amp;$B199,BD!$Y$3:$Y$5001,"&lt;&gt;")=0,"",SUMIFS(BD!$Y$3:$Y$5001,BD!$B$3:$B$5001,K$173,BD!$A$3:$A$5001,_xlfn.MAXIFS(BD!$A$3:$A$5001,BD!$B$3:$B$5001,K$173,BD!$A$3:$A$5001,"&gt;="&amp;$C$7,BD!$A$3:$A$5001,"&lt;="&amp;$B199,BD!$Y$3:$Y$5001,"&lt;&gt;"))))</f>
        <v/>
      </c>
    </row>
    <row r="200">
      <c r="A200" s="40">
        <v>27</v>
      </c>
      <c r="B200" s="41">
        <f>$B$38</f>
        <v>46322</v>
      </c>
      <c r="C200" s="42" t="str">
        <f>IF(OR($B200="",$A200&gt;$B$9),"",IF(COUNTIFS(BD!$B$3:$B$5001,C$173,BD!$A$3:$A$5001,"&gt;="&amp;$C$7,BD!$A$3:$A$5001,"&lt;="&amp;$B200,BD!$Y$3:$Y$5001,"&lt;&gt;")=0,"",SUMIFS(BD!$Y$3:$Y$5001,BD!$B$3:$B$5001,C$173,BD!$A$3:$A$5001,_xlfn.MAXIFS(BD!$A$3:$A$5001,BD!$B$3:$B$5001,C$173,BD!$A$3:$A$5001,"&gt;="&amp;$C$7,BD!$A$3:$A$5001,"&lt;="&amp;$B200,BD!$Y$3:$Y$5001,"&lt;&gt;"))))</f>
        <v/>
      </c>
      <c r="D200" s="42" t="str">
        <f>IF(OR($B200="",$A200&gt;$B$9),"",IF(COUNTIFS(BD!$B$3:$B$5001,D$173,BD!$A$3:$A$5001,"&gt;="&amp;$C$7,BD!$A$3:$A$5001,"&lt;="&amp;$B200,BD!$Y$3:$Y$5001,"&lt;&gt;")=0,"",SUMIFS(BD!$Y$3:$Y$5001,BD!$B$3:$B$5001,D$173,BD!$A$3:$A$5001,_xlfn.MAXIFS(BD!$A$3:$A$5001,BD!$B$3:$B$5001,D$173,BD!$A$3:$A$5001,"&gt;="&amp;$C$7,BD!$A$3:$A$5001,"&lt;="&amp;$B200,BD!$Y$3:$Y$5001,"&lt;&gt;"))))</f>
        <v/>
      </c>
      <c r="E200" s="42" t="str">
        <f>IF(OR($B200="",$A200&gt;$B$9),"",IF(COUNTIFS(BD!$B$3:$B$5001,E$173,BD!$A$3:$A$5001,"&gt;="&amp;$C$7,BD!$A$3:$A$5001,"&lt;="&amp;$B200,BD!$Y$3:$Y$5001,"&lt;&gt;")=0,"",SUMIFS(BD!$Y$3:$Y$5001,BD!$B$3:$B$5001,E$173,BD!$A$3:$A$5001,_xlfn.MAXIFS(BD!$A$3:$A$5001,BD!$B$3:$B$5001,E$173,BD!$A$3:$A$5001,"&gt;="&amp;$C$7,BD!$A$3:$A$5001,"&lt;="&amp;$B200,BD!$Y$3:$Y$5001,"&lt;&gt;"))))</f>
        <v/>
      </c>
      <c r="F200" s="42" t="str">
        <f>IF(OR($B200="",$A200&gt;$B$9),"",IF(COUNTIFS(BD!$B$3:$B$5001,F$173,BD!$A$3:$A$5001,"&gt;="&amp;$C$7,BD!$A$3:$A$5001,"&lt;="&amp;$B200,BD!$Y$3:$Y$5001,"&lt;&gt;")=0,"",SUMIFS(BD!$Y$3:$Y$5001,BD!$B$3:$B$5001,F$173,BD!$A$3:$A$5001,_xlfn.MAXIFS(BD!$A$3:$A$5001,BD!$B$3:$B$5001,F$173,BD!$A$3:$A$5001,"&gt;="&amp;$C$7,BD!$A$3:$A$5001,"&lt;="&amp;$B200,BD!$Y$3:$Y$5001,"&lt;&gt;"))))</f>
        <v/>
      </c>
      <c r="G200" s="42" t="str">
        <f>IF(OR($B200="",$A200&gt;$B$9),"",IF(COUNTIFS(BD!$B$3:$B$5001,G$173,BD!$A$3:$A$5001,"&gt;="&amp;$C$7,BD!$A$3:$A$5001,"&lt;="&amp;$B200,BD!$Y$3:$Y$5001,"&lt;&gt;")=0,"",SUMIFS(BD!$Y$3:$Y$5001,BD!$B$3:$B$5001,G$173,BD!$A$3:$A$5001,_xlfn.MAXIFS(BD!$A$3:$A$5001,BD!$B$3:$B$5001,G$173,BD!$A$3:$A$5001,"&gt;="&amp;$C$7,BD!$A$3:$A$5001,"&lt;="&amp;$B200,BD!$Y$3:$Y$5001,"&lt;&gt;"))))</f>
        <v/>
      </c>
      <c r="H200" s="42" t="str">
        <f>IF(OR($B200="",$A200&gt;$B$9),"",IF(COUNTIFS(BD!$B$3:$B$5001,H$173,BD!$A$3:$A$5001,"&gt;="&amp;$C$7,BD!$A$3:$A$5001,"&lt;="&amp;$B200,BD!$Y$3:$Y$5001,"&lt;&gt;")=0,"",SUMIFS(BD!$Y$3:$Y$5001,BD!$B$3:$B$5001,H$173,BD!$A$3:$A$5001,_xlfn.MAXIFS(BD!$A$3:$A$5001,BD!$B$3:$B$5001,H$173,BD!$A$3:$A$5001,"&gt;="&amp;$C$7,BD!$A$3:$A$5001,"&lt;="&amp;$B200,BD!$Y$3:$Y$5001,"&lt;&gt;"))))</f>
        <v/>
      </c>
      <c r="I200" s="42" t="str">
        <f>IF(OR($B200="",$A200&gt;$B$9),"",IF(COUNTIFS(BD!$B$3:$B$5001,I$173,BD!$A$3:$A$5001,"&gt;="&amp;$C$7,BD!$A$3:$A$5001,"&lt;="&amp;$B200,BD!$Y$3:$Y$5001,"&lt;&gt;")=0,"",SUMIFS(BD!$Y$3:$Y$5001,BD!$B$3:$B$5001,I$173,BD!$A$3:$A$5001,_xlfn.MAXIFS(BD!$A$3:$A$5001,BD!$B$3:$B$5001,I$173,BD!$A$3:$A$5001,"&gt;="&amp;$C$7,BD!$A$3:$A$5001,"&lt;="&amp;$B200,BD!$Y$3:$Y$5001,"&lt;&gt;"))))</f>
        <v/>
      </c>
      <c r="J200" s="42" t="str">
        <f>IF(OR($B200="",$A200&gt;$B$9),"",IF(COUNTIFS(BD!$B$3:$B$5001,J$173,BD!$A$3:$A$5001,"&gt;="&amp;$C$7,BD!$A$3:$A$5001,"&lt;="&amp;$B200,BD!$Y$3:$Y$5001,"&lt;&gt;")=0,"",SUMIFS(BD!$Y$3:$Y$5001,BD!$B$3:$B$5001,J$173,BD!$A$3:$A$5001,_xlfn.MAXIFS(BD!$A$3:$A$5001,BD!$B$3:$B$5001,J$173,BD!$A$3:$A$5001,"&gt;="&amp;$C$7,BD!$A$3:$A$5001,"&lt;="&amp;$B200,BD!$Y$3:$Y$5001,"&lt;&gt;"))))</f>
        <v/>
      </c>
      <c r="K200" s="42" t="str">
        <f>IF(OR($B200="",$A200&gt;$B$9),"",IF(COUNTIFS(BD!$B$3:$B$5001,K$173,BD!$A$3:$A$5001,"&gt;="&amp;$C$7,BD!$A$3:$A$5001,"&lt;="&amp;$B200,BD!$Y$3:$Y$5001,"&lt;&gt;")=0,"",SUMIFS(BD!$Y$3:$Y$5001,BD!$B$3:$B$5001,K$173,BD!$A$3:$A$5001,_xlfn.MAXIFS(BD!$A$3:$A$5001,BD!$B$3:$B$5001,K$173,BD!$A$3:$A$5001,"&gt;="&amp;$C$7,BD!$A$3:$A$5001,"&lt;="&amp;$B200,BD!$Y$3:$Y$5001,"&lt;&gt;"))))</f>
        <v/>
      </c>
    </row>
    <row r="201">
      <c r="A201" s="40">
        <v>28</v>
      </c>
      <c r="B201" s="41">
        <f>$B$39</f>
        <v>46323</v>
      </c>
      <c r="C201" s="42" t="str">
        <f>IF(OR($B201="",$A201&gt;$B$9),"",IF(COUNTIFS(BD!$B$3:$B$5001,C$173,BD!$A$3:$A$5001,"&gt;="&amp;$C$7,BD!$A$3:$A$5001,"&lt;="&amp;$B201,BD!$Y$3:$Y$5001,"&lt;&gt;")=0,"",SUMIFS(BD!$Y$3:$Y$5001,BD!$B$3:$B$5001,C$173,BD!$A$3:$A$5001,_xlfn.MAXIFS(BD!$A$3:$A$5001,BD!$B$3:$B$5001,C$173,BD!$A$3:$A$5001,"&gt;="&amp;$C$7,BD!$A$3:$A$5001,"&lt;="&amp;$B201,BD!$Y$3:$Y$5001,"&lt;&gt;"))))</f>
        <v/>
      </c>
      <c r="D201" s="42" t="str">
        <f>IF(OR($B201="",$A201&gt;$B$9),"",IF(COUNTIFS(BD!$B$3:$B$5001,D$173,BD!$A$3:$A$5001,"&gt;="&amp;$C$7,BD!$A$3:$A$5001,"&lt;="&amp;$B201,BD!$Y$3:$Y$5001,"&lt;&gt;")=0,"",SUMIFS(BD!$Y$3:$Y$5001,BD!$B$3:$B$5001,D$173,BD!$A$3:$A$5001,_xlfn.MAXIFS(BD!$A$3:$A$5001,BD!$B$3:$B$5001,D$173,BD!$A$3:$A$5001,"&gt;="&amp;$C$7,BD!$A$3:$A$5001,"&lt;="&amp;$B201,BD!$Y$3:$Y$5001,"&lt;&gt;"))))</f>
        <v/>
      </c>
      <c r="E201" s="42" t="str">
        <f>IF(OR($B201="",$A201&gt;$B$9),"",IF(COUNTIFS(BD!$B$3:$B$5001,E$173,BD!$A$3:$A$5001,"&gt;="&amp;$C$7,BD!$A$3:$A$5001,"&lt;="&amp;$B201,BD!$Y$3:$Y$5001,"&lt;&gt;")=0,"",SUMIFS(BD!$Y$3:$Y$5001,BD!$B$3:$B$5001,E$173,BD!$A$3:$A$5001,_xlfn.MAXIFS(BD!$A$3:$A$5001,BD!$B$3:$B$5001,E$173,BD!$A$3:$A$5001,"&gt;="&amp;$C$7,BD!$A$3:$A$5001,"&lt;="&amp;$B201,BD!$Y$3:$Y$5001,"&lt;&gt;"))))</f>
        <v/>
      </c>
      <c r="F201" s="42" t="str">
        <f>IF(OR($B201="",$A201&gt;$B$9),"",IF(COUNTIFS(BD!$B$3:$B$5001,F$173,BD!$A$3:$A$5001,"&gt;="&amp;$C$7,BD!$A$3:$A$5001,"&lt;="&amp;$B201,BD!$Y$3:$Y$5001,"&lt;&gt;")=0,"",SUMIFS(BD!$Y$3:$Y$5001,BD!$B$3:$B$5001,F$173,BD!$A$3:$A$5001,_xlfn.MAXIFS(BD!$A$3:$A$5001,BD!$B$3:$B$5001,F$173,BD!$A$3:$A$5001,"&gt;="&amp;$C$7,BD!$A$3:$A$5001,"&lt;="&amp;$B201,BD!$Y$3:$Y$5001,"&lt;&gt;"))))</f>
        <v/>
      </c>
      <c r="G201" s="42" t="str">
        <f>IF(OR($B201="",$A201&gt;$B$9),"",IF(COUNTIFS(BD!$B$3:$B$5001,G$173,BD!$A$3:$A$5001,"&gt;="&amp;$C$7,BD!$A$3:$A$5001,"&lt;="&amp;$B201,BD!$Y$3:$Y$5001,"&lt;&gt;")=0,"",SUMIFS(BD!$Y$3:$Y$5001,BD!$B$3:$B$5001,G$173,BD!$A$3:$A$5001,_xlfn.MAXIFS(BD!$A$3:$A$5001,BD!$B$3:$B$5001,G$173,BD!$A$3:$A$5001,"&gt;="&amp;$C$7,BD!$A$3:$A$5001,"&lt;="&amp;$B201,BD!$Y$3:$Y$5001,"&lt;&gt;"))))</f>
        <v/>
      </c>
      <c r="H201" s="42" t="str">
        <f>IF(OR($B201="",$A201&gt;$B$9),"",IF(COUNTIFS(BD!$B$3:$B$5001,H$173,BD!$A$3:$A$5001,"&gt;="&amp;$C$7,BD!$A$3:$A$5001,"&lt;="&amp;$B201,BD!$Y$3:$Y$5001,"&lt;&gt;")=0,"",SUMIFS(BD!$Y$3:$Y$5001,BD!$B$3:$B$5001,H$173,BD!$A$3:$A$5001,_xlfn.MAXIFS(BD!$A$3:$A$5001,BD!$B$3:$B$5001,H$173,BD!$A$3:$A$5001,"&gt;="&amp;$C$7,BD!$A$3:$A$5001,"&lt;="&amp;$B201,BD!$Y$3:$Y$5001,"&lt;&gt;"))))</f>
        <v/>
      </c>
      <c r="I201" s="42" t="str">
        <f>IF(OR($B201="",$A201&gt;$B$9),"",IF(COUNTIFS(BD!$B$3:$B$5001,I$173,BD!$A$3:$A$5001,"&gt;="&amp;$C$7,BD!$A$3:$A$5001,"&lt;="&amp;$B201,BD!$Y$3:$Y$5001,"&lt;&gt;")=0,"",SUMIFS(BD!$Y$3:$Y$5001,BD!$B$3:$B$5001,I$173,BD!$A$3:$A$5001,_xlfn.MAXIFS(BD!$A$3:$A$5001,BD!$B$3:$B$5001,I$173,BD!$A$3:$A$5001,"&gt;="&amp;$C$7,BD!$A$3:$A$5001,"&lt;="&amp;$B201,BD!$Y$3:$Y$5001,"&lt;&gt;"))))</f>
        <v/>
      </c>
      <c r="J201" s="42" t="str">
        <f>IF(OR($B201="",$A201&gt;$B$9),"",IF(COUNTIFS(BD!$B$3:$B$5001,J$173,BD!$A$3:$A$5001,"&gt;="&amp;$C$7,BD!$A$3:$A$5001,"&lt;="&amp;$B201,BD!$Y$3:$Y$5001,"&lt;&gt;")=0,"",SUMIFS(BD!$Y$3:$Y$5001,BD!$B$3:$B$5001,J$173,BD!$A$3:$A$5001,_xlfn.MAXIFS(BD!$A$3:$A$5001,BD!$B$3:$B$5001,J$173,BD!$A$3:$A$5001,"&gt;="&amp;$C$7,BD!$A$3:$A$5001,"&lt;="&amp;$B201,BD!$Y$3:$Y$5001,"&lt;&gt;"))))</f>
        <v/>
      </c>
      <c r="K201" s="42" t="str">
        <f>IF(OR($B201="",$A201&gt;$B$9),"",IF(COUNTIFS(BD!$B$3:$B$5001,K$173,BD!$A$3:$A$5001,"&gt;="&amp;$C$7,BD!$A$3:$A$5001,"&lt;="&amp;$B201,BD!$Y$3:$Y$5001,"&lt;&gt;")=0,"",SUMIFS(BD!$Y$3:$Y$5001,BD!$B$3:$B$5001,K$173,BD!$A$3:$A$5001,_xlfn.MAXIFS(BD!$A$3:$A$5001,BD!$B$3:$B$5001,K$173,BD!$A$3:$A$5001,"&gt;="&amp;$C$7,BD!$A$3:$A$5001,"&lt;="&amp;$B201,BD!$Y$3:$Y$5001,"&lt;&gt;"))))</f>
        <v/>
      </c>
    </row>
    <row r="202">
      <c r="A202" s="40">
        <v>29</v>
      </c>
      <c r="B202" s="41">
        <f>$B$40</f>
        <v>46324</v>
      </c>
      <c r="C202" s="42" t="str">
        <f>IF(OR($B202="",$A202&gt;$B$9),"",IF(COUNTIFS(BD!$B$3:$B$5001,C$173,BD!$A$3:$A$5001,"&gt;="&amp;$C$7,BD!$A$3:$A$5001,"&lt;="&amp;$B202,BD!$Y$3:$Y$5001,"&lt;&gt;")=0,"",SUMIFS(BD!$Y$3:$Y$5001,BD!$B$3:$B$5001,C$173,BD!$A$3:$A$5001,_xlfn.MAXIFS(BD!$A$3:$A$5001,BD!$B$3:$B$5001,C$173,BD!$A$3:$A$5001,"&gt;="&amp;$C$7,BD!$A$3:$A$5001,"&lt;="&amp;$B202,BD!$Y$3:$Y$5001,"&lt;&gt;"))))</f>
        <v/>
      </c>
      <c r="D202" s="42" t="str">
        <f>IF(OR($B202="",$A202&gt;$B$9),"",IF(COUNTIFS(BD!$B$3:$B$5001,D$173,BD!$A$3:$A$5001,"&gt;="&amp;$C$7,BD!$A$3:$A$5001,"&lt;="&amp;$B202,BD!$Y$3:$Y$5001,"&lt;&gt;")=0,"",SUMIFS(BD!$Y$3:$Y$5001,BD!$B$3:$B$5001,D$173,BD!$A$3:$A$5001,_xlfn.MAXIFS(BD!$A$3:$A$5001,BD!$B$3:$B$5001,D$173,BD!$A$3:$A$5001,"&gt;="&amp;$C$7,BD!$A$3:$A$5001,"&lt;="&amp;$B202,BD!$Y$3:$Y$5001,"&lt;&gt;"))))</f>
        <v/>
      </c>
      <c r="E202" s="42" t="str">
        <f>IF(OR($B202="",$A202&gt;$B$9),"",IF(COUNTIFS(BD!$B$3:$B$5001,E$173,BD!$A$3:$A$5001,"&gt;="&amp;$C$7,BD!$A$3:$A$5001,"&lt;="&amp;$B202,BD!$Y$3:$Y$5001,"&lt;&gt;")=0,"",SUMIFS(BD!$Y$3:$Y$5001,BD!$B$3:$B$5001,E$173,BD!$A$3:$A$5001,_xlfn.MAXIFS(BD!$A$3:$A$5001,BD!$B$3:$B$5001,E$173,BD!$A$3:$A$5001,"&gt;="&amp;$C$7,BD!$A$3:$A$5001,"&lt;="&amp;$B202,BD!$Y$3:$Y$5001,"&lt;&gt;"))))</f>
        <v/>
      </c>
      <c r="F202" s="42" t="str">
        <f>IF(OR($B202="",$A202&gt;$B$9),"",IF(COUNTIFS(BD!$B$3:$B$5001,F$173,BD!$A$3:$A$5001,"&gt;="&amp;$C$7,BD!$A$3:$A$5001,"&lt;="&amp;$B202,BD!$Y$3:$Y$5001,"&lt;&gt;")=0,"",SUMIFS(BD!$Y$3:$Y$5001,BD!$B$3:$B$5001,F$173,BD!$A$3:$A$5001,_xlfn.MAXIFS(BD!$A$3:$A$5001,BD!$B$3:$B$5001,F$173,BD!$A$3:$A$5001,"&gt;="&amp;$C$7,BD!$A$3:$A$5001,"&lt;="&amp;$B202,BD!$Y$3:$Y$5001,"&lt;&gt;"))))</f>
        <v/>
      </c>
      <c r="G202" s="42" t="str">
        <f>IF(OR($B202="",$A202&gt;$B$9),"",IF(COUNTIFS(BD!$B$3:$B$5001,G$173,BD!$A$3:$A$5001,"&gt;="&amp;$C$7,BD!$A$3:$A$5001,"&lt;="&amp;$B202,BD!$Y$3:$Y$5001,"&lt;&gt;")=0,"",SUMIFS(BD!$Y$3:$Y$5001,BD!$B$3:$B$5001,G$173,BD!$A$3:$A$5001,_xlfn.MAXIFS(BD!$A$3:$A$5001,BD!$B$3:$B$5001,G$173,BD!$A$3:$A$5001,"&gt;="&amp;$C$7,BD!$A$3:$A$5001,"&lt;="&amp;$B202,BD!$Y$3:$Y$5001,"&lt;&gt;"))))</f>
        <v/>
      </c>
      <c r="H202" s="42" t="str">
        <f>IF(OR($B202="",$A202&gt;$B$9),"",IF(COUNTIFS(BD!$B$3:$B$5001,H$173,BD!$A$3:$A$5001,"&gt;="&amp;$C$7,BD!$A$3:$A$5001,"&lt;="&amp;$B202,BD!$Y$3:$Y$5001,"&lt;&gt;")=0,"",SUMIFS(BD!$Y$3:$Y$5001,BD!$B$3:$B$5001,H$173,BD!$A$3:$A$5001,_xlfn.MAXIFS(BD!$A$3:$A$5001,BD!$B$3:$B$5001,H$173,BD!$A$3:$A$5001,"&gt;="&amp;$C$7,BD!$A$3:$A$5001,"&lt;="&amp;$B202,BD!$Y$3:$Y$5001,"&lt;&gt;"))))</f>
        <v/>
      </c>
      <c r="I202" s="42" t="str">
        <f>IF(OR($B202="",$A202&gt;$B$9),"",IF(COUNTIFS(BD!$B$3:$B$5001,I$173,BD!$A$3:$A$5001,"&gt;="&amp;$C$7,BD!$A$3:$A$5001,"&lt;="&amp;$B202,BD!$Y$3:$Y$5001,"&lt;&gt;")=0,"",SUMIFS(BD!$Y$3:$Y$5001,BD!$B$3:$B$5001,I$173,BD!$A$3:$A$5001,_xlfn.MAXIFS(BD!$A$3:$A$5001,BD!$B$3:$B$5001,I$173,BD!$A$3:$A$5001,"&gt;="&amp;$C$7,BD!$A$3:$A$5001,"&lt;="&amp;$B202,BD!$Y$3:$Y$5001,"&lt;&gt;"))))</f>
        <v/>
      </c>
      <c r="J202" s="42" t="str">
        <f>IF(OR($B202="",$A202&gt;$B$9),"",IF(COUNTIFS(BD!$B$3:$B$5001,J$173,BD!$A$3:$A$5001,"&gt;="&amp;$C$7,BD!$A$3:$A$5001,"&lt;="&amp;$B202,BD!$Y$3:$Y$5001,"&lt;&gt;")=0,"",SUMIFS(BD!$Y$3:$Y$5001,BD!$B$3:$B$5001,J$173,BD!$A$3:$A$5001,_xlfn.MAXIFS(BD!$A$3:$A$5001,BD!$B$3:$B$5001,J$173,BD!$A$3:$A$5001,"&gt;="&amp;$C$7,BD!$A$3:$A$5001,"&lt;="&amp;$B202,BD!$Y$3:$Y$5001,"&lt;&gt;"))))</f>
        <v/>
      </c>
      <c r="K202" s="42" t="str">
        <f>IF(OR($B202="",$A202&gt;$B$9),"",IF(COUNTIFS(BD!$B$3:$B$5001,K$173,BD!$A$3:$A$5001,"&gt;="&amp;$C$7,BD!$A$3:$A$5001,"&lt;="&amp;$B202,BD!$Y$3:$Y$5001,"&lt;&gt;")=0,"",SUMIFS(BD!$Y$3:$Y$5001,BD!$B$3:$B$5001,K$173,BD!$A$3:$A$5001,_xlfn.MAXIFS(BD!$A$3:$A$5001,BD!$B$3:$B$5001,K$173,BD!$A$3:$A$5001,"&gt;="&amp;$C$7,BD!$A$3:$A$5001,"&lt;="&amp;$B202,BD!$Y$3:$Y$5001,"&lt;&gt;"))))</f>
        <v/>
      </c>
    </row>
    <row r="203">
      <c r="A203" s="40">
        <v>30</v>
      </c>
      <c r="B203" s="41">
        <f>$B$41</f>
        <v>46325</v>
      </c>
      <c r="C203" s="42" t="str">
        <f>IF(OR($B203="",$A203&gt;$B$9),"",IF(COUNTIFS(BD!$B$3:$B$5001,C$173,BD!$A$3:$A$5001,"&gt;="&amp;$C$7,BD!$A$3:$A$5001,"&lt;="&amp;$B203,BD!$Y$3:$Y$5001,"&lt;&gt;")=0,"",SUMIFS(BD!$Y$3:$Y$5001,BD!$B$3:$B$5001,C$173,BD!$A$3:$A$5001,_xlfn.MAXIFS(BD!$A$3:$A$5001,BD!$B$3:$B$5001,C$173,BD!$A$3:$A$5001,"&gt;="&amp;$C$7,BD!$A$3:$A$5001,"&lt;="&amp;$B203,BD!$Y$3:$Y$5001,"&lt;&gt;"))))</f>
        <v/>
      </c>
      <c r="D203" s="42" t="str">
        <f>IF(OR($B203="",$A203&gt;$B$9),"",IF(COUNTIFS(BD!$B$3:$B$5001,D$173,BD!$A$3:$A$5001,"&gt;="&amp;$C$7,BD!$A$3:$A$5001,"&lt;="&amp;$B203,BD!$Y$3:$Y$5001,"&lt;&gt;")=0,"",SUMIFS(BD!$Y$3:$Y$5001,BD!$B$3:$B$5001,D$173,BD!$A$3:$A$5001,_xlfn.MAXIFS(BD!$A$3:$A$5001,BD!$B$3:$B$5001,D$173,BD!$A$3:$A$5001,"&gt;="&amp;$C$7,BD!$A$3:$A$5001,"&lt;="&amp;$B203,BD!$Y$3:$Y$5001,"&lt;&gt;"))))</f>
        <v/>
      </c>
      <c r="E203" s="42" t="str">
        <f>IF(OR($B203="",$A203&gt;$B$9),"",IF(COUNTIFS(BD!$B$3:$B$5001,E$173,BD!$A$3:$A$5001,"&gt;="&amp;$C$7,BD!$A$3:$A$5001,"&lt;="&amp;$B203,BD!$Y$3:$Y$5001,"&lt;&gt;")=0,"",SUMIFS(BD!$Y$3:$Y$5001,BD!$B$3:$B$5001,E$173,BD!$A$3:$A$5001,_xlfn.MAXIFS(BD!$A$3:$A$5001,BD!$B$3:$B$5001,E$173,BD!$A$3:$A$5001,"&gt;="&amp;$C$7,BD!$A$3:$A$5001,"&lt;="&amp;$B203,BD!$Y$3:$Y$5001,"&lt;&gt;"))))</f>
        <v/>
      </c>
      <c r="F203" s="42" t="str">
        <f>IF(OR($B203="",$A203&gt;$B$9),"",IF(COUNTIFS(BD!$B$3:$B$5001,F$173,BD!$A$3:$A$5001,"&gt;="&amp;$C$7,BD!$A$3:$A$5001,"&lt;="&amp;$B203,BD!$Y$3:$Y$5001,"&lt;&gt;")=0,"",SUMIFS(BD!$Y$3:$Y$5001,BD!$B$3:$B$5001,F$173,BD!$A$3:$A$5001,_xlfn.MAXIFS(BD!$A$3:$A$5001,BD!$B$3:$B$5001,F$173,BD!$A$3:$A$5001,"&gt;="&amp;$C$7,BD!$A$3:$A$5001,"&lt;="&amp;$B203,BD!$Y$3:$Y$5001,"&lt;&gt;"))))</f>
        <v/>
      </c>
      <c r="G203" s="42" t="str">
        <f>IF(OR($B203="",$A203&gt;$B$9),"",IF(COUNTIFS(BD!$B$3:$B$5001,G$173,BD!$A$3:$A$5001,"&gt;="&amp;$C$7,BD!$A$3:$A$5001,"&lt;="&amp;$B203,BD!$Y$3:$Y$5001,"&lt;&gt;")=0,"",SUMIFS(BD!$Y$3:$Y$5001,BD!$B$3:$B$5001,G$173,BD!$A$3:$A$5001,_xlfn.MAXIFS(BD!$A$3:$A$5001,BD!$B$3:$B$5001,G$173,BD!$A$3:$A$5001,"&gt;="&amp;$C$7,BD!$A$3:$A$5001,"&lt;="&amp;$B203,BD!$Y$3:$Y$5001,"&lt;&gt;"))))</f>
        <v/>
      </c>
      <c r="H203" s="42" t="str">
        <f>IF(OR($B203="",$A203&gt;$B$9),"",IF(COUNTIFS(BD!$B$3:$B$5001,H$173,BD!$A$3:$A$5001,"&gt;="&amp;$C$7,BD!$A$3:$A$5001,"&lt;="&amp;$B203,BD!$Y$3:$Y$5001,"&lt;&gt;")=0,"",SUMIFS(BD!$Y$3:$Y$5001,BD!$B$3:$B$5001,H$173,BD!$A$3:$A$5001,_xlfn.MAXIFS(BD!$A$3:$A$5001,BD!$B$3:$B$5001,H$173,BD!$A$3:$A$5001,"&gt;="&amp;$C$7,BD!$A$3:$A$5001,"&lt;="&amp;$B203,BD!$Y$3:$Y$5001,"&lt;&gt;"))))</f>
        <v/>
      </c>
      <c r="I203" s="42" t="str">
        <f>IF(OR($B203="",$A203&gt;$B$9),"",IF(COUNTIFS(BD!$B$3:$B$5001,I$173,BD!$A$3:$A$5001,"&gt;="&amp;$C$7,BD!$A$3:$A$5001,"&lt;="&amp;$B203,BD!$Y$3:$Y$5001,"&lt;&gt;")=0,"",SUMIFS(BD!$Y$3:$Y$5001,BD!$B$3:$B$5001,I$173,BD!$A$3:$A$5001,_xlfn.MAXIFS(BD!$A$3:$A$5001,BD!$B$3:$B$5001,I$173,BD!$A$3:$A$5001,"&gt;="&amp;$C$7,BD!$A$3:$A$5001,"&lt;="&amp;$B203,BD!$Y$3:$Y$5001,"&lt;&gt;"))))</f>
        <v/>
      </c>
      <c r="J203" s="42" t="str">
        <f>IF(OR($B203="",$A203&gt;$B$9),"",IF(COUNTIFS(BD!$B$3:$B$5001,J$173,BD!$A$3:$A$5001,"&gt;="&amp;$C$7,BD!$A$3:$A$5001,"&lt;="&amp;$B203,BD!$Y$3:$Y$5001,"&lt;&gt;")=0,"",SUMIFS(BD!$Y$3:$Y$5001,BD!$B$3:$B$5001,J$173,BD!$A$3:$A$5001,_xlfn.MAXIFS(BD!$A$3:$A$5001,BD!$B$3:$B$5001,J$173,BD!$A$3:$A$5001,"&gt;="&amp;$C$7,BD!$A$3:$A$5001,"&lt;="&amp;$B203,BD!$Y$3:$Y$5001,"&lt;&gt;"))))</f>
        <v/>
      </c>
      <c r="K203" s="42" t="str">
        <f>IF(OR($B203="",$A203&gt;$B$9),"",IF(COUNTIFS(BD!$B$3:$B$5001,K$173,BD!$A$3:$A$5001,"&gt;="&amp;$C$7,BD!$A$3:$A$5001,"&lt;="&amp;$B203,BD!$Y$3:$Y$5001,"&lt;&gt;")=0,"",SUMIFS(BD!$Y$3:$Y$5001,BD!$B$3:$B$5001,K$173,BD!$A$3:$A$5001,_xlfn.MAXIFS(BD!$A$3:$A$5001,BD!$B$3:$B$5001,K$173,BD!$A$3:$A$5001,"&gt;="&amp;$C$7,BD!$A$3:$A$5001,"&lt;="&amp;$B203,BD!$Y$3:$Y$5001,"&lt;&gt;"))))</f>
        <v/>
      </c>
    </row>
    <row r="204">
      <c r="A204" s="40">
        <v>31</v>
      </c>
      <c r="B204" s="41">
        <f>$B$42</f>
        <v>46326</v>
      </c>
      <c r="C204" s="42" t="str">
        <f>IF(OR($B204="",$A204&gt;$B$9),"",IF(COUNTIFS(BD!$B$3:$B$5001,C$173,BD!$A$3:$A$5001,"&gt;="&amp;$C$7,BD!$A$3:$A$5001,"&lt;="&amp;$B204,BD!$Y$3:$Y$5001,"&lt;&gt;")=0,"",SUMIFS(BD!$Y$3:$Y$5001,BD!$B$3:$B$5001,C$173,BD!$A$3:$A$5001,_xlfn.MAXIFS(BD!$A$3:$A$5001,BD!$B$3:$B$5001,C$173,BD!$A$3:$A$5001,"&gt;="&amp;$C$7,BD!$A$3:$A$5001,"&lt;="&amp;$B204,BD!$Y$3:$Y$5001,"&lt;&gt;"))))</f>
        <v/>
      </c>
      <c r="D204" s="42" t="str">
        <f>IF(OR($B204="",$A204&gt;$B$9),"",IF(COUNTIFS(BD!$B$3:$B$5001,D$173,BD!$A$3:$A$5001,"&gt;="&amp;$C$7,BD!$A$3:$A$5001,"&lt;="&amp;$B204,BD!$Y$3:$Y$5001,"&lt;&gt;")=0,"",SUMIFS(BD!$Y$3:$Y$5001,BD!$B$3:$B$5001,D$173,BD!$A$3:$A$5001,_xlfn.MAXIFS(BD!$A$3:$A$5001,BD!$B$3:$B$5001,D$173,BD!$A$3:$A$5001,"&gt;="&amp;$C$7,BD!$A$3:$A$5001,"&lt;="&amp;$B204,BD!$Y$3:$Y$5001,"&lt;&gt;"))))</f>
        <v/>
      </c>
      <c r="E204" s="42" t="str">
        <f>IF(OR($B204="",$A204&gt;$B$9),"",IF(COUNTIFS(BD!$B$3:$B$5001,E$173,BD!$A$3:$A$5001,"&gt;="&amp;$C$7,BD!$A$3:$A$5001,"&lt;="&amp;$B204,BD!$Y$3:$Y$5001,"&lt;&gt;")=0,"",SUMIFS(BD!$Y$3:$Y$5001,BD!$B$3:$B$5001,E$173,BD!$A$3:$A$5001,_xlfn.MAXIFS(BD!$A$3:$A$5001,BD!$B$3:$B$5001,E$173,BD!$A$3:$A$5001,"&gt;="&amp;$C$7,BD!$A$3:$A$5001,"&lt;="&amp;$B204,BD!$Y$3:$Y$5001,"&lt;&gt;"))))</f>
        <v/>
      </c>
      <c r="F204" s="42" t="str">
        <f>IF(OR($B204="",$A204&gt;$B$9),"",IF(COUNTIFS(BD!$B$3:$B$5001,F$173,BD!$A$3:$A$5001,"&gt;="&amp;$C$7,BD!$A$3:$A$5001,"&lt;="&amp;$B204,BD!$Y$3:$Y$5001,"&lt;&gt;")=0,"",SUMIFS(BD!$Y$3:$Y$5001,BD!$B$3:$B$5001,F$173,BD!$A$3:$A$5001,_xlfn.MAXIFS(BD!$A$3:$A$5001,BD!$B$3:$B$5001,F$173,BD!$A$3:$A$5001,"&gt;="&amp;$C$7,BD!$A$3:$A$5001,"&lt;="&amp;$B204,BD!$Y$3:$Y$5001,"&lt;&gt;"))))</f>
        <v/>
      </c>
      <c r="G204" s="42" t="str">
        <f>IF(OR($B204="",$A204&gt;$B$9),"",IF(COUNTIFS(BD!$B$3:$B$5001,G$173,BD!$A$3:$A$5001,"&gt;="&amp;$C$7,BD!$A$3:$A$5001,"&lt;="&amp;$B204,BD!$Y$3:$Y$5001,"&lt;&gt;")=0,"",SUMIFS(BD!$Y$3:$Y$5001,BD!$B$3:$B$5001,G$173,BD!$A$3:$A$5001,_xlfn.MAXIFS(BD!$A$3:$A$5001,BD!$B$3:$B$5001,G$173,BD!$A$3:$A$5001,"&gt;="&amp;$C$7,BD!$A$3:$A$5001,"&lt;="&amp;$B204,BD!$Y$3:$Y$5001,"&lt;&gt;"))))</f>
        <v/>
      </c>
      <c r="H204" s="42" t="str">
        <f>IF(OR($B204="",$A204&gt;$B$9),"",IF(COUNTIFS(BD!$B$3:$B$5001,H$173,BD!$A$3:$A$5001,"&gt;="&amp;$C$7,BD!$A$3:$A$5001,"&lt;="&amp;$B204,BD!$Y$3:$Y$5001,"&lt;&gt;")=0,"",SUMIFS(BD!$Y$3:$Y$5001,BD!$B$3:$B$5001,H$173,BD!$A$3:$A$5001,_xlfn.MAXIFS(BD!$A$3:$A$5001,BD!$B$3:$B$5001,H$173,BD!$A$3:$A$5001,"&gt;="&amp;$C$7,BD!$A$3:$A$5001,"&lt;="&amp;$B204,BD!$Y$3:$Y$5001,"&lt;&gt;"))))</f>
        <v/>
      </c>
      <c r="I204" s="42" t="str">
        <f>IF(OR($B204="",$A204&gt;$B$9),"",IF(COUNTIFS(BD!$B$3:$B$5001,I$173,BD!$A$3:$A$5001,"&gt;="&amp;$C$7,BD!$A$3:$A$5001,"&lt;="&amp;$B204,BD!$Y$3:$Y$5001,"&lt;&gt;")=0,"",SUMIFS(BD!$Y$3:$Y$5001,BD!$B$3:$B$5001,I$173,BD!$A$3:$A$5001,_xlfn.MAXIFS(BD!$A$3:$A$5001,BD!$B$3:$B$5001,I$173,BD!$A$3:$A$5001,"&gt;="&amp;$C$7,BD!$A$3:$A$5001,"&lt;="&amp;$B204,BD!$Y$3:$Y$5001,"&lt;&gt;"))))</f>
        <v/>
      </c>
      <c r="J204" s="42" t="str">
        <f>IF(OR($B204="",$A204&gt;$B$9),"",IF(COUNTIFS(BD!$B$3:$B$5001,J$173,BD!$A$3:$A$5001,"&gt;="&amp;$C$7,BD!$A$3:$A$5001,"&lt;="&amp;$B204,BD!$Y$3:$Y$5001,"&lt;&gt;")=0,"",SUMIFS(BD!$Y$3:$Y$5001,BD!$B$3:$B$5001,J$173,BD!$A$3:$A$5001,_xlfn.MAXIFS(BD!$A$3:$A$5001,BD!$B$3:$B$5001,J$173,BD!$A$3:$A$5001,"&gt;="&amp;$C$7,BD!$A$3:$A$5001,"&lt;="&amp;$B204,BD!$Y$3:$Y$5001,"&lt;&gt;"))))</f>
        <v/>
      </c>
      <c r="K204" s="42" t="str">
        <f>IF(OR($B204="",$A204&gt;$B$9),"",IF(COUNTIFS(BD!$B$3:$B$5001,K$173,BD!$A$3:$A$5001,"&gt;="&amp;$C$7,BD!$A$3:$A$5001,"&lt;="&amp;$B204,BD!$Y$3:$Y$5001,"&lt;&gt;")=0,"",SUMIFS(BD!$Y$3:$Y$5001,BD!$B$3:$B$5001,K$173,BD!$A$3:$A$5001,_xlfn.MAXIFS(BD!$A$3:$A$5001,BD!$B$3:$B$5001,K$173,BD!$A$3:$A$5001,"&gt;="&amp;$C$7,BD!$A$3:$A$5001,"&lt;="&amp;$B204,BD!$Y$3:$Y$5001,"&lt;&gt;"))))</f>
        <v/>
      </c>
    </row>
    <row r="205">
      <c r="A205" s="43" t="inlineStr">
        <is>
          <t xml:space="preserve">Mês anterior (último)</t>
        </is>
      </c>
      <c r="C205" s="44" t="str">
        <f>IF(COUNTIFS(BD!$B$3:$B$5001,C$173,BD!$A$3:$A$5001,"&gt;="&amp;$C$8,BD!$A$3:$A$5001,"&lt;="&amp;$D$8,BD!$Y$3:$Y$5001,"&lt;&gt;")=0,"",SUMIFS(BD!$Y$3:$Y$5001,BD!$B$3:$B$5001,C$173,BD!$A$3:$A$5001,_xlfn.MAXIFS(BD!$A$3:$A$5001,BD!$B$3:$B$5001,C$173,BD!$A$3:$A$5001,"&gt;="&amp;$C$8,BD!$A$3:$A$5001,"&lt;="&amp;$D$8,BD!$Y$3:$Y$5001,"&lt;&gt;")))</f>
        <v/>
      </c>
      <c r="D205" s="44" t="str">
        <f>IF(COUNTIFS(BD!$B$3:$B$5001,D$173,BD!$A$3:$A$5001,"&gt;="&amp;$C$8,BD!$A$3:$A$5001,"&lt;="&amp;$D$8,BD!$Y$3:$Y$5001,"&lt;&gt;")=0,"",SUMIFS(BD!$Y$3:$Y$5001,BD!$B$3:$B$5001,D$173,BD!$A$3:$A$5001,_xlfn.MAXIFS(BD!$A$3:$A$5001,BD!$B$3:$B$5001,D$173,BD!$A$3:$A$5001,"&gt;="&amp;$C$8,BD!$A$3:$A$5001,"&lt;="&amp;$D$8,BD!$Y$3:$Y$5001,"&lt;&gt;")))</f>
        <v/>
      </c>
      <c r="E205" s="44" t="str">
        <f>IF(COUNTIFS(BD!$B$3:$B$5001,E$173,BD!$A$3:$A$5001,"&gt;="&amp;$C$8,BD!$A$3:$A$5001,"&lt;="&amp;$D$8,BD!$Y$3:$Y$5001,"&lt;&gt;")=0,"",SUMIFS(BD!$Y$3:$Y$5001,BD!$B$3:$B$5001,E$173,BD!$A$3:$A$5001,_xlfn.MAXIFS(BD!$A$3:$A$5001,BD!$B$3:$B$5001,E$173,BD!$A$3:$A$5001,"&gt;="&amp;$C$8,BD!$A$3:$A$5001,"&lt;="&amp;$D$8,BD!$Y$3:$Y$5001,"&lt;&gt;")))</f>
        <v/>
      </c>
      <c r="F205" s="44" t="str">
        <f>IF(COUNTIFS(BD!$B$3:$B$5001,F$173,BD!$A$3:$A$5001,"&gt;="&amp;$C$8,BD!$A$3:$A$5001,"&lt;="&amp;$D$8,BD!$Y$3:$Y$5001,"&lt;&gt;")=0,"",SUMIFS(BD!$Y$3:$Y$5001,BD!$B$3:$B$5001,F$173,BD!$A$3:$A$5001,_xlfn.MAXIFS(BD!$A$3:$A$5001,BD!$B$3:$B$5001,F$173,BD!$A$3:$A$5001,"&gt;="&amp;$C$8,BD!$A$3:$A$5001,"&lt;="&amp;$D$8,BD!$Y$3:$Y$5001,"&lt;&gt;")))</f>
        <v/>
      </c>
      <c r="G205" s="44" t="str">
        <f>IF(COUNTIFS(BD!$B$3:$B$5001,G$173,BD!$A$3:$A$5001,"&gt;="&amp;$C$8,BD!$A$3:$A$5001,"&lt;="&amp;$D$8,BD!$Y$3:$Y$5001,"&lt;&gt;")=0,"",SUMIFS(BD!$Y$3:$Y$5001,BD!$B$3:$B$5001,G$173,BD!$A$3:$A$5001,_xlfn.MAXIFS(BD!$A$3:$A$5001,BD!$B$3:$B$5001,G$173,BD!$A$3:$A$5001,"&gt;="&amp;$C$8,BD!$A$3:$A$5001,"&lt;="&amp;$D$8,BD!$Y$3:$Y$5001,"&lt;&gt;")))</f>
        <v/>
      </c>
      <c r="H205" s="44" t="str">
        <f>IF(COUNTIFS(BD!$B$3:$B$5001,H$173,BD!$A$3:$A$5001,"&gt;="&amp;$C$8,BD!$A$3:$A$5001,"&lt;="&amp;$D$8,BD!$Y$3:$Y$5001,"&lt;&gt;")=0,"",SUMIFS(BD!$Y$3:$Y$5001,BD!$B$3:$B$5001,H$173,BD!$A$3:$A$5001,_xlfn.MAXIFS(BD!$A$3:$A$5001,BD!$B$3:$B$5001,H$173,BD!$A$3:$A$5001,"&gt;="&amp;$C$8,BD!$A$3:$A$5001,"&lt;="&amp;$D$8,BD!$Y$3:$Y$5001,"&lt;&gt;")))</f>
        <v/>
      </c>
      <c r="I205" s="44" t="str">
        <f>IF(COUNTIFS(BD!$B$3:$B$5001,I$173,BD!$A$3:$A$5001,"&gt;="&amp;$C$8,BD!$A$3:$A$5001,"&lt;="&amp;$D$8,BD!$Y$3:$Y$5001,"&lt;&gt;")=0,"",SUMIFS(BD!$Y$3:$Y$5001,BD!$B$3:$B$5001,I$173,BD!$A$3:$A$5001,_xlfn.MAXIFS(BD!$A$3:$A$5001,BD!$B$3:$B$5001,I$173,BD!$A$3:$A$5001,"&gt;="&amp;$C$8,BD!$A$3:$A$5001,"&lt;="&amp;$D$8,BD!$Y$3:$Y$5001,"&lt;&gt;")))</f>
        <v/>
      </c>
      <c r="J205" s="44" t="str">
        <f>IF(COUNTIFS(BD!$B$3:$B$5001,J$173,BD!$A$3:$A$5001,"&gt;="&amp;$C$8,BD!$A$3:$A$5001,"&lt;="&amp;$D$8,BD!$Y$3:$Y$5001,"&lt;&gt;")=0,"",SUMIFS(BD!$Y$3:$Y$5001,BD!$B$3:$B$5001,J$173,BD!$A$3:$A$5001,_xlfn.MAXIFS(BD!$A$3:$A$5001,BD!$B$3:$B$5001,J$173,BD!$A$3:$A$5001,"&gt;="&amp;$C$8,BD!$A$3:$A$5001,"&lt;="&amp;$D$8,BD!$Y$3:$Y$5001,"&lt;&gt;")))</f>
        <v/>
      </c>
      <c r="K205" s="44" t="str">
        <f>IF(COUNTIFS(BD!$B$3:$B$5001,K$173,BD!$A$3:$A$5001,"&gt;="&amp;$C$8,BD!$A$3:$A$5001,"&lt;="&amp;$D$8,BD!$Y$3:$Y$5001,"&lt;&gt;")=0,"",SUMIFS(BD!$Y$3:$Y$5001,BD!$B$3:$B$5001,K$173,BD!$A$3:$A$5001,_xlfn.MAXIFS(BD!$A$3:$A$5001,BD!$B$3:$B$5001,K$173,BD!$A$3:$A$5001,"&gt;="&amp;$C$8,BD!$A$3:$A$5001,"&lt;="&amp;$D$8,BD!$Y$3:$Y$5001,"&lt;&gt;")))</f>
        <v/>
      </c>
    </row>
    <row r="206">
      <c r="A206" s="43" t="inlineStr">
        <is>
          <t xml:space="preserve">Depósito</t>
        </is>
      </c>
      <c r="C206" s="40" t="inlineStr">
        <is>
          <t xml:space="preserve">TPC</t>
        </is>
      </c>
      <c r="D206" s="40" t="inlineStr">
        <is>
          <t xml:space="preserve">TPC</t>
        </is>
      </c>
      <c r="E206" s="40" t="inlineStr">
        <is>
          <t xml:space="preserve">TPC</t>
        </is>
      </c>
      <c r="F206" s="40" t="inlineStr">
        <is>
          <t xml:space="preserve">TPC</t>
        </is>
      </c>
      <c r="G206" s="40" t="inlineStr">
        <is>
          <t xml:space="preserve">TPC</t>
        </is>
      </c>
      <c r="H206" s="40" t="inlineStr">
        <is>
          <t xml:space="preserve">TPC</t>
        </is>
      </c>
      <c r="I206" s="40" t="inlineStr">
        <is>
          <t xml:space="preserve">TPC</t>
        </is>
      </c>
      <c r="J206" s="40" t="inlineStr">
        <is>
          <t xml:space="preserve">TPC</t>
        </is>
      </c>
      <c r="K206" s="40" t="inlineStr">
        <is>
          <t xml:space="preserve">TPC</t>
        </is>
      </c>
    </row>
    <row r="208">
      <c r="A208" s="37" t="inlineStr">
        <is>
          <t xml:space="preserve">Posições Disponíveis</t>
        </is>
      </c>
      <c r="B208" s="37" t="inlineStr">
        <is>
          <t xml:space="preserve">Data</t>
        </is>
      </c>
      <c r="C208" s="37" t="inlineStr">
        <is>
          <t xml:space="preserve">Alpargatas</t>
        </is>
      </c>
      <c r="D208" s="37" t="inlineStr">
        <is>
          <t xml:space="preserve">Basf</t>
        </is>
      </c>
      <c r="E208" s="37" t="inlineStr">
        <is>
          <t xml:space="preserve">Beautybiz</t>
        </is>
      </c>
      <c r="F208" s="37" t="inlineStr">
        <is>
          <t xml:space="preserve">Boticário</t>
        </is>
      </c>
      <c r="G208" s="37" t="inlineStr">
        <is>
          <t xml:space="preserve">GE Vernova</t>
        </is>
      </c>
      <c r="H208" s="37" t="inlineStr">
        <is>
          <t xml:space="preserve">Omnilife</t>
        </is>
      </c>
      <c r="I208" s="37" t="inlineStr">
        <is>
          <t xml:space="preserve">Supply</t>
        </is>
      </c>
      <c r="J208" s="37" t="inlineStr">
        <is>
          <t xml:space="preserve">Vedacit</t>
        </is>
      </c>
      <c r="K208" s="37" t="inlineStr">
        <is>
          <t xml:space="preserve">Vestas</t>
        </is>
      </c>
    </row>
    <row r="209">
      <c r="A209" s="40">
        <v>1</v>
      </c>
      <c r="B209" s="41">
        <f>$B$12</f>
        <v>46296</v>
      </c>
      <c r="C209" s="42" t="str">
        <f>IF(OR($B209="",$A209&gt;$B$9),"",IF(COUNTIFS(BD!$B$3:$B$5001,C$208,BD!$A$3:$A$5001,"&gt;="&amp;$C$7,BD!$A$3:$A$5001,"&lt;="&amp;$B209,BD!$X$3:$X$5001,"&lt;&gt;")=0,"",SUMIFS(BD!$X$3:$X$5001,BD!$B$3:$B$5001,C$208,BD!$A$3:$A$5001,_xlfn.MAXIFS(BD!$A$3:$A$5001,BD!$B$3:$B$5001,C$208,BD!$A$3:$A$5001,"&gt;="&amp;$C$7,BD!$A$3:$A$5001,"&lt;="&amp;$B209,BD!$X$3:$X$5001,"&lt;&gt;"))))</f>
        <v/>
      </c>
      <c r="D209" s="42" t="str">
        <f>IF(OR($B209="",$A209&gt;$B$9),"",IF(COUNTIFS(BD!$B$3:$B$5001,D$208,BD!$A$3:$A$5001,"&gt;="&amp;$C$7,BD!$A$3:$A$5001,"&lt;="&amp;$B209,BD!$X$3:$X$5001,"&lt;&gt;")=0,"",SUMIFS(BD!$X$3:$X$5001,BD!$B$3:$B$5001,D$208,BD!$A$3:$A$5001,_xlfn.MAXIFS(BD!$A$3:$A$5001,BD!$B$3:$B$5001,D$208,BD!$A$3:$A$5001,"&gt;="&amp;$C$7,BD!$A$3:$A$5001,"&lt;="&amp;$B209,BD!$X$3:$X$5001,"&lt;&gt;"))))</f>
        <v/>
      </c>
      <c r="E209" s="42" t="str">
        <f>IF(OR($B209="",$A209&gt;$B$9),"",IF(COUNTIFS(BD!$B$3:$B$5001,E$208,BD!$A$3:$A$5001,"&gt;="&amp;$C$7,BD!$A$3:$A$5001,"&lt;="&amp;$B209,BD!$X$3:$X$5001,"&lt;&gt;")=0,"",SUMIFS(BD!$X$3:$X$5001,BD!$B$3:$B$5001,E$208,BD!$A$3:$A$5001,_xlfn.MAXIFS(BD!$A$3:$A$5001,BD!$B$3:$B$5001,E$208,BD!$A$3:$A$5001,"&gt;="&amp;$C$7,BD!$A$3:$A$5001,"&lt;="&amp;$B209,BD!$X$3:$X$5001,"&lt;&gt;"))))</f>
        <v/>
      </c>
      <c r="F209" s="42" t="str">
        <f>IF(OR($B209="",$A209&gt;$B$9),"",IF(COUNTIFS(BD!$B$3:$B$5001,F$208,BD!$A$3:$A$5001,"&gt;="&amp;$C$7,BD!$A$3:$A$5001,"&lt;="&amp;$B209,BD!$X$3:$X$5001,"&lt;&gt;")=0,"",SUMIFS(BD!$X$3:$X$5001,BD!$B$3:$B$5001,F$208,BD!$A$3:$A$5001,_xlfn.MAXIFS(BD!$A$3:$A$5001,BD!$B$3:$B$5001,F$208,BD!$A$3:$A$5001,"&gt;="&amp;$C$7,BD!$A$3:$A$5001,"&lt;="&amp;$B209,BD!$X$3:$X$5001,"&lt;&gt;"))))</f>
        <v/>
      </c>
      <c r="G209" s="42" t="str">
        <f>IF(OR($B209="",$A209&gt;$B$9),"",IF(COUNTIFS(BD!$B$3:$B$5001,G$208,BD!$A$3:$A$5001,"&gt;="&amp;$C$7,BD!$A$3:$A$5001,"&lt;="&amp;$B209,BD!$X$3:$X$5001,"&lt;&gt;")=0,"",SUMIFS(BD!$X$3:$X$5001,BD!$B$3:$B$5001,G$208,BD!$A$3:$A$5001,_xlfn.MAXIFS(BD!$A$3:$A$5001,BD!$B$3:$B$5001,G$208,BD!$A$3:$A$5001,"&gt;="&amp;$C$7,BD!$A$3:$A$5001,"&lt;="&amp;$B209,BD!$X$3:$X$5001,"&lt;&gt;"))))</f>
        <v/>
      </c>
      <c r="H209" s="42" t="str">
        <f>IF(OR($B209="",$A209&gt;$B$9),"",IF(COUNTIFS(BD!$B$3:$B$5001,H$208,BD!$A$3:$A$5001,"&gt;="&amp;$C$7,BD!$A$3:$A$5001,"&lt;="&amp;$B209,BD!$X$3:$X$5001,"&lt;&gt;")=0,"",SUMIFS(BD!$X$3:$X$5001,BD!$B$3:$B$5001,H$208,BD!$A$3:$A$5001,_xlfn.MAXIFS(BD!$A$3:$A$5001,BD!$B$3:$B$5001,H$208,BD!$A$3:$A$5001,"&gt;="&amp;$C$7,BD!$A$3:$A$5001,"&lt;="&amp;$B209,BD!$X$3:$X$5001,"&lt;&gt;"))))</f>
        <v/>
      </c>
      <c r="I209" s="42" t="str">
        <f>IF(OR($B209="",$A209&gt;$B$9),"",IF(COUNTIFS(BD!$B$3:$B$5001,I$208,BD!$A$3:$A$5001,"&gt;="&amp;$C$7,BD!$A$3:$A$5001,"&lt;="&amp;$B209,BD!$X$3:$X$5001,"&lt;&gt;")=0,"",SUMIFS(BD!$X$3:$X$5001,BD!$B$3:$B$5001,I$208,BD!$A$3:$A$5001,_xlfn.MAXIFS(BD!$A$3:$A$5001,BD!$B$3:$B$5001,I$208,BD!$A$3:$A$5001,"&gt;="&amp;$C$7,BD!$A$3:$A$5001,"&lt;="&amp;$B209,BD!$X$3:$X$5001,"&lt;&gt;"))))</f>
        <v/>
      </c>
      <c r="J209" s="42" t="str">
        <f>IF(OR($B209="",$A209&gt;$B$9),"",IF(COUNTIFS(BD!$B$3:$B$5001,J$208,BD!$A$3:$A$5001,"&gt;="&amp;$C$7,BD!$A$3:$A$5001,"&lt;="&amp;$B209,BD!$X$3:$X$5001,"&lt;&gt;")=0,"",SUMIFS(BD!$X$3:$X$5001,BD!$B$3:$B$5001,J$208,BD!$A$3:$A$5001,_xlfn.MAXIFS(BD!$A$3:$A$5001,BD!$B$3:$B$5001,J$208,BD!$A$3:$A$5001,"&gt;="&amp;$C$7,BD!$A$3:$A$5001,"&lt;="&amp;$B209,BD!$X$3:$X$5001,"&lt;&gt;"))))</f>
        <v/>
      </c>
      <c r="K209" s="42" t="str">
        <f>IF(OR($B209="",$A209&gt;$B$9),"",IF(COUNTIFS(BD!$B$3:$B$5001,K$208,BD!$A$3:$A$5001,"&gt;="&amp;$C$7,BD!$A$3:$A$5001,"&lt;="&amp;$B209,BD!$X$3:$X$5001,"&lt;&gt;")=0,"",SUMIFS(BD!$X$3:$X$5001,BD!$B$3:$B$5001,K$208,BD!$A$3:$A$5001,_xlfn.MAXIFS(BD!$A$3:$A$5001,BD!$B$3:$B$5001,K$208,BD!$A$3:$A$5001,"&gt;="&amp;$C$7,BD!$A$3:$A$5001,"&lt;="&amp;$B209,BD!$X$3:$X$5001,"&lt;&gt;"))))</f>
        <v/>
      </c>
    </row>
    <row r="210">
      <c r="A210" s="40">
        <v>2</v>
      </c>
      <c r="B210" s="41">
        <f>$B$13</f>
        <v>46297</v>
      </c>
      <c r="C210" s="42" t="str">
        <f>IF(OR($B210="",$A210&gt;$B$9),"",IF(COUNTIFS(BD!$B$3:$B$5001,C$208,BD!$A$3:$A$5001,"&gt;="&amp;$C$7,BD!$A$3:$A$5001,"&lt;="&amp;$B210,BD!$X$3:$X$5001,"&lt;&gt;")=0,"",SUMIFS(BD!$X$3:$X$5001,BD!$B$3:$B$5001,C$208,BD!$A$3:$A$5001,_xlfn.MAXIFS(BD!$A$3:$A$5001,BD!$B$3:$B$5001,C$208,BD!$A$3:$A$5001,"&gt;="&amp;$C$7,BD!$A$3:$A$5001,"&lt;="&amp;$B210,BD!$X$3:$X$5001,"&lt;&gt;"))))</f>
        <v/>
      </c>
      <c r="D210" s="42" t="str">
        <f>IF(OR($B210="",$A210&gt;$B$9),"",IF(COUNTIFS(BD!$B$3:$B$5001,D$208,BD!$A$3:$A$5001,"&gt;="&amp;$C$7,BD!$A$3:$A$5001,"&lt;="&amp;$B210,BD!$X$3:$X$5001,"&lt;&gt;")=0,"",SUMIFS(BD!$X$3:$X$5001,BD!$B$3:$B$5001,D$208,BD!$A$3:$A$5001,_xlfn.MAXIFS(BD!$A$3:$A$5001,BD!$B$3:$B$5001,D$208,BD!$A$3:$A$5001,"&gt;="&amp;$C$7,BD!$A$3:$A$5001,"&lt;="&amp;$B210,BD!$X$3:$X$5001,"&lt;&gt;"))))</f>
        <v/>
      </c>
      <c r="E210" s="42" t="str">
        <f>IF(OR($B210="",$A210&gt;$B$9),"",IF(COUNTIFS(BD!$B$3:$B$5001,E$208,BD!$A$3:$A$5001,"&gt;="&amp;$C$7,BD!$A$3:$A$5001,"&lt;="&amp;$B210,BD!$X$3:$X$5001,"&lt;&gt;")=0,"",SUMIFS(BD!$X$3:$X$5001,BD!$B$3:$B$5001,E$208,BD!$A$3:$A$5001,_xlfn.MAXIFS(BD!$A$3:$A$5001,BD!$B$3:$B$5001,E$208,BD!$A$3:$A$5001,"&gt;="&amp;$C$7,BD!$A$3:$A$5001,"&lt;="&amp;$B210,BD!$X$3:$X$5001,"&lt;&gt;"))))</f>
        <v/>
      </c>
      <c r="F210" s="42" t="str">
        <f>IF(OR($B210="",$A210&gt;$B$9),"",IF(COUNTIFS(BD!$B$3:$B$5001,F$208,BD!$A$3:$A$5001,"&gt;="&amp;$C$7,BD!$A$3:$A$5001,"&lt;="&amp;$B210,BD!$X$3:$X$5001,"&lt;&gt;")=0,"",SUMIFS(BD!$X$3:$X$5001,BD!$B$3:$B$5001,F$208,BD!$A$3:$A$5001,_xlfn.MAXIFS(BD!$A$3:$A$5001,BD!$B$3:$B$5001,F$208,BD!$A$3:$A$5001,"&gt;="&amp;$C$7,BD!$A$3:$A$5001,"&lt;="&amp;$B210,BD!$X$3:$X$5001,"&lt;&gt;"))))</f>
        <v/>
      </c>
      <c r="G210" s="42" t="str">
        <f>IF(OR($B210="",$A210&gt;$B$9),"",IF(COUNTIFS(BD!$B$3:$B$5001,G$208,BD!$A$3:$A$5001,"&gt;="&amp;$C$7,BD!$A$3:$A$5001,"&lt;="&amp;$B210,BD!$X$3:$X$5001,"&lt;&gt;")=0,"",SUMIFS(BD!$X$3:$X$5001,BD!$B$3:$B$5001,G$208,BD!$A$3:$A$5001,_xlfn.MAXIFS(BD!$A$3:$A$5001,BD!$B$3:$B$5001,G$208,BD!$A$3:$A$5001,"&gt;="&amp;$C$7,BD!$A$3:$A$5001,"&lt;="&amp;$B210,BD!$X$3:$X$5001,"&lt;&gt;"))))</f>
        <v/>
      </c>
      <c r="H210" s="42" t="str">
        <f>IF(OR($B210="",$A210&gt;$B$9),"",IF(COUNTIFS(BD!$B$3:$B$5001,H$208,BD!$A$3:$A$5001,"&gt;="&amp;$C$7,BD!$A$3:$A$5001,"&lt;="&amp;$B210,BD!$X$3:$X$5001,"&lt;&gt;")=0,"",SUMIFS(BD!$X$3:$X$5001,BD!$B$3:$B$5001,H$208,BD!$A$3:$A$5001,_xlfn.MAXIFS(BD!$A$3:$A$5001,BD!$B$3:$B$5001,H$208,BD!$A$3:$A$5001,"&gt;="&amp;$C$7,BD!$A$3:$A$5001,"&lt;="&amp;$B210,BD!$X$3:$X$5001,"&lt;&gt;"))))</f>
        <v/>
      </c>
      <c r="I210" s="42" t="str">
        <f>IF(OR($B210="",$A210&gt;$B$9),"",IF(COUNTIFS(BD!$B$3:$B$5001,I$208,BD!$A$3:$A$5001,"&gt;="&amp;$C$7,BD!$A$3:$A$5001,"&lt;="&amp;$B210,BD!$X$3:$X$5001,"&lt;&gt;")=0,"",SUMIFS(BD!$X$3:$X$5001,BD!$B$3:$B$5001,I$208,BD!$A$3:$A$5001,_xlfn.MAXIFS(BD!$A$3:$A$5001,BD!$B$3:$B$5001,I$208,BD!$A$3:$A$5001,"&gt;="&amp;$C$7,BD!$A$3:$A$5001,"&lt;="&amp;$B210,BD!$X$3:$X$5001,"&lt;&gt;"))))</f>
        <v/>
      </c>
      <c r="J210" s="42" t="str">
        <f>IF(OR($B210="",$A210&gt;$B$9),"",IF(COUNTIFS(BD!$B$3:$B$5001,J$208,BD!$A$3:$A$5001,"&gt;="&amp;$C$7,BD!$A$3:$A$5001,"&lt;="&amp;$B210,BD!$X$3:$X$5001,"&lt;&gt;")=0,"",SUMIFS(BD!$X$3:$X$5001,BD!$B$3:$B$5001,J$208,BD!$A$3:$A$5001,_xlfn.MAXIFS(BD!$A$3:$A$5001,BD!$B$3:$B$5001,J$208,BD!$A$3:$A$5001,"&gt;="&amp;$C$7,BD!$A$3:$A$5001,"&lt;="&amp;$B210,BD!$X$3:$X$5001,"&lt;&gt;"))))</f>
        <v/>
      </c>
      <c r="K210" s="42" t="str">
        <f>IF(OR($B210="",$A210&gt;$B$9),"",IF(COUNTIFS(BD!$B$3:$B$5001,K$208,BD!$A$3:$A$5001,"&gt;="&amp;$C$7,BD!$A$3:$A$5001,"&lt;="&amp;$B210,BD!$X$3:$X$5001,"&lt;&gt;")=0,"",SUMIFS(BD!$X$3:$X$5001,BD!$B$3:$B$5001,K$208,BD!$A$3:$A$5001,_xlfn.MAXIFS(BD!$A$3:$A$5001,BD!$B$3:$B$5001,K$208,BD!$A$3:$A$5001,"&gt;="&amp;$C$7,BD!$A$3:$A$5001,"&lt;="&amp;$B210,BD!$X$3:$X$5001,"&lt;&gt;"))))</f>
        <v/>
      </c>
    </row>
    <row r="211">
      <c r="A211" s="40">
        <v>3</v>
      </c>
      <c r="B211" s="41">
        <f>$B$14</f>
        <v>46298</v>
      </c>
      <c r="C211" s="42" t="str">
        <f>IF(OR($B211="",$A211&gt;$B$9),"",IF(COUNTIFS(BD!$B$3:$B$5001,C$208,BD!$A$3:$A$5001,"&gt;="&amp;$C$7,BD!$A$3:$A$5001,"&lt;="&amp;$B211,BD!$X$3:$X$5001,"&lt;&gt;")=0,"",SUMIFS(BD!$X$3:$X$5001,BD!$B$3:$B$5001,C$208,BD!$A$3:$A$5001,_xlfn.MAXIFS(BD!$A$3:$A$5001,BD!$B$3:$B$5001,C$208,BD!$A$3:$A$5001,"&gt;="&amp;$C$7,BD!$A$3:$A$5001,"&lt;="&amp;$B211,BD!$X$3:$X$5001,"&lt;&gt;"))))</f>
        <v/>
      </c>
      <c r="D211" s="42" t="str">
        <f>IF(OR($B211="",$A211&gt;$B$9),"",IF(COUNTIFS(BD!$B$3:$B$5001,D$208,BD!$A$3:$A$5001,"&gt;="&amp;$C$7,BD!$A$3:$A$5001,"&lt;="&amp;$B211,BD!$X$3:$X$5001,"&lt;&gt;")=0,"",SUMIFS(BD!$X$3:$X$5001,BD!$B$3:$B$5001,D$208,BD!$A$3:$A$5001,_xlfn.MAXIFS(BD!$A$3:$A$5001,BD!$B$3:$B$5001,D$208,BD!$A$3:$A$5001,"&gt;="&amp;$C$7,BD!$A$3:$A$5001,"&lt;="&amp;$B211,BD!$X$3:$X$5001,"&lt;&gt;"))))</f>
        <v/>
      </c>
      <c r="E211" s="42" t="str">
        <f>IF(OR($B211="",$A211&gt;$B$9),"",IF(COUNTIFS(BD!$B$3:$B$5001,E$208,BD!$A$3:$A$5001,"&gt;="&amp;$C$7,BD!$A$3:$A$5001,"&lt;="&amp;$B211,BD!$X$3:$X$5001,"&lt;&gt;")=0,"",SUMIFS(BD!$X$3:$X$5001,BD!$B$3:$B$5001,E$208,BD!$A$3:$A$5001,_xlfn.MAXIFS(BD!$A$3:$A$5001,BD!$B$3:$B$5001,E$208,BD!$A$3:$A$5001,"&gt;="&amp;$C$7,BD!$A$3:$A$5001,"&lt;="&amp;$B211,BD!$X$3:$X$5001,"&lt;&gt;"))))</f>
        <v/>
      </c>
      <c r="F211" s="42" t="str">
        <f>IF(OR($B211="",$A211&gt;$B$9),"",IF(COUNTIFS(BD!$B$3:$B$5001,F$208,BD!$A$3:$A$5001,"&gt;="&amp;$C$7,BD!$A$3:$A$5001,"&lt;="&amp;$B211,BD!$X$3:$X$5001,"&lt;&gt;")=0,"",SUMIFS(BD!$X$3:$X$5001,BD!$B$3:$B$5001,F$208,BD!$A$3:$A$5001,_xlfn.MAXIFS(BD!$A$3:$A$5001,BD!$B$3:$B$5001,F$208,BD!$A$3:$A$5001,"&gt;="&amp;$C$7,BD!$A$3:$A$5001,"&lt;="&amp;$B211,BD!$X$3:$X$5001,"&lt;&gt;"))))</f>
        <v/>
      </c>
      <c r="G211" s="42" t="str">
        <f>IF(OR($B211="",$A211&gt;$B$9),"",IF(COUNTIFS(BD!$B$3:$B$5001,G$208,BD!$A$3:$A$5001,"&gt;="&amp;$C$7,BD!$A$3:$A$5001,"&lt;="&amp;$B211,BD!$X$3:$X$5001,"&lt;&gt;")=0,"",SUMIFS(BD!$X$3:$X$5001,BD!$B$3:$B$5001,G$208,BD!$A$3:$A$5001,_xlfn.MAXIFS(BD!$A$3:$A$5001,BD!$B$3:$B$5001,G$208,BD!$A$3:$A$5001,"&gt;="&amp;$C$7,BD!$A$3:$A$5001,"&lt;="&amp;$B211,BD!$X$3:$X$5001,"&lt;&gt;"))))</f>
        <v/>
      </c>
      <c r="H211" s="42" t="str">
        <f>IF(OR($B211="",$A211&gt;$B$9),"",IF(COUNTIFS(BD!$B$3:$B$5001,H$208,BD!$A$3:$A$5001,"&gt;="&amp;$C$7,BD!$A$3:$A$5001,"&lt;="&amp;$B211,BD!$X$3:$X$5001,"&lt;&gt;")=0,"",SUMIFS(BD!$X$3:$X$5001,BD!$B$3:$B$5001,H$208,BD!$A$3:$A$5001,_xlfn.MAXIFS(BD!$A$3:$A$5001,BD!$B$3:$B$5001,H$208,BD!$A$3:$A$5001,"&gt;="&amp;$C$7,BD!$A$3:$A$5001,"&lt;="&amp;$B211,BD!$X$3:$X$5001,"&lt;&gt;"))))</f>
        <v/>
      </c>
      <c r="I211" s="42" t="str">
        <f>IF(OR($B211="",$A211&gt;$B$9),"",IF(COUNTIFS(BD!$B$3:$B$5001,I$208,BD!$A$3:$A$5001,"&gt;="&amp;$C$7,BD!$A$3:$A$5001,"&lt;="&amp;$B211,BD!$X$3:$X$5001,"&lt;&gt;")=0,"",SUMIFS(BD!$X$3:$X$5001,BD!$B$3:$B$5001,I$208,BD!$A$3:$A$5001,_xlfn.MAXIFS(BD!$A$3:$A$5001,BD!$B$3:$B$5001,I$208,BD!$A$3:$A$5001,"&gt;="&amp;$C$7,BD!$A$3:$A$5001,"&lt;="&amp;$B211,BD!$X$3:$X$5001,"&lt;&gt;"))))</f>
        <v/>
      </c>
      <c r="J211" s="42" t="str">
        <f>IF(OR($B211="",$A211&gt;$B$9),"",IF(COUNTIFS(BD!$B$3:$B$5001,J$208,BD!$A$3:$A$5001,"&gt;="&amp;$C$7,BD!$A$3:$A$5001,"&lt;="&amp;$B211,BD!$X$3:$X$5001,"&lt;&gt;")=0,"",SUMIFS(BD!$X$3:$X$5001,BD!$B$3:$B$5001,J$208,BD!$A$3:$A$5001,_xlfn.MAXIFS(BD!$A$3:$A$5001,BD!$B$3:$B$5001,J$208,BD!$A$3:$A$5001,"&gt;="&amp;$C$7,BD!$A$3:$A$5001,"&lt;="&amp;$B211,BD!$X$3:$X$5001,"&lt;&gt;"))))</f>
        <v/>
      </c>
      <c r="K211" s="42" t="str">
        <f>IF(OR($B211="",$A211&gt;$B$9),"",IF(COUNTIFS(BD!$B$3:$B$5001,K$208,BD!$A$3:$A$5001,"&gt;="&amp;$C$7,BD!$A$3:$A$5001,"&lt;="&amp;$B211,BD!$X$3:$X$5001,"&lt;&gt;")=0,"",SUMIFS(BD!$X$3:$X$5001,BD!$B$3:$B$5001,K$208,BD!$A$3:$A$5001,_xlfn.MAXIFS(BD!$A$3:$A$5001,BD!$B$3:$B$5001,K$208,BD!$A$3:$A$5001,"&gt;="&amp;$C$7,BD!$A$3:$A$5001,"&lt;="&amp;$B211,BD!$X$3:$X$5001,"&lt;&gt;"))))</f>
        <v/>
      </c>
    </row>
    <row r="212">
      <c r="A212" s="40">
        <v>4</v>
      </c>
      <c r="B212" s="41">
        <f>$B$15</f>
        <v>46299</v>
      </c>
      <c r="C212" s="42" t="str">
        <f>IF(OR($B212="",$A212&gt;$B$9),"",IF(COUNTIFS(BD!$B$3:$B$5001,C$208,BD!$A$3:$A$5001,"&gt;="&amp;$C$7,BD!$A$3:$A$5001,"&lt;="&amp;$B212,BD!$X$3:$X$5001,"&lt;&gt;")=0,"",SUMIFS(BD!$X$3:$X$5001,BD!$B$3:$B$5001,C$208,BD!$A$3:$A$5001,_xlfn.MAXIFS(BD!$A$3:$A$5001,BD!$B$3:$B$5001,C$208,BD!$A$3:$A$5001,"&gt;="&amp;$C$7,BD!$A$3:$A$5001,"&lt;="&amp;$B212,BD!$X$3:$X$5001,"&lt;&gt;"))))</f>
        <v/>
      </c>
      <c r="D212" s="42" t="str">
        <f>IF(OR($B212="",$A212&gt;$B$9),"",IF(COUNTIFS(BD!$B$3:$B$5001,D$208,BD!$A$3:$A$5001,"&gt;="&amp;$C$7,BD!$A$3:$A$5001,"&lt;="&amp;$B212,BD!$X$3:$X$5001,"&lt;&gt;")=0,"",SUMIFS(BD!$X$3:$X$5001,BD!$B$3:$B$5001,D$208,BD!$A$3:$A$5001,_xlfn.MAXIFS(BD!$A$3:$A$5001,BD!$B$3:$B$5001,D$208,BD!$A$3:$A$5001,"&gt;="&amp;$C$7,BD!$A$3:$A$5001,"&lt;="&amp;$B212,BD!$X$3:$X$5001,"&lt;&gt;"))))</f>
        <v/>
      </c>
      <c r="E212" s="42" t="str">
        <f>IF(OR($B212="",$A212&gt;$B$9),"",IF(COUNTIFS(BD!$B$3:$B$5001,E$208,BD!$A$3:$A$5001,"&gt;="&amp;$C$7,BD!$A$3:$A$5001,"&lt;="&amp;$B212,BD!$X$3:$X$5001,"&lt;&gt;")=0,"",SUMIFS(BD!$X$3:$X$5001,BD!$B$3:$B$5001,E$208,BD!$A$3:$A$5001,_xlfn.MAXIFS(BD!$A$3:$A$5001,BD!$B$3:$B$5001,E$208,BD!$A$3:$A$5001,"&gt;="&amp;$C$7,BD!$A$3:$A$5001,"&lt;="&amp;$B212,BD!$X$3:$X$5001,"&lt;&gt;"))))</f>
        <v/>
      </c>
      <c r="F212" s="42" t="str">
        <f>IF(OR($B212="",$A212&gt;$B$9),"",IF(COUNTIFS(BD!$B$3:$B$5001,F$208,BD!$A$3:$A$5001,"&gt;="&amp;$C$7,BD!$A$3:$A$5001,"&lt;="&amp;$B212,BD!$X$3:$X$5001,"&lt;&gt;")=0,"",SUMIFS(BD!$X$3:$X$5001,BD!$B$3:$B$5001,F$208,BD!$A$3:$A$5001,_xlfn.MAXIFS(BD!$A$3:$A$5001,BD!$B$3:$B$5001,F$208,BD!$A$3:$A$5001,"&gt;="&amp;$C$7,BD!$A$3:$A$5001,"&lt;="&amp;$B212,BD!$X$3:$X$5001,"&lt;&gt;"))))</f>
        <v/>
      </c>
      <c r="G212" s="42" t="str">
        <f>IF(OR($B212="",$A212&gt;$B$9),"",IF(COUNTIFS(BD!$B$3:$B$5001,G$208,BD!$A$3:$A$5001,"&gt;="&amp;$C$7,BD!$A$3:$A$5001,"&lt;="&amp;$B212,BD!$X$3:$X$5001,"&lt;&gt;")=0,"",SUMIFS(BD!$X$3:$X$5001,BD!$B$3:$B$5001,G$208,BD!$A$3:$A$5001,_xlfn.MAXIFS(BD!$A$3:$A$5001,BD!$B$3:$B$5001,G$208,BD!$A$3:$A$5001,"&gt;="&amp;$C$7,BD!$A$3:$A$5001,"&lt;="&amp;$B212,BD!$X$3:$X$5001,"&lt;&gt;"))))</f>
        <v/>
      </c>
      <c r="H212" s="42" t="str">
        <f>IF(OR($B212="",$A212&gt;$B$9),"",IF(COUNTIFS(BD!$B$3:$B$5001,H$208,BD!$A$3:$A$5001,"&gt;="&amp;$C$7,BD!$A$3:$A$5001,"&lt;="&amp;$B212,BD!$X$3:$X$5001,"&lt;&gt;")=0,"",SUMIFS(BD!$X$3:$X$5001,BD!$B$3:$B$5001,H$208,BD!$A$3:$A$5001,_xlfn.MAXIFS(BD!$A$3:$A$5001,BD!$B$3:$B$5001,H$208,BD!$A$3:$A$5001,"&gt;="&amp;$C$7,BD!$A$3:$A$5001,"&lt;="&amp;$B212,BD!$X$3:$X$5001,"&lt;&gt;"))))</f>
        <v/>
      </c>
      <c r="I212" s="42" t="str">
        <f>IF(OR($B212="",$A212&gt;$B$9),"",IF(COUNTIFS(BD!$B$3:$B$5001,I$208,BD!$A$3:$A$5001,"&gt;="&amp;$C$7,BD!$A$3:$A$5001,"&lt;="&amp;$B212,BD!$X$3:$X$5001,"&lt;&gt;")=0,"",SUMIFS(BD!$X$3:$X$5001,BD!$B$3:$B$5001,I$208,BD!$A$3:$A$5001,_xlfn.MAXIFS(BD!$A$3:$A$5001,BD!$B$3:$B$5001,I$208,BD!$A$3:$A$5001,"&gt;="&amp;$C$7,BD!$A$3:$A$5001,"&lt;="&amp;$B212,BD!$X$3:$X$5001,"&lt;&gt;"))))</f>
        <v/>
      </c>
      <c r="J212" s="42" t="str">
        <f>IF(OR($B212="",$A212&gt;$B$9),"",IF(COUNTIFS(BD!$B$3:$B$5001,J$208,BD!$A$3:$A$5001,"&gt;="&amp;$C$7,BD!$A$3:$A$5001,"&lt;="&amp;$B212,BD!$X$3:$X$5001,"&lt;&gt;")=0,"",SUMIFS(BD!$X$3:$X$5001,BD!$B$3:$B$5001,J$208,BD!$A$3:$A$5001,_xlfn.MAXIFS(BD!$A$3:$A$5001,BD!$B$3:$B$5001,J$208,BD!$A$3:$A$5001,"&gt;="&amp;$C$7,BD!$A$3:$A$5001,"&lt;="&amp;$B212,BD!$X$3:$X$5001,"&lt;&gt;"))))</f>
        <v/>
      </c>
      <c r="K212" s="42" t="str">
        <f>IF(OR($B212="",$A212&gt;$B$9),"",IF(COUNTIFS(BD!$B$3:$B$5001,K$208,BD!$A$3:$A$5001,"&gt;="&amp;$C$7,BD!$A$3:$A$5001,"&lt;="&amp;$B212,BD!$X$3:$X$5001,"&lt;&gt;")=0,"",SUMIFS(BD!$X$3:$X$5001,BD!$B$3:$B$5001,K$208,BD!$A$3:$A$5001,_xlfn.MAXIFS(BD!$A$3:$A$5001,BD!$B$3:$B$5001,K$208,BD!$A$3:$A$5001,"&gt;="&amp;$C$7,BD!$A$3:$A$5001,"&lt;="&amp;$B212,BD!$X$3:$X$5001,"&lt;&gt;"))))</f>
        <v/>
      </c>
    </row>
    <row r="213">
      <c r="A213" s="40">
        <v>5</v>
      </c>
      <c r="B213" s="41">
        <f>$B$16</f>
        <v>46300</v>
      </c>
      <c r="C213" s="42" t="str">
        <f>IF(OR($B213="",$A213&gt;$B$9),"",IF(COUNTIFS(BD!$B$3:$B$5001,C$208,BD!$A$3:$A$5001,"&gt;="&amp;$C$7,BD!$A$3:$A$5001,"&lt;="&amp;$B213,BD!$X$3:$X$5001,"&lt;&gt;")=0,"",SUMIFS(BD!$X$3:$X$5001,BD!$B$3:$B$5001,C$208,BD!$A$3:$A$5001,_xlfn.MAXIFS(BD!$A$3:$A$5001,BD!$B$3:$B$5001,C$208,BD!$A$3:$A$5001,"&gt;="&amp;$C$7,BD!$A$3:$A$5001,"&lt;="&amp;$B213,BD!$X$3:$X$5001,"&lt;&gt;"))))</f>
        <v/>
      </c>
      <c r="D213" s="42" t="str">
        <f>IF(OR($B213="",$A213&gt;$B$9),"",IF(COUNTIFS(BD!$B$3:$B$5001,D$208,BD!$A$3:$A$5001,"&gt;="&amp;$C$7,BD!$A$3:$A$5001,"&lt;="&amp;$B213,BD!$X$3:$X$5001,"&lt;&gt;")=0,"",SUMIFS(BD!$X$3:$X$5001,BD!$B$3:$B$5001,D$208,BD!$A$3:$A$5001,_xlfn.MAXIFS(BD!$A$3:$A$5001,BD!$B$3:$B$5001,D$208,BD!$A$3:$A$5001,"&gt;="&amp;$C$7,BD!$A$3:$A$5001,"&lt;="&amp;$B213,BD!$X$3:$X$5001,"&lt;&gt;"))))</f>
        <v/>
      </c>
      <c r="E213" s="42" t="str">
        <f>IF(OR($B213="",$A213&gt;$B$9),"",IF(COUNTIFS(BD!$B$3:$B$5001,E$208,BD!$A$3:$A$5001,"&gt;="&amp;$C$7,BD!$A$3:$A$5001,"&lt;="&amp;$B213,BD!$X$3:$X$5001,"&lt;&gt;")=0,"",SUMIFS(BD!$X$3:$X$5001,BD!$B$3:$B$5001,E$208,BD!$A$3:$A$5001,_xlfn.MAXIFS(BD!$A$3:$A$5001,BD!$B$3:$B$5001,E$208,BD!$A$3:$A$5001,"&gt;="&amp;$C$7,BD!$A$3:$A$5001,"&lt;="&amp;$B213,BD!$X$3:$X$5001,"&lt;&gt;"))))</f>
        <v/>
      </c>
      <c r="F213" s="42" t="str">
        <f>IF(OR($B213="",$A213&gt;$B$9),"",IF(COUNTIFS(BD!$B$3:$B$5001,F$208,BD!$A$3:$A$5001,"&gt;="&amp;$C$7,BD!$A$3:$A$5001,"&lt;="&amp;$B213,BD!$X$3:$X$5001,"&lt;&gt;")=0,"",SUMIFS(BD!$X$3:$X$5001,BD!$B$3:$B$5001,F$208,BD!$A$3:$A$5001,_xlfn.MAXIFS(BD!$A$3:$A$5001,BD!$B$3:$B$5001,F$208,BD!$A$3:$A$5001,"&gt;="&amp;$C$7,BD!$A$3:$A$5001,"&lt;="&amp;$B213,BD!$X$3:$X$5001,"&lt;&gt;"))))</f>
        <v/>
      </c>
      <c r="G213" s="42" t="str">
        <f>IF(OR($B213="",$A213&gt;$B$9),"",IF(COUNTIFS(BD!$B$3:$B$5001,G$208,BD!$A$3:$A$5001,"&gt;="&amp;$C$7,BD!$A$3:$A$5001,"&lt;="&amp;$B213,BD!$X$3:$X$5001,"&lt;&gt;")=0,"",SUMIFS(BD!$X$3:$X$5001,BD!$B$3:$B$5001,G$208,BD!$A$3:$A$5001,_xlfn.MAXIFS(BD!$A$3:$A$5001,BD!$B$3:$B$5001,G$208,BD!$A$3:$A$5001,"&gt;="&amp;$C$7,BD!$A$3:$A$5001,"&lt;="&amp;$B213,BD!$X$3:$X$5001,"&lt;&gt;"))))</f>
        <v/>
      </c>
      <c r="H213" s="42" t="str">
        <f>IF(OR($B213="",$A213&gt;$B$9),"",IF(COUNTIFS(BD!$B$3:$B$5001,H$208,BD!$A$3:$A$5001,"&gt;="&amp;$C$7,BD!$A$3:$A$5001,"&lt;="&amp;$B213,BD!$X$3:$X$5001,"&lt;&gt;")=0,"",SUMIFS(BD!$X$3:$X$5001,BD!$B$3:$B$5001,H$208,BD!$A$3:$A$5001,_xlfn.MAXIFS(BD!$A$3:$A$5001,BD!$B$3:$B$5001,H$208,BD!$A$3:$A$5001,"&gt;="&amp;$C$7,BD!$A$3:$A$5001,"&lt;="&amp;$B213,BD!$X$3:$X$5001,"&lt;&gt;"))))</f>
        <v/>
      </c>
      <c r="I213" s="42" t="str">
        <f>IF(OR($B213="",$A213&gt;$B$9),"",IF(COUNTIFS(BD!$B$3:$B$5001,I$208,BD!$A$3:$A$5001,"&gt;="&amp;$C$7,BD!$A$3:$A$5001,"&lt;="&amp;$B213,BD!$X$3:$X$5001,"&lt;&gt;")=0,"",SUMIFS(BD!$X$3:$X$5001,BD!$B$3:$B$5001,I$208,BD!$A$3:$A$5001,_xlfn.MAXIFS(BD!$A$3:$A$5001,BD!$B$3:$B$5001,I$208,BD!$A$3:$A$5001,"&gt;="&amp;$C$7,BD!$A$3:$A$5001,"&lt;="&amp;$B213,BD!$X$3:$X$5001,"&lt;&gt;"))))</f>
        <v/>
      </c>
      <c r="J213" s="42" t="str">
        <f>IF(OR($B213="",$A213&gt;$B$9),"",IF(COUNTIFS(BD!$B$3:$B$5001,J$208,BD!$A$3:$A$5001,"&gt;="&amp;$C$7,BD!$A$3:$A$5001,"&lt;="&amp;$B213,BD!$X$3:$X$5001,"&lt;&gt;")=0,"",SUMIFS(BD!$X$3:$X$5001,BD!$B$3:$B$5001,J$208,BD!$A$3:$A$5001,_xlfn.MAXIFS(BD!$A$3:$A$5001,BD!$B$3:$B$5001,J$208,BD!$A$3:$A$5001,"&gt;="&amp;$C$7,BD!$A$3:$A$5001,"&lt;="&amp;$B213,BD!$X$3:$X$5001,"&lt;&gt;"))))</f>
        <v/>
      </c>
      <c r="K213" s="42" t="str">
        <f>IF(OR($B213="",$A213&gt;$B$9),"",IF(COUNTIFS(BD!$B$3:$B$5001,K$208,BD!$A$3:$A$5001,"&gt;="&amp;$C$7,BD!$A$3:$A$5001,"&lt;="&amp;$B213,BD!$X$3:$X$5001,"&lt;&gt;")=0,"",SUMIFS(BD!$X$3:$X$5001,BD!$B$3:$B$5001,K$208,BD!$A$3:$A$5001,_xlfn.MAXIFS(BD!$A$3:$A$5001,BD!$B$3:$B$5001,K$208,BD!$A$3:$A$5001,"&gt;="&amp;$C$7,BD!$A$3:$A$5001,"&lt;="&amp;$B213,BD!$X$3:$X$5001,"&lt;&gt;"))))</f>
        <v/>
      </c>
    </row>
    <row r="214">
      <c r="A214" s="40">
        <v>6</v>
      </c>
      <c r="B214" s="41">
        <f>$B$17</f>
        <v>46301</v>
      </c>
      <c r="C214" s="42" t="str">
        <f>IF(OR($B214="",$A214&gt;$B$9),"",IF(COUNTIFS(BD!$B$3:$B$5001,C$208,BD!$A$3:$A$5001,"&gt;="&amp;$C$7,BD!$A$3:$A$5001,"&lt;="&amp;$B214,BD!$X$3:$X$5001,"&lt;&gt;")=0,"",SUMIFS(BD!$X$3:$X$5001,BD!$B$3:$B$5001,C$208,BD!$A$3:$A$5001,_xlfn.MAXIFS(BD!$A$3:$A$5001,BD!$B$3:$B$5001,C$208,BD!$A$3:$A$5001,"&gt;="&amp;$C$7,BD!$A$3:$A$5001,"&lt;="&amp;$B214,BD!$X$3:$X$5001,"&lt;&gt;"))))</f>
        <v/>
      </c>
      <c r="D214" s="42" t="str">
        <f>IF(OR($B214="",$A214&gt;$B$9),"",IF(COUNTIFS(BD!$B$3:$B$5001,D$208,BD!$A$3:$A$5001,"&gt;="&amp;$C$7,BD!$A$3:$A$5001,"&lt;="&amp;$B214,BD!$X$3:$X$5001,"&lt;&gt;")=0,"",SUMIFS(BD!$X$3:$X$5001,BD!$B$3:$B$5001,D$208,BD!$A$3:$A$5001,_xlfn.MAXIFS(BD!$A$3:$A$5001,BD!$B$3:$B$5001,D$208,BD!$A$3:$A$5001,"&gt;="&amp;$C$7,BD!$A$3:$A$5001,"&lt;="&amp;$B214,BD!$X$3:$X$5001,"&lt;&gt;"))))</f>
        <v/>
      </c>
      <c r="E214" s="42" t="str">
        <f>IF(OR($B214="",$A214&gt;$B$9),"",IF(COUNTIFS(BD!$B$3:$B$5001,E$208,BD!$A$3:$A$5001,"&gt;="&amp;$C$7,BD!$A$3:$A$5001,"&lt;="&amp;$B214,BD!$X$3:$X$5001,"&lt;&gt;")=0,"",SUMIFS(BD!$X$3:$X$5001,BD!$B$3:$B$5001,E$208,BD!$A$3:$A$5001,_xlfn.MAXIFS(BD!$A$3:$A$5001,BD!$B$3:$B$5001,E$208,BD!$A$3:$A$5001,"&gt;="&amp;$C$7,BD!$A$3:$A$5001,"&lt;="&amp;$B214,BD!$X$3:$X$5001,"&lt;&gt;"))))</f>
        <v/>
      </c>
      <c r="F214" s="42" t="str">
        <f>IF(OR($B214="",$A214&gt;$B$9),"",IF(COUNTIFS(BD!$B$3:$B$5001,F$208,BD!$A$3:$A$5001,"&gt;="&amp;$C$7,BD!$A$3:$A$5001,"&lt;="&amp;$B214,BD!$X$3:$X$5001,"&lt;&gt;")=0,"",SUMIFS(BD!$X$3:$X$5001,BD!$B$3:$B$5001,F$208,BD!$A$3:$A$5001,_xlfn.MAXIFS(BD!$A$3:$A$5001,BD!$B$3:$B$5001,F$208,BD!$A$3:$A$5001,"&gt;="&amp;$C$7,BD!$A$3:$A$5001,"&lt;="&amp;$B214,BD!$X$3:$X$5001,"&lt;&gt;"))))</f>
        <v/>
      </c>
      <c r="G214" s="42" t="str">
        <f>IF(OR($B214="",$A214&gt;$B$9),"",IF(COUNTIFS(BD!$B$3:$B$5001,G$208,BD!$A$3:$A$5001,"&gt;="&amp;$C$7,BD!$A$3:$A$5001,"&lt;="&amp;$B214,BD!$X$3:$X$5001,"&lt;&gt;")=0,"",SUMIFS(BD!$X$3:$X$5001,BD!$B$3:$B$5001,G$208,BD!$A$3:$A$5001,_xlfn.MAXIFS(BD!$A$3:$A$5001,BD!$B$3:$B$5001,G$208,BD!$A$3:$A$5001,"&gt;="&amp;$C$7,BD!$A$3:$A$5001,"&lt;="&amp;$B214,BD!$X$3:$X$5001,"&lt;&gt;"))))</f>
        <v/>
      </c>
      <c r="H214" s="42" t="str">
        <f>IF(OR($B214="",$A214&gt;$B$9),"",IF(COUNTIFS(BD!$B$3:$B$5001,H$208,BD!$A$3:$A$5001,"&gt;="&amp;$C$7,BD!$A$3:$A$5001,"&lt;="&amp;$B214,BD!$X$3:$X$5001,"&lt;&gt;")=0,"",SUMIFS(BD!$X$3:$X$5001,BD!$B$3:$B$5001,H$208,BD!$A$3:$A$5001,_xlfn.MAXIFS(BD!$A$3:$A$5001,BD!$B$3:$B$5001,H$208,BD!$A$3:$A$5001,"&gt;="&amp;$C$7,BD!$A$3:$A$5001,"&lt;="&amp;$B214,BD!$X$3:$X$5001,"&lt;&gt;"))))</f>
        <v/>
      </c>
      <c r="I214" s="42" t="str">
        <f>IF(OR($B214="",$A214&gt;$B$9),"",IF(COUNTIFS(BD!$B$3:$B$5001,I$208,BD!$A$3:$A$5001,"&gt;="&amp;$C$7,BD!$A$3:$A$5001,"&lt;="&amp;$B214,BD!$X$3:$X$5001,"&lt;&gt;")=0,"",SUMIFS(BD!$X$3:$X$5001,BD!$B$3:$B$5001,I$208,BD!$A$3:$A$5001,_xlfn.MAXIFS(BD!$A$3:$A$5001,BD!$B$3:$B$5001,I$208,BD!$A$3:$A$5001,"&gt;="&amp;$C$7,BD!$A$3:$A$5001,"&lt;="&amp;$B214,BD!$X$3:$X$5001,"&lt;&gt;"))))</f>
        <v/>
      </c>
      <c r="J214" s="42" t="str">
        <f>IF(OR($B214="",$A214&gt;$B$9),"",IF(COUNTIFS(BD!$B$3:$B$5001,J$208,BD!$A$3:$A$5001,"&gt;="&amp;$C$7,BD!$A$3:$A$5001,"&lt;="&amp;$B214,BD!$X$3:$X$5001,"&lt;&gt;")=0,"",SUMIFS(BD!$X$3:$X$5001,BD!$B$3:$B$5001,J$208,BD!$A$3:$A$5001,_xlfn.MAXIFS(BD!$A$3:$A$5001,BD!$B$3:$B$5001,J$208,BD!$A$3:$A$5001,"&gt;="&amp;$C$7,BD!$A$3:$A$5001,"&lt;="&amp;$B214,BD!$X$3:$X$5001,"&lt;&gt;"))))</f>
        <v/>
      </c>
      <c r="K214" s="42" t="str">
        <f>IF(OR($B214="",$A214&gt;$B$9),"",IF(COUNTIFS(BD!$B$3:$B$5001,K$208,BD!$A$3:$A$5001,"&gt;="&amp;$C$7,BD!$A$3:$A$5001,"&lt;="&amp;$B214,BD!$X$3:$X$5001,"&lt;&gt;")=0,"",SUMIFS(BD!$X$3:$X$5001,BD!$B$3:$B$5001,K$208,BD!$A$3:$A$5001,_xlfn.MAXIFS(BD!$A$3:$A$5001,BD!$B$3:$B$5001,K$208,BD!$A$3:$A$5001,"&gt;="&amp;$C$7,BD!$A$3:$A$5001,"&lt;="&amp;$B214,BD!$X$3:$X$5001,"&lt;&gt;"))))</f>
        <v/>
      </c>
    </row>
    <row r="215">
      <c r="A215" s="40">
        <v>7</v>
      </c>
      <c r="B215" s="41">
        <f>$B$18</f>
        <v>46302</v>
      </c>
      <c r="C215" s="42" t="str">
        <f>IF(OR($B215="",$A215&gt;$B$9),"",IF(COUNTIFS(BD!$B$3:$B$5001,C$208,BD!$A$3:$A$5001,"&gt;="&amp;$C$7,BD!$A$3:$A$5001,"&lt;="&amp;$B215,BD!$X$3:$X$5001,"&lt;&gt;")=0,"",SUMIFS(BD!$X$3:$X$5001,BD!$B$3:$B$5001,C$208,BD!$A$3:$A$5001,_xlfn.MAXIFS(BD!$A$3:$A$5001,BD!$B$3:$B$5001,C$208,BD!$A$3:$A$5001,"&gt;="&amp;$C$7,BD!$A$3:$A$5001,"&lt;="&amp;$B215,BD!$X$3:$X$5001,"&lt;&gt;"))))</f>
        <v/>
      </c>
      <c r="D215" s="42" t="str">
        <f>IF(OR($B215="",$A215&gt;$B$9),"",IF(COUNTIFS(BD!$B$3:$B$5001,D$208,BD!$A$3:$A$5001,"&gt;="&amp;$C$7,BD!$A$3:$A$5001,"&lt;="&amp;$B215,BD!$X$3:$X$5001,"&lt;&gt;")=0,"",SUMIFS(BD!$X$3:$X$5001,BD!$B$3:$B$5001,D$208,BD!$A$3:$A$5001,_xlfn.MAXIFS(BD!$A$3:$A$5001,BD!$B$3:$B$5001,D$208,BD!$A$3:$A$5001,"&gt;="&amp;$C$7,BD!$A$3:$A$5001,"&lt;="&amp;$B215,BD!$X$3:$X$5001,"&lt;&gt;"))))</f>
        <v/>
      </c>
      <c r="E215" s="42" t="str">
        <f>IF(OR($B215="",$A215&gt;$B$9),"",IF(COUNTIFS(BD!$B$3:$B$5001,E$208,BD!$A$3:$A$5001,"&gt;="&amp;$C$7,BD!$A$3:$A$5001,"&lt;="&amp;$B215,BD!$X$3:$X$5001,"&lt;&gt;")=0,"",SUMIFS(BD!$X$3:$X$5001,BD!$B$3:$B$5001,E$208,BD!$A$3:$A$5001,_xlfn.MAXIFS(BD!$A$3:$A$5001,BD!$B$3:$B$5001,E$208,BD!$A$3:$A$5001,"&gt;="&amp;$C$7,BD!$A$3:$A$5001,"&lt;="&amp;$B215,BD!$X$3:$X$5001,"&lt;&gt;"))))</f>
        <v/>
      </c>
      <c r="F215" s="42" t="str">
        <f>IF(OR($B215="",$A215&gt;$B$9),"",IF(COUNTIFS(BD!$B$3:$B$5001,F$208,BD!$A$3:$A$5001,"&gt;="&amp;$C$7,BD!$A$3:$A$5001,"&lt;="&amp;$B215,BD!$X$3:$X$5001,"&lt;&gt;")=0,"",SUMIFS(BD!$X$3:$X$5001,BD!$B$3:$B$5001,F$208,BD!$A$3:$A$5001,_xlfn.MAXIFS(BD!$A$3:$A$5001,BD!$B$3:$B$5001,F$208,BD!$A$3:$A$5001,"&gt;="&amp;$C$7,BD!$A$3:$A$5001,"&lt;="&amp;$B215,BD!$X$3:$X$5001,"&lt;&gt;"))))</f>
        <v/>
      </c>
      <c r="G215" s="42" t="str">
        <f>IF(OR($B215="",$A215&gt;$B$9),"",IF(COUNTIFS(BD!$B$3:$B$5001,G$208,BD!$A$3:$A$5001,"&gt;="&amp;$C$7,BD!$A$3:$A$5001,"&lt;="&amp;$B215,BD!$X$3:$X$5001,"&lt;&gt;")=0,"",SUMIFS(BD!$X$3:$X$5001,BD!$B$3:$B$5001,G$208,BD!$A$3:$A$5001,_xlfn.MAXIFS(BD!$A$3:$A$5001,BD!$B$3:$B$5001,G$208,BD!$A$3:$A$5001,"&gt;="&amp;$C$7,BD!$A$3:$A$5001,"&lt;="&amp;$B215,BD!$X$3:$X$5001,"&lt;&gt;"))))</f>
        <v/>
      </c>
      <c r="H215" s="42" t="str">
        <f>IF(OR($B215="",$A215&gt;$B$9),"",IF(COUNTIFS(BD!$B$3:$B$5001,H$208,BD!$A$3:$A$5001,"&gt;="&amp;$C$7,BD!$A$3:$A$5001,"&lt;="&amp;$B215,BD!$X$3:$X$5001,"&lt;&gt;")=0,"",SUMIFS(BD!$X$3:$X$5001,BD!$B$3:$B$5001,H$208,BD!$A$3:$A$5001,_xlfn.MAXIFS(BD!$A$3:$A$5001,BD!$B$3:$B$5001,H$208,BD!$A$3:$A$5001,"&gt;="&amp;$C$7,BD!$A$3:$A$5001,"&lt;="&amp;$B215,BD!$X$3:$X$5001,"&lt;&gt;"))))</f>
        <v/>
      </c>
      <c r="I215" s="42" t="str">
        <f>IF(OR($B215="",$A215&gt;$B$9),"",IF(COUNTIFS(BD!$B$3:$B$5001,I$208,BD!$A$3:$A$5001,"&gt;="&amp;$C$7,BD!$A$3:$A$5001,"&lt;="&amp;$B215,BD!$X$3:$X$5001,"&lt;&gt;")=0,"",SUMIFS(BD!$X$3:$X$5001,BD!$B$3:$B$5001,I$208,BD!$A$3:$A$5001,_xlfn.MAXIFS(BD!$A$3:$A$5001,BD!$B$3:$B$5001,I$208,BD!$A$3:$A$5001,"&gt;="&amp;$C$7,BD!$A$3:$A$5001,"&lt;="&amp;$B215,BD!$X$3:$X$5001,"&lt;&gt;"))))</f>
        <v/>
      </c>
      <c r="J215" s="42" t="str">
        <f>IF(OR($B215="",$A215&gt;$B$9),"",IF(COUNTIFS(BD!$B$3:$B$5001,J$208,BD!$A$3:$A$5001,"&gt;="&amp;$C$7,BD!$A$3:$A$5001,"&lt;="&amp;$B215,BD!$X$3:$X$5001,"&lt;&gt;")=0,"",SUMIFS(BD!$X$3:$X$5001,BD!$B$3:$B$5001,J$208,BD!$A$3:$A$5001,_xlfn.MAXIFS(BD!$A$3:$A$5001,BD!$B$3:$B$5001,J$208,BD!$A$3:$A$5001,"&gt;="&amp;$C$7,BD!$A$3:$A$5001,"&lt;="&amp;$B215,BD!$X$3:$X$5001,"&lt;&gt;"))))</f>
        <v/>
      </c>
      <c r="K215" s="42" t="str">
        <f>IF(OR($B215="",$A215&gt;$B$9),"",IF(COUNTIFS(BD!$B$3:$B$5001,K$208,BD!$A$3:$A$5001,"&gt;="&amp;$C$7,BD!$A$3:$A$5001,"&lt;="&amp;$B215,BD!$X$3:$X$5001,"&lt;&gt;")=0,"",SUMIFS(BD!$X$3:$X$5001,BD!$B$3:$B$5001,K$208,BD!$A$3:$A$5001,_xlfn.MAXIFS(BD!$A$3:$A$5001,BD!$B$3:$B$5001,K$208,BD!$A$3:$A$5001,"&gt;="&amp;$C$7,BD!$A$3:$A$5001,"&lt;="&amp;$B215,BD!$X$3:$X$5001,"&lt;&gt;"))))</f>
        <v/>
      </c>
    </row>
    <row r="216">
      <c r="A216" s="40">
        <v>8</v>
      </c>
      <c r="B216" s="41">
        <f>$B$19</f>
        <v>46303</v>
      </c>
      <c r="C216" s="42" t="str">
        <f>IF(OR($B216="",$A216&gt;$B$9),"",IF(COUNTIFS(BD!$B$3:$B$5001,C$208,BD!$A$3:$A$5001,"&gt;="&amp;$C$7,BD!$A$3:$A$5001,"&lt;="&amp;$B216,BD!$X$3:$X$5001,"&lt;&gt;")=0,"",SUMIFS(BD!$X$3:$X$5001,BD!$B$3:$B$5001,C$208,BD!$A$3:$A$5001,_xlfn.MAXIFS(BD!$A$3:$A$5001,BD!$B$3:$B$5001,C$208,BD!$A$3:$A$5001,"&gt;="&amp;$C$7,BD!$A$3:$A$5001,"&lt;="&amp;$B216,BD!$X$3:$X$5001,"&lt;&gt;"))))</f>
        <v/>
      </c>
      <c r="D216" s="42" t="str">
        <f>IF(OR($B216="",$A216&gt;$B$9),"",IF(COUNTIFS(BD!$B$3:$B$5001,D$208,BD!$A$3:$A$5001,"&gt;="&amp;$C$7,BD!$A$3:$A$5001,"&lt;="&amp;$B216,BD!$X$3:$X$5001,"&lt;&gt;")=0,"",SUMIFS(BD!$X$3:$X$5001,BD!$B$3:$B$5001,D$208,BD!$A$3:$A$5001,_xlfn.MAXIFS(BD!$A$3:$A$5001,BD!$B$3:$B$5001,D$208,BD!$A$3:$A$5001,"&gt;="&amp;$C$7,BD!$A$3:$A$5001,"&lt;="&amp;$B216,BD!$X$3:$X$5001,"&lt;&gt;"))))</f>
        <v/>
      </c>
      <c r="E216" s="42" t="str">
        <f>IF(OR($B216="",$A216&gt;$B$9),"",IF(COUNTIFS(BD!$B$3:$B$5001,E$208,BD!$A$3:$A$5001,"&gt;="&amp;$C$7,BD!$A$3:$A$5001,"&lt;="&amp;$B216,BD!$X$3:$X$5001,"&lt;&gt;")=0,"",SUMIFS(BD!$X$3:$X$5001,BD!$B$3:$B$5001,E$208,BD!$A$3:$A$5001,_xlfn.MAXIFS(BD!$A$3:$A$5001,BD!$B$3:$B$5001,E$208,BD!$A$3:$A$5001,"&gt;="&amp;$C$7,BD!$A$3:$A$5001,"&lt;="&amp;$B216,BD!$X$3:$X$5001,"&lt;&gt;"))))</f>
        <v/>
      </c>
      <c r="F216" s="42" t="str">
        <f>IF(OR($B216="",$A216&gt;$B$9),"",IF(COUNTIFS(BD!$B$3:$B$5001,F$208,BD!$A$3:$A$5001,"&gt;="&amp;$C$7,BD!$A$3:$A$5001,"&lt;="&amp;$B216,BD!$X$3:$X$5001,"&lt;&gt;")=0,"",SUMIFS(BD!$X$3:$X$5001,BD!$B$3:$B$5001,F$208,BD!$A$3:$A$5001,_xlfn.MAXIFS(BD!$A$3:$A$5001,BD!$B$3:$B$5001,F$208,BD!$A$3:$A$5001,"&gt;="&amp;$C$7,BD!$A$3:$A$5001,"&lt;="&amp;$B216,BD!$X$3:$X$5001,"&lt;&gt;"))))</f>
        <v/>
      </c>
      <c r="G216" s="42" t="str">
        <f>IF(OR($B216="",$A216&gt;$B$9),"",IF(COUNTIFS(BD!$B$3:$B$5001,G$208,BD!$A$3:$A$5001,"&gt;="&amp;$C$7,BD!$A$3:$A$5001,"&lt;="&amp;$B216,BD!$X$3:$X$5001,"&lt;&gt;")=0,"",SUMIFS(BD!$X$3:$X$5001,BD!$B$3:$B$5001,G$208,BD!$A$3:$A$5001,_xlfn.MAXIFS(BD!$A$3:$A$5001,BD!$B$3:$B$5001,G$208,BD!$A$3:$A$5001,"&gt;="&amp;$C$7,BD!$A$3:$A$5001,"&lt;="&amp;$B216,BD!$X$3:$X$5001,"&lt;&gt;"))))</f>
        <v/>
      </c>
      <c r="H216" s="42" t="str">
        <f>IF(OR($B216="",$A216&gt;$B$9),"",IF(COUNTIFS(BD!$B$3:$B$5001,H$208,BD!$A$3:$A$5001,"&gt;="&amp;$C$7,BD!$A$3:$A$5001,"&lt;="&amp;$B216,BD!$X$3:$X$5001,"&lt;&gt;")=0,"",SUMIFS(BD!$X$3:$X$5001,BD!$B$3:$B$5001,H$208,BD!$A$3:$A$5001,_xlfn.MAXIFS(BD!$A$3:$A$5001,BD!$B$3:$B$5001,H$208,BD!$A$3:$A$5001,"&gt;="&amp;$C$7,BD!$A$3:$A$5001,"&lt;="&amp;$B216,BD!$X$3:$X$5001,"&lt;&gt;"))))</f>
        <v/>
      </c>
      <c r="I216" s="42" t="str">
        <f>IF(OR($B216="",$A216&gt;$B$9),"",IF(COUNTIFS(BD!$B$3:$B$5001,I$208,BD!$A$3:$A$5001,"&gt;="&amp;$C$7,BD!$A$3:$A$5001,"&lt;="&amp;$B216,BD!$X$3:$X$5001,"&lt;&gt;")=0,"",SUMIFS(BD!$X$3:$X$5001,BD!$B$3:$B$5001,I$208,BD!$A$3:$A$5001,_xlfn.MAXIFS(BD!$A$3:$A$5001,BD!$B$3:$B$5001,I$208,BD!$A$3:$A$5001,"&gt;="&amp;$C$7,BD!$A$3:$A$5001,"&lt;="&amp;$B216,BD!$X$3:$X$5001,"&lt;&gt;"))))</f>
        <v/>
      </c>
      <c r="J216" s="42" t="str">
        <f>IF(OR($B216="",$A216&gt;$B$9),"",IF(COUNTIFS(BD!$B$3:$B$5001,J$208,BD!$A$3:$A$5001,"&gt;="&amp;$C$7,BD!$A$3:$A$5001,"&lt;="&amp;$B216,BD!$X$3:$X$5001,"&lt;&gt;")=0,"",SUMIFS(BD!$X$3:$X$5001,BD!$B$3:$B$5001,J$208,BD!$A$3:$A$5001,_xlfn.MAXIFS(BD!$A$3:$A$5001,BD!$B$3:$B$5001,J$208,BD!$A$3:$A$5001,"&gt;="&amp;$C$7,BD!$A$3:$A$5001,"&lt;="&amp;$B216,BD!$X$3:$X$5001,"&lt;&gt;"))))</f>
        <v/>
      </c>
      <c r="K216" s="42" t="str">
        <f>IF(OR($B216="",$A216&gt;$B$9),"",IF(COUNTIFS(BD!$B$3:$B$5001,K$208,BD!$A$3:$A$5001,"&gt;="&amp;$C$7,BD!$A$3:$A$5001,"&lt;="&amp;$B216,BD!$X$3:$X$5001,"&lt;&gt;")=0,"",SUMIFS(BD!$X$3:$X$5001,BD!$B$3:$B$5001,K$208,BD!$A$3:$A$5001,_xlfn.MAXIFS(BD!$A$3:$A$5001,BD!$B$3:$B$5001,K$208,BD!$A$3:$A$5001,"&gt;="&amp;$C$7,BD!$A$3:$A$5001,"&lt;="&amp;$B216,BD!$X$3:$X$5001,"&lt;&gt;"))))</f>
        <v/>
      </c>
    </row>
    <row r="217">
      <c r="A217" s="40">
        <v>9</v>
      </c>
      <c r="B217" s="41">
        <f>$B$20</f>
        <v>46304</v>
      </c>
      <c r="C217" s="42" t="str">
        <f>IF(OR($B217="",$A217&gt;$B$9),"",IF(COUNTIFS(BD!$B$3:$B$5001,C$208,BD!$A$3:$A$5001,"&gt;="&amp;$C$7,BD!$A$3:$A$5001,"&lt;="&amp;$B217,BD!$X$3:$X$5001,"&lt;&gt;")=0,"",SUMIFS(BD!$X$3:$X$5001,BD!$B$3:$B$5001,C$208,BD!$A$3:$A$5001,_xlfn.MAXIFS(BD!$A$3:$A$5001,BD!$B$3:$B$5001,C$208,BD!$A$3:$A$5001,"&gt;="&amp;$C$7,BD!$A$3:$A$5001,"&lt;="&amp;$B217,BD!$X$3:$X$5001,"&lt;&gt;"))))</f>
        <v/>
      </c>
      <c r="D217" s="42" t="str">
        <f>IF(OR($B217="",$A217&gt;$B$9),"",IF(COUNTIFS(BD!$B$3:$B$5001,D$208,BD!$A$3:$A$5001,"&gt;="&amp;$C$7,BD!$A$3:$A$5001,"&lt;="&amp;$B217,BD!$X$3:$X$5001,"&lt;&gt;")=0,"",SUMIFS(BD!$X$3:$X$5001,BD!$B$3:$B$5001,D$208,BD!$A$3:$A$5001,_xlfn.MAXIFS(BD!$A$3:$A$5001,BD!$B$3:$B$5001,D$208,BD!$A$3:$A$5001,"&gt;="&amp;$C$7,BD!$A$3:$A$5001,"&lt;="&amp;$B217,BD!$X$3:$X$5001,"&lt;&gt;"))))</f>
        <v/>
      </c>
      <c r="E217" s="42" t="str">
        <f>IF(OR($B217="",$A217&gt;$B$9),"",IF(COUNTIFS(BD!$B$3:$B$5001,E$208,BD!$A$3:$A$5001,"&gt;="&amp;$C$7,BD!$A$3:$A$5001,"&lt;="&amp;$B217,BD!$X$3:$X$5001,"&lt;&gt;")=0,"",SUMIFS(BD!$X$3:$X$5001,BD!$B$3:$B$5001,E$208,BD!$A$3:$A$5001,_xlfn.MAXIFS(BD!$A$3:$A$5001,BD!$B$3:$B$5001,E$208,BD!$A$3:$A$5001,"&gt;="&amp;$C$7,BD!$A$3:$A$5001,"&lt;="&amp;$B217,BD!$X$3:$X$5001,"&lt;&gt;"))))</f>
        <v/>
      </c>
      <c r="F217" s="42" t="str">
        <f>IF(OR($B217="",$A217&gt;$B$9),"",IF(COUNTIFS(BD!$B$3:$B$5001,F$208,BD!$A$3:$A$5001,"&gt;="&amp;$C$7,BD!$A$3:$A$5001,"&lt;="&amp;$B217,BD!$X$3:$X$5001,"&lt;&gt;")=0,"",SUMIFS(BD!$X$3:$X$5001,BD!$B$3:$B$5001,F$208,BD!$A$3:$A$5001,_xlfn.MAXIFS(BD!$A$3:$A$5001,BD!$B$3:$B$5001,F$208,BD!$A$3:$A$5001,"&gt;="&amp;$C$7,BD!$A$3:$A$5001,"&lt;="&amp;$B217,BD!$X$3:$X$5001,"&lt;&gt;"))))</f>
        <v/>
      </c>
      <c r="G217" s="42" t="str">
        <f>IF(OR($B217="",$A217&gt;$B$9),"",IF(COUNTIFS(BD!$B$3:$B$5001,G$208,BD!$A$3:$A$5001,"&gt;="&amp;$C$7,BD!$A$3:$A$5001,"&lt;="&amp;$B217,BD!$X$3:$X$5001,"&lt;&gt;")=0,"",SUMIFS(BD!$X$3:$X$5001,BD!$B$3:$B$5001,G$208,BD!$A$3:$A$5001,_xlfn.MAXIFS(BD!$A$3:$A$5001,BD!$B$3:$B$5001,G$208,BD!$A$3:$A$5001,"&gt;="&amp;$C$7,BD!$A$3:$A$5001,"&lt;="&amp;$B217,BD!$X$3:$X$5001,"&lt;&gt;"))))</f>
        <v/>
      </c>
      <c r="H217" s="42" t="str">
        <f>IF(OR($B217="",$A217&gt;$B$9),"",IF(COUNTIFS(BD!$B$3:$B$5001,H$208,BD!$A$3:$A$5001,"&gt;="&amp;$C$7,BD!$A$3:$A$5001,"&lt;="&amp;$B217,BD!$X$3:$X$5001,"&lt;&gt;")=0,"",SUMIFS(BD!$X$3:$X$5001,BD!$B$3:$B$5001,H$208,BD!$A$3:$A$5001,_xlfn.MAXIFS(BD!$A$3:$A$5001,BD!$B$3:$B$5001,H$208,BD!$A$3:$A$5001,"&gt;="&amp;$C$7,BD!$A$3:$A$5001,"&lt;="&amp;$B217,BD!$X$3:$X$5001,"&lt;&gt;"))))</f>
        <v/>
      </c>
      <c r="I217" s="42" t="str">
        <f>IF(OR($B217="",$A217&gt;$B$9),"",IF(COUNTIFS(BD!$B$3:$B$5001,I$208,BD!$A$3:$A$5001,"&gt;="&amp;$C$7,BD!$A$3:$A$5001,"&lt;="&amp;$B217,BD!$X$3:$X$5001,"&lt;&gt;")=0,"",SUMIFS(BD!$X$3:$X$5001,BD!$B$3:$B$5001,I$208,BD!$A$3:$A$5001,_xlfn.MAXIFS(BD!$A$3:$A$5001,BD!$B$3:$B$5001,I$208,BD!$A$3:$A$5001,"&gt;="&amp;$C$7,BD!$A$3:$A$5001,"&lt;="&amp;$B217,BD!$X$3:$X$5001,"&lt;&gt;"))))</f>
        <v/>
      </c>
      <c r="J217" s="42" t="str">
        <f>IF(OR($B217="",$A217&gt;$B$9),"",IF(COUNTIFS(BD!$B$3:$B$5001,J$208,BD!$A$3:$A$5001,"&gt;="&amp;$C$7,BD!$A$3:$A$5001,"&lt;="&amp;$B217,BD!$X$3:$X$5001,"&lt;&gt;")=0,"",SUMIFS(BD!$X$3:$X$5001,BD!$B$3:$B$5001,J$208,BD!$A$3:$A$5001,_xlfn.MAXIFS(BD!$A$3:$A$5001,BD!$B$3:$B$5001,J$208,BD!$A$3:$A$5001,"&gt;="&amp;$C$7,BD!$A$3:$A$5001,"&lt;="&amp;$B217,BD!$X$3:$X$5001,"&lt;&gt;"))))</f>
        <v/>
      </c>
      <c r="K217" s="42" t="str">
        <f>IF(OR($B217="",$A217&gt;$B$9),"",IF(COUNTIFS(BD!$B$3:$B$5001,K$208,BD!$A$3:$A$5001,"&gt;="&amp;$C$7,BD!$A$3:$A$5001,"&lt;="&amp;$B217,BD!$X$3:$X$5001,"&lt;&gt;")=0,"",SUMIFS(BD!$X$3:$X$5001,BD!$B$3:$B$5001,K$208,BD!$A$3:$A$5001,_xlfn.MAXIFS(BD!$A$3:$A$5001,BD!$B$3:$B$5001,K$208,BD!$A$3:$A$5001,"&gt;="&amp;$C$7,BD!$A$3:$A$5001,"&lt;="&amp;$B217,BD!$X$3:$X$5001,"&lt;&gt;"))))</f>
        <v/>
      </c>
    </row>
    <row r="218">
      <c r="A218" s="40">
        <v>10</v>
      </c>
      <c r="B218" s="41">
        <f>$B$21</f>
        <v>46305</v>
      </c>
      <c r="C218" s="42" t="str">
        <f>IF(OR($B218="",$A218&gt;$B$9),"",IF(COUNTIFS(BD!$B$3:$B$5001,C$208,BD!$A$3:$A$5001,"&gt;="&amp;$C$7,BD!$A$3:$A$5001,"&lt;="&amp;$B218,BD!$X$3:$X$5001,"&lt;&gt;")=0,"",SUMIFS(BD!$X$3:$X$5001,BD!$B$3:$B$5001,C$208,BD!$A$3:$A$5001,_xlfn.MAXIFS(BD!$A$3:$A$5001,BD!$B$3:$B$5001,C$208,BD!$A$3:$A$5001,"&gt;="&amp;$C$7,BD!$A$3:$A$5001,"&lt;="&amp;$B218,BD!$X$3:$X$5001,"&lt;&gt;"))))</f>
        <v/>
      </c>
      <c r="D218" s="42" t="str">
        <f>IF(OR($B218="",$A218&gt;$B$9),"",IF(COUNTIFS(BD!$B$3:$B$5001,D$208,BD!$A$3:$A$5001,"&gt;="&amp;$C$7,BD!$A$3:$A$5001,"&lt;="&amp;$B218,BD!$X$3:$X$5001,"&lt;&gt;")=0,"",SUMIFS(BD!$X$3:$X$5001,BD!$B$3:$B$5001,D$208,BD!$A$3:$A$5001,_xlfn.MAXIFS(BD!$A$3:$A$5001,BD!$B$3:$B$5001,D$208,BD!$A$3:$A$5001,"&gt;="&amp;$C$7,BD!$A$3:$A$5001,"&lt;="&amp;$B218,BD!$X$3:$X$5001,"&lt;&gt;"))))</f>
        <v/>
      </c>
      <c r="E218" s="42" t="str">
        <f>IF(OR($B218="",$A218&gt;$B$9),"",IF(COUNTIFS(BD!$B$3:$B$5001,E$208,BD!$A$3:$A$5001,"&gt;="&amp;$C$7,BD!$A$3:$A$5001,"&lt;="&amp;$B218,BD!$X$3:$X$5001,"&lt;&gt;")=0,"",SUMIFS(BD!$X$3:$X$5001,BD!$B$3:$B$5001,E$208,BD!$A$3:$A$5001,_xlfn.MAXIFS(BD!$A$3:$A$5001,BD!$B$3:$B$5001,E$208,BD!$A$3:$A$5001,"&gt;="&amp;$C$7,BD!$A$3:$A$5001,"&lt;="&amp;$B218,BD!$X$3:$X$5001,"&lt;&gt;"))))</f>
        <v/>
      </c>
      <c r="F218" s="42" t="str">
        <f>IF(OR($B218="",$A218&gt;$B$9),"",IF(COUNTIFS(BD!$B$3:$B$5001,F$208,BD!$A$3:$A$5001,"&gt;="&amp;$C$7,BD!$A$3:$A$5001,"&lt;="&amp;$B218,BD!$X$3:$X$5001,"&lt;&gt;")=0,"",SUMIFS(BD!$X$3:$X$5001,BD!$B$3:$B$5001,F$208,BD!$A$3:$A$5001,_xlfn.MAXIFS(BD!$A$3:$A$5001,BD!$B$3:$B$5001,F$208,BD!$A$3:$A$5001,"&gt;="&amp;$C$7,BD!$A$3:$A$5001,"&lt;="&amp;$B218,BD!$X$3:$X$5001,"&lt;&gt;"))))</f>
        <v/>
      </c>
      <c r="G218" s="42" t="str">
        <f>IF(OR($B218="",$A218&gt;$B$9),"",IF(COUNTIFS(BD!$B$3:$B$5001,G$208,BD!$A$3:$A$5001,"&gt;="&amp;$C$7,BD!$A$3:$A$5001,"&lt;="&amp;$B218,BD!$X$3:$X$5001,"&lt;&gt;")=0,"",SUMIFS(BD!$X$3:$X$5001,BD!$B$3:$B$5001,G$208,BD!$A$3:$A$5001,_xlfn.MAXIFS(BD!$A$3:$A$5001,BD!$B$3:$B$5001,G$208,BD!$A$3:$A$5001,"&gt;="&amp;$C$7,BD!$A$3:$A$5001,"&lt;="&amp;$B218,BD!$X$3:$X$5001,"&lt;&gt;"))))</f>
        <v/>
      </c>
      <c r="H218" s="42" t="str">
        <f>IF(OR($B218="",$A218&gt;$B$9),"",IF(COUNTIFS(BD!$B$3:$B$5001,H$208,BD!$A$3:$A$5001,"&gt;="&amp;$C$7,BD!$A$3:$A$5001,"&lt;="&amp;$B218,BD!$X$3:$X$5001,"&lt;&gt;")=0,"",SUMIFS(BD!$X$3:$X$5001,BD!$B$3:$B$5001,H$208,BD!$A$3:$A$5001,_xlfn.MAXIFS(BD!$A$3:$A$5001,BD!$B$3:$B$5001,H$208,BD!$A$3:$A$5001,"&gt;="&amp;$C$7,BD!$A$3:$A$5001,"&lt;="&amp;$B218,BD!$X$3:$X$5001,"&lt;&gt;"))))</f>
        <v/>
      </c>
      <c r="I218" s="42" t="str">
        <f>IF(OR($B218="",$A218&gt;$B$9),"",IF(COUNTIFS(BD!$B$3:$B$5001,I$208,BD!$A$3:$A$5001,"&gt;="&amp;$C$7,BD!$A$3:$A$5001,"&lt;="&amp;$B218,BD!$X$3:$X$5001,"&lt;&gt;")=0,"",SUMIFS(BD!$X$3:$X$5001,BD!$B$3:$B$5001,I$208,BD!$A$3:$A$5001,_xlfn.MAXIFS(BD!$A$3:$A$5001,BD!$B$3:$B$5001,I$208,BD!$A$3:$A$5001,"&gt;="&amp;$C$7,BD!$A$3:$A$5001,"&lt;="&amp;$B218,BD!$X$3:$X$5001,"&lt;&gt;"))))</f>
        <v/>
      </c>
      <c r="J218" s="42" t="str">
        <f>IF(OR($B218="",$A218&gt;$B$9),"",IF(COUNTIFS(BD!$B$3:$B$5001,J$208,BD!$A$3:$A$5001,"&gt;="&amp;$C$7,BD!$A$3:$A$5001,"&lt;="&amp;$B218,BD!$X$3:$X$5001,"&lt;&gt;")=0,"",SUMIFS(BD!$X$3:$X$5001,BD!$B$3:$B$5001,J$208,BD!$A$3:$A$5001,_xlfn.MAXIFS(BD!$A$3:$A$5001,BD!$B$3:$B$5001,J$208,BD!$A$3:$A$5001,"&gt;="&amp;$C$7,BD!$A$3:$A$5001,"&lt;="&amp;$B218,BD!$X$3:$X$5001,"&lt;&gt;"))))</f>
        <v/>
      </c>
      <c r="K218" s="42" t="str">
        <f>IF(OR($B218="",$A218&gt;$B$9),"",IF(COUNTIFS(BD!$B$3:$B$5001,K$208,BD!$A$3:$A$5001,"&gt;="&amp;$C$7,BD!$A$3:$A$5001,"&lt;="&amp;$B218,BD!$X$3:$X$5001,"&lt;&gt;")=0,"",SUMIFS(BD!$X$3:$X$5001,BD!$B$3:$B$5001,K$208,BD!$A$3:$A$5001,_xlfn.MAXIFS(BD!$A$3:$A$5001,BD!$B$3:$B$5001,K$208,BD!$A$3:$A$5001,"&gt;="&amp;$C$7,BD!$A$3:$A$5001,"&lt;="&amp;$B218,BD!$X$3:$X$5001,"&lt;&gt;"))))</f>
        <v/>
      </c>
    </row>
    <row r="219">
      <c r="A219" s="40">
        <v>11</v>
      </c>
      <c r="B219" s="41">
        <f>$B$22</f>
        <v>46306</v>
      </c>
      <c r="C219" s="42" t="str">
        <f>IF(OR($B219="",$A219&gt;$B$9),"",IF(COUNTIFS(BD!$B$3:$B$5001,C$208,BD!$A$3:$A$5001,"&gt;="&amp;$C$7,BD!$A$3:$A$5001,"&lt;="&amp;$B219,BD!$X$3:$X$5001,"&lt;&gt;")=0,"",SUMIFS(BD!$X$3:$X$5001,BD!$B$3:$B$5001,C$208,BD!$A$3:$A$5001,_xlfn.MAXIFS(BD!$A$3:$A$5001,BD!$B$3:$B$5001,C$208,BD!$A$3:$A$5001,"&gt;="&amp;$C$7,BD!$A$3:$A$5001,"&lt;="&amp;$B219,BD!$X$3:$X$5001,"&lt;&gt;"))))</f>
        <v/>
      </c>
      <c r="D219" s="42" t="str">
        <f>IF(OR($B219="",$A219&gt;$B$9),"",IF(COUNTIFS(BD!$B$3:$B$5001,D$208,BD!$A$3:$A$5001,"&gt;="&amp;$C$7,BD!$A$3:$A$5001,"&lt;="&amp;$B219,BD!$X$3:$X$5001,"&lt;&gt;")=0,"",SUMIFS(BD!$X$3:$X$5001,BD!$B$3:$B$5001,D$208,BD!$A$3:$A$5001,_xlfn.MAXIFS(BD!$A$3:$A$5001,BD!$B$3:$B$5001,D$208,BD!$A$3:$A$5001,"&gt;="&amp;$C$7,BD!$A$3:$A$5001,"&lt;="&amp;$B219,BD!$X$3:$X$5001,"&lt;&gt;"))))</f>
        <v/>
      </c>
      <c r="E219" s="42" t="str">
        <f>IF(OR($B219="",$A219&gt;$B$9),"",IF(COUNTIFS(BD!$B$3:$B$5001,E$208,BD!$A$3:$A$5001,"&gt;="&amp;$C$7,BD!$A$3:$A$5001,"&lt;="&amp;$B219,BD!$X$3:$X$5001,"&lt;&gt;")=0,"",SUMIFS(BD!$X$3:$X$5001,BD!$B$3:$B$5001,E$208,BD!$A$3:$A$5001,_xlfn.MAXIFS(BD!$A$3:$A$5001,BD!$B$3:$B$5001,E$208,BD!$A$3:$A$5001,"&gt;="&amp;$C$7,BD!$A$3:$A$5001,"&lt;="&amp;$B219,BD!$X$3:$X$5001,"&lt;&gt;"))))</f>
        <v/>
      </c>
      <c r="F219" s="42" t="str">
        <f>IF(OR($B219="",$A219&gt;$B$9),"",IF(COUNTIFS(BD!$B$3:$B$5001,F$208,BD!$A$3:$A$5001,"&gt;="&amp;$C$7,BD!$A$3:$A$5001,"&lt;="&amp;$B219,BD!$X$3:$X$5001,"&lt;&gt;")=0,"",SUMIFS(BD!$X$3:$X$5001,BD!$B$3:$B$5001,F$208,BD!$A$3:$A$5001,_xlfn.MAXIFS(BD!$A$3:$A$5001,BD!$B$3:$B$5001,F$208,BD!$A$3:$A$5001,"&gt;="&amp;$C$7,BD!$A$3:$A$5001,"&lt;="&amp;$B219,BD!$X$3:$X$5001,"&lt;&gt;"))))</f>
        <v/>
      </c>
      <c r="G219" s="42" t="str">
        <f>IF(OR($B219="",$A219&gt;$B$9),"",IF(COUNTIFS(BD!$B$3:$B$5001,G$208,BD!$A$3:$A$5001,"&gt;="&amp;$C$7,BD!$A$3:$A$5001,"&lt;="&amp;$B219,BD!$X$3:$X$5001,"&lt;&gt;")=0,"",SUMIFS(BD!$X$3:$X$5001,BD!$B$3:$B$5001,G$208,BD!$A$3:$A$5001,_xlfn.MAXIFS(BD!$A$3:$A$5001,BD!$B$3:$B$5001,G$208,BD!$A$3:$A$5001,"&gt;="&amp;$C$7,BD!$A$3:$A$5001,"&lt;="&amp;$B219,BD!$X$3:$X$5001,"&lt;&gt;"))))</f>
        <v/>
      </c>
      <c r="H219" s="42" t="str">
        <f>IF(OR($B219="",$A219&gt;$B$9),"",IF(COUNTIFS(BD!$B$3:$B$5001,H$208,BD!$A$3:$A$5001,"&gt;="&amp;$C$7,BD!$A$3:$A$5001,"&lt;="&amp;$B219,BD!$X$3:$X$5001,"&lt;&gt;")=0,"",SUMIFS(BD!$X$3:$X$5001,BD!$B$3:$B$5001,H$208,BD!$A$3:$A$5001,_xlfn.MAXIFS(BD!$A$3:$A$5001,BD!$B$3:$B$5001,H$208,BD!$A$3:$A$5001,"&gt;="&amp;$C$7,BD!$A$3:$A$5001,"&lt;="&amp;$B219,BD!$X$3:$X$5001,"&lt;&gt;"))))</f>
        <v/>
      </c>
      <c r="I219" s="42" t="str">
        <f>IF(OR($B219="",$A219&gt;$B$9),"",IF(COUNTIFS(BD!$B$3:$B$5001,I$208,BD!$A$3:$A$5001,"&gt;="&amp;$C$7,BD!$A$3:$A$5001,"&lt;="&amp;$B219,BD!$X$3:$X$5001,"&lt;&gt;")=0,"",SUMIFS(BD!$X$3:$X$5001,BD!$B$3:$B$5001,I$208,BD!$A$3:$A$5001,_xlfn.MAXIFS(BD!$A$3:$A$5001,BD!$B$3:$B$5001,I$208,BD!$A$3:$A$5001,"&gt;="&amp;$C$7,BD!$A$3:$A$5001,"&lt;="&amp;$B219,BD!$X$3:$X$5001,"&lt;&gt;"))))</f>
        <v/>
      </c>
      <c r="J219" s="42" t="str">
        <f>IF(OR($B219="",$A219&gt;$B$9),"",IF(COUNTIFS(BD!$B$3:$B$5001,J$208,BD!$A$3:$A$5001,"&gt;="&amp;$C$7,BD!$A$3:$A$5001,"&lt;="&amp;$B219,BD!$X$3:$X$5001,"&lt;&gt;")=0,"",SUMIFS(BD!$X$3:$X$5001,BD!$B$3:$B$5001,J$208,BD!$A$3:$A$5001,_xlfn.MAXIFS(BD!$A$3:$A$5001,BD!$B$3:$B$5001,J$208,BD!$A$3:$A$5001,"&gt;="&amp;$C$7,BD!$A$3:$A$5001,"&lt;="&amp;$B219,BD!$X$3:$X$5001,"&lt;&gt;"))))</f>
        <v/>
      </c>
      <c r="K219" s="42" t="str">
        <f>IF(OR($B219="",$A219&gt;$B$9),"",IF(COUNTIFS(BD!$B$3:$B$5001,K$208,BD!$A$3:$A$5001,"&gt;="&amp;$C$7,BD!$A$3:$A$5001,"&lt;="&amp;$B219,BD!$X$3:$X$5001,"&lt;&gt;")=0,"",SUMIFS(BD!$X$3:$X$5001,BD!$B$3:$B$5001,K$208,BD!$A$3:$A$5001,_xlfn.MAXIFS(BD!$A$3:$A$5001,BD!$B$3:$B$5001,K$208,BD!$A$3:$A$5001,"&gt;="&amp;$C$7,BD!$A$3:$A$5001,"&lt;="&amp;$B219,BD!$X$3:$X$5001,"&lt;&gt;"))))</f>
        <v/>
      </c>
    </row>
    <row r="220">
      <c r="A220" s="40">
        <v>12</v>
      </c>
      <c r="B220" s="41">
        <f>$B$23</f>
        <v>46307</v>
      </c>
      <c r="C220" s="42" t="str">
        <f>IF(OR($B220="",$A220&gt;$B$9),"",IF(COUNTIFS(BD!$B$3:$B$5001,C$208,BD!$A$3:$A$5001,"&gt;="&amp;$C$7,BD!$A$3:$A$5001,"&lt;="&amp;$B220,BD!$X$3:$X$5001,"&lt;&gt;")=0,"",SUMIFS(BD!$X$3:$X$5001,BD!$B$3:$B$5001,C$208,BD!$A$3:$A$5001,_xlfn.MAXIFS(BD!$A$3:$A$5001,BD!$B$3:$B$5001,C$208,BD!$A$3:$A$5001,"&gt;="&amp;$C$7,BD!$A$3:$A$5001,"&lt;="&amp;$B220,BD!$X$3:$X$5001,"&lt;&gt;"))))</f>
        <v/>
      </c>
      <c r="D220" s="42" t="str">
        <f>IF(OR($B220="",$A220&gt;$B$9),"",IF(COUNTIFS(BD!$B$3:$B$5001,D$208,BD!$A$3:$A$5001,"&gt;="&amp;$C$7,BD!$A$3:$A$5001,"&lt;="&amp;$B220,BD!$X$3:$X$5001,"&lt;&gt;")=0,"",SUMIFS(BD!$X$3:$X$5001,BD!$B$3:$B$5001,D$208,BD!$A$3:$A$5001,_xlfn.MAXIFS(BD!$A$3:$A$5001,BD!$B$3:$B$5001,D$208,BD!$A$3:$A$5001,"&gt;="&amp;$C$7,BD!$A$3:$A$5001,"&lt;="&amp;$B220,BD!$X$3:$X$5001,"&lt;&gt;"))))</f>
        <v/>
      </c>
      <c r="E220" s="42" t="str">
        <f>IF(OR($B220="",$A220&gt;$B$9),"",IF(COUNTIFS(BD!$B$3:$B$5001,E$208,BD!$A$3:$A$5001,"&gt;="&amp;$C$7,BD!$A$3:$A$5001,"&lt;="&amp;$B220,BD!$X$3:$X$5001,"&lt;&gt;")=0,"",SUMIFS(BD!$X$3:$X$5001,BD!$B$3:$B$5001,E$208,BD!$A$3:$A$5001,_xlfn.MAXIFS(BD!$A$3:$A$5001,BD!$B$3:$B$5001,E$208,BD!$A$3:$A$5001,"&gt;="&amp;$C$7,BD!$A$3:$A$5001,"&lt;="&amp;$B220,BD!$X$3:$X$5001,"&lt;&gt;"))))</f>
        <v/>
      </c>
      <c r="F220" s="42" t="str">
        <f>IF(OR($B220="",$A220&gt;$B$9),"",IF(COUNTIFS(BD!$B$3:$B$5001,F$208,BD!$A$3:$A$5001,"&gt;="&amp;$C$7,BD!$A$3:$A$5001,"&lt;="&amp;$B220,BD!$X$3:$X$5001,"&lt;&gt;")=0,"",SUMIFS(BD!$X$3:$X$5001,BD!$B$3:$B$5001,F$208,BD!$A$3:$A$5001,_xlfn.MAXIFS(BD!$A$3:$A$5001,BD!$B$3:$B$5001,F$208,BD!$A$3:$A$5001,"&gt;="&amp;$C$7,BD!$A$3:$A$5001,"&lt;="&amp;$B220,BD!$X$3:$X$5001,"&lt;&gt;"))))</f>
        <v/>
      </c>
      <c r="G220" s="42" t="str">
        <f>IF(OR($B220="",$A220&gt;$B$9),"",IF(COUNTIFS(BD!$B$3:$B$5001,G$208,BD!$A$3:$A$5001,"&gt;="&amp;$C$7,BD!$A$3:$A$5001,"&lt;="&amp;$B220,BD!$X$3:$X$5001,"&lt;&gt;")=0,"",SUMIFS(BD!$X$3:$X$5001,BD!$B$3:$B$5001,G$208,BD!$A$3:$A$5001,_xlfn.MAXIFS(BD!$A$3:$A$5001,BD!$B$3:$B$5001,G$208,BD!$A$3:$A$5001,"&gt;="&amp;$C$7,BD!$A$3:$A$5001,"&lt;="&amp;$B220,BD!$X$3:$X$5001,"&lt;&gt;"))))</f>
        <v/>
      </c>
      <c r="H220" s="42" t="str">
        <f>IF(OR($B220="",$A220&gt;$B$9),"",IF(COUNTIFS(BD!$B$3:$B$5001,H$208,BD!$A$3:$A$5001,"&gt;="&amp;$C$7,BD!$A$3:$A$5001,"&lt;="&amp;$B220,BD!$X$3:$X$5001,"&lt;&gt;")=0,"",SUMIFS(BD!$X$3:$X$5001,BD!$B$3:$B$5001,H$208,BD!$A$3:$A$5001,_xlfn.MAXIFS(BD!$A$3:$A$5001,BD!$B$3:$B$5001,H$208,BD!$A$3:$A$5001,"&gt;="&amp;$C$7,BD!$A$3:$A$5001,"&lt;="&amp;$B220,BD!$X$3:$X$5001,"&lt;&gt;"))))</f>
        <v/>
      </c>
      <c r="I220" s="42" t="str">
        <f>IF(OR($B220="",$A220&gt;$B$9),"",IF(COUNTIFS(BD!$B$3:$B$5001,I$208,BD!$A$3:$A$5001,"&gt;="&amp;$C$7,BD!$A$3:$A$5001,"&lt;="&amp;$B220,BD!$X$3:$X$5001,"&lt;&gt;")=0,"",SUMIFS(BD!$X$3:$X$5001,BD!$B$3:$B$5001,I$208,BD!$A$3:$A$5001,_xlfn.MAXIFS(BD!$A$3:$A$5001,BD!$B$3:$B$5001,I$208,BD!$A$3:$A$5001,"&gt;="&amp;$C$7,BD!$A$3:$A$5001,"&lt;="&amp;$B220,BD!$X$3:$X$5001,"&lt;&gt;"))))</f>
        <v/>
      </c>
      <c r="J220" s="42" t="str">
        <f>IF(OR($B220="",$A220&gt;$B$9),"",IF(COUNTIFS(BD!$B$3:$B$5001,J$208,BD!$A$3:$A$5001,"&gt;="&amp;$C$7,BD!$A$3:$A$5001,"&lt;="&amp;$B220,BD!$X$3:$X$5001,"&lt;&gt;")=0,"",SUMIFS(BD!$X$3:$X$5001,BD!$B$3:$B$5001,J$208,BD!$A$3:$A$5001,_xlfn.MAXIFS(BD!$A$3:$A$5001,BD!$B$3:$B$5001,J$208,BD!$A$3:$A$5001,"&gt;="&amp;$C$7,BD!$A$3:$A$5001,"&lt;="&amp;$B220,BD!$X$3:$X$5001,"&lt;&gt;"))))</f>
        <v/>
      </c>
      <c r="K220" s="42" t="str">
        <f>IF(OR($B220="",$A220&gt;$B$9),"",IF(COUNTIFS(BD!$B$3:$B$5001,K$208,BD!$A$3:$A$5001,"&gt;="&amp;$C$7,BD!$A$3:$A$5001,"&lt;="&amp;$B220,BD!$X$3:$X$5001,"&lt;&gt;")=0,"",SUMIFS(BD!$X$3:$X$5001,BD!$B$3:$B$5001,K$208,BD!$A$3:$A$5001,_xlfn.MAXIFS(BD!$A$3:$A$5001,BD!$B$3:$B$5001,K$208,BD!$A$3:$A$5001,"&gt;="&amp;$C$7,BD!$A$3:$A$5001,"&lt;="&amp;$B220,BD!$X$3:$X$5001,"&lt;&gt;"))))</f>
        <v/>
      </c>
    </row>
    <row r="221">
      <c r="A221" s="40">
        <v>13</v>
      </c>
      <c r="B221" s="41">
        <f>$B$24</f>
        <v>46308</v>
      </c>
      <c r="C221" s="42" t="str">
        <f>IF(OR($B221="",$A221&gt;$B$9),"",IF(COUNTIFS(BD!$B$3:$B$5001,C$208,BD!$A$3:$A$5001,"&gt;="&amp;$C$7,BD!$A$3:$A$5001,"&lt;="&amp;$B221,BD!$X$3:$X$5001,"&lt;&gt;")=0,"",SUMIFS(BD!$X$3:$X$5001,BD!$B$3:$B$5001,C$208,BD!$A$3:$A$5001,_xlfn.MAXIFS(BD!$A$3:$A$5001,BD!$B$3:$B$5001,C$208,BD!$A$3:$A$5001,"&gt;="&amp;$C$7,BD!$A$3:$A$5001,"&lt;="&amp;$B221,BD!$X$3:$X$5001,"&lt;&gt;"))))</f>
        <v/>
      </c>
      <c r="D221" s="42" t="str">
        <f>IF(OR($B221="",$A221&gt;$B$9),"",IF(COUNTIFS(BD!$B$3:$B$5001,D$208,BD!$A$3:$A$5001,"&gt;="&amp;$C$7,BD!$A$3:$A$5001,"&lt;="&amp;$B221,BD!$X$3:$X$5001,"&lt;&gt;")=0,"",SUMIFS(BD!$X$3:$X$5001,BD!$B$3:$B$5001,D$208,BD!$A$3:$A$5001,_xlfn.MAXIFS(BD!$A$3:$A$5001,BD!$B$3:$B$5001,D$208,BD!$A$3:$A$5001,"&gt;="&amp;$C$7,BD!$A$3:$A$5001,"&lt;="&amp;$B221,BD!$X$3:$X$5001,"&lt;&gt;"))))</f>
        <v/>
      </c>
      <c r="E221" s="42" t="str">
        <f>IF(OR($B221="",$A221&gt;$B$9),"",IF(COUNTIFS(BD!$B$3:$B$5001,E$208,BD!$A$3:$A$5001,"&gt;="&amp;$C$7,BD!$A$3:$A$5001,"&lt;="&amp;$B221,BD!$X$3:$X$5001,"&lt;&gt;")=0,"",SUMIFS(BD!$X$3:$X$5001,BD!$B$3:$B$5001,E$208,BD!$A$3:$A$5001,_xlfn.MAXIFS(BD!$A$3:$A$5001,BD!$B$3:$B$5001,E$208,BD!$A$3:$A$5001,"&gt;="&amp;$C$7,BD!$A$3:$A$5001,"&lt;="&amp;$B221,BD!$X$3:$X$5001,"&lt;&gt;"))))</f>
        <v/>
      </c>
      <c r="F221" s="42" t="str">
        <f>IF(OR($B221="",$A221&gt;$B$9),"",IF(COUNTIFS(BD!$B$3:$B$5001,F$208,BD!$A$3:$A$5001,"&gt;="&amp;$C$7,BD!$A$3:$A$5001,"&lt;="&amp;$B221,BD!$X$3:$X$5001,"&lt;&gt;")=0,"",SUMIFS(BD!$X$3:$X$5001,BD!$B$3:$B$5001,F$208,BD!$A$3:$A$5001,_xlfn.MAXIFS(BD!$A$3:$A$5001,BD!$B$3:$B$5001,F$208,BD!$A$3:$A$5001,"&gt;="&amp;$C$7,BD!$A$3:$A$5001,"&lt;="&amp;$B221,BD!$X$3:$X$5001,"&lt;&gt;"))))</f>
        <v/>
      </c>
      <c r="G221" s="42" t="str">
        <f>IF(OR($B221="",$A221&gt;$B$9),"",IF(COUNTIFS(BD!$B$3:$B$5001,G$208,BD!$A$3:$A$5001,"&gt;="&amp;$C$7,BD!$A$3:$A$5001,"&lt;="&amp;$B221,BD!$X$3:$X$5001,"&lt;&gt;")=0,"",SUMIFS(BD!$X$3:$X$5001,BD!$B$3:$B$5001,G$208,BD!$A$3:$A$5001,_xlfn.MAXIFS(BD!$A$3:$A$5001,BD!$B$3:$B$5001,G$208,BD!$A$3:$A$5001,"&gt;="&amp;$C$7,BD!$A$3:$A$5001,"&lt;="&amp;$B221,BD!$X$3:$X$5001,"&lt;&gt;"))))</f>
        <v/>
      </c>
      <c r="H221" s="42" t="str">
        <f>IF(OR($B221="",$A221&gt;$B$9),"",IF(COUNTIFS(BD!$B$3:$B$5001,H$208,BD!$A$3:$A$5001,"&gt;="&amp;$C$7,BD!$A$3:$A$5001,"&lt;="&amp;$B221,BD!$X$3:$X$5001,"&lt;&gt;")=0,"",SUMIFS(BD!$X$3:$X$5001,BD!$B$3:$B$5001,H$208,BD!$A$3:$A$5001,_xlfn.MAXIFS(BD!$A$3:$A$5001,BD!$B$3:$B$5001,H$208,BD!$A$3:$A$5001,"&gt;="&amp;$C$7,BD!$A$3:$A$5001,"&lt;="&amp;$B221,BD!$X$3:$X$5001,"&lt;&gt;"))))</f>
        <v/>
      </c>
      <c r="I221" s="42" t="str">
        <f>IF(OR($B221="",$A221&gt;$B$9),"",IF(COUNTIFS(BD!$B$3:$B$5001,I$208,BD!$A$3:$A$5001,"&gt;="&amp;$C$7,BD!$A$3:$A$5001,"&lt;="&amp;$B221,BD!$X$3:$X$5001,"&lt;&gt;")=0,"",SUMIFS(BD!$X$3:$X$5001,BD!$B$3:$B$5001,I$208,BD!$A$3:$A$5001,_xlfn.MAXIFS(BD!$A$3:$A$5001,BD!$B$3:$B$5001,I$208,BD!$A$3:$A$5001,"&gt;="&amp;$C$7,BD!$A$3:$A$5001,"&lt;="&amp;$B221,BD!$X$3:$X$5001,"&lt;&gt;"))))</f>
        <v/>
      </c>
      <c r="J221" s="42" t="str">
        <f>IF(OR($B221="",$A221&gt;$B$9),"",IF(COUNTIFS(BD!$B$3:$B$5001,J$208,BD!$A$3:$A$5001,"&gt;="&amp;$C$7,BD!$A$3:$A$5001,"&lt;="&amp;$B221,BD!$X$3:$X$5001,"&lt;&gt;")=0,"",SUMIFS(BD!$X$3:$X$5001,BD!$B$3:$B$5001,J$208,BD!$A$3:$A$5001,_xlfn.MAXIFS(BD!$A$3:$A$5001,BD!$B$3:$B$5001,J$208,BD!$A$3:$A$5001,"&gt;="&amp;$C$7,BD!$A$3:$A$5001,"&lt;="&amp;$B221,BD!$X$3:$X$5001,"&lt;&gt;"))))</f>
        <v/>
      </c>
      <c r="K221" s="42" t="str">
        <f>IF(OR($B221="",$A221&gt;$B$9),"",IF(COUNTIFS(BD!$B$3:$B$5001,K$208,BD!$A$3:$A$5001,"&gt;="&amp;$C$7,BD!$A$3:$A$5001,"&lt;="&amp;$B221,BD!$X$3:$X$5001,"&lt;&gt;")=0,"",SUMIFS(BD!$X$3:$X$5001,BD!$B$3:$B$5001,K$208,BD!$A$3:$A$5001,_xlfn.MAXIFS(BD!$A$3:$A$5001,BD!$B$3:$B$5001,K$208,BD!$A$3:$A$5001,"&gt;="&amp;$C$7,BD!$A$3:$A$5001,"&lt;="&amp;$B221,BD!$X$3:$X$5001,"&lt;&gt;"))))</f>
        <v/>
      </c>
    </row>
    <row r="222">
      <c r="A222" s="40">
        <v>14</v>
      </c>
      <c r="B222" s="41">
        <f>$B$25</f>
        <v>46309</v>
      </c>
      <c r="C222" s="42" t="str">
        <f>IF(OR($B222="",$A222&gt;$B$9),"",IF(COUNTIFS(BD!$B$3:$B$5001,C$208,BD!$A$3:$A$5001,"&gt;="&amp;$C$7,BD!$A$3:$A$5001,"&lt;="&amp;$B222,BD!$X$3:$X$5001,"&lt;&gt;")=0,"",SUMIFS(BD!$X$3:$X$5001,BD!$B$3:$B$5001,C$208,BD!$A$3:$A$5001,_xlfn.MAXIFS(BD!$A$3:$A$5001,BD!$B$3:$B$5001,C$208,BD!$A$3:$A$5001,"&gt;="&amp;$C$7,BD!$A$3:$A$5001,"&lt;="&amp;$B222,BD!$X$3:$X$5001,"&lt;&gt;"))))</f>
        <v/>
      </c>
      <c r="D222" s="42" t="str">
        <f>IF(OR($B222="",$A222&gt;$B$9),"",IF(COUNTIFS(BD!$B$3:$B$5001,D$208,BD!$A$3:$A$5001,"&gt;="&amp;$C$7,BD!$A$3:$A$5001,"&lt;="&amp;$B222,BD!$X$3:$X$5001,"&lt;&gt;")=0,"",SUMIFS(BD!$X$3:$X$5001,BD!$B$3:$B$5001,D$208,BD!$A$3:$A$5001,_xlfn.MAXIFS(BD!$A$3:$A$5001,BD!$B$3:$B$5001,D$208,BD!$A$3:$A$5001,"&gt;="&amp;$C$7,BD!$A$3:$A$5001,"&lt;="&amp;$B222,BD!$X$3:$X$5001,"&lt;&gt;"))))</f>
        <v/>
      </c>
      <c r="E222" s="42" t="str">
        <f>IF(OR($B222="",$A222&gt;$B$9),"",IF(COUNTIFS(BD!$B$3:$B$5001,E$208,BD!$A$3:$A$5001,"&gt;="&amp;$C$7,BD!$A$3:$A$5001,"&lt;="&amp;$B222,BD!$X$3:$X$5001,"&lt;&gt;")=0,"",SUMIFS(BD!$X$3:$X$5001,BD!$B$3:$B$5001,E$208,BD!$A$3:$A$5001,_xlfn.MAXIFS(BD!$A$3:$A$5001,BD!$B$3:$B$5001,E$208,BD!$A$3:$A$5001,"&gt;="&amp;$C$7,BD!$A$3:$A$5001,"&lt;="&amp;$B222,BD!$X$3:$X$5001,"&lt;&gt;"))))</f>
        <v/>
      </c>
      <c r="F222" s="42" t="str">
        <f>IF(OR($B222="",$A222&gt;$B$9),"",IF(COUNTIFS(BD!$B$3:$B$5001,F$208,BD!$A$3:$A$5001,"&gt;="&amp;$C$7,BD!$A$3:$A$5001,"&lt;="&amp;$B222,BD!$X$3:$X$5001,"&lt;&gt;")=0,"",SUMIFS(BD!$X$3:$X$5001,BD!$B$3:$B$5001,F$208,BD!$A$3:$A$5001,_xlfn.MAXIFS(BD!$A$3:$A$5001,BD!$B$3:$B$5001,F$208,BD!$A$3:$A$5001,"&gt;="&amp;$C$7,BD!$A$3:$A$5001,"&lt;="&amp;$B222,BD!$X$3:$X$5001,"&lt;&gt;"))))</f>
        <v/>
      </c>
      <c r="G222" s="42" t="str">
        <f>IF(OR($B222="",$A222&gt;$B$9),"",IF(COUNTIFS(BD!$B$3:$B$5001,G$208,BD!$A$3:$A$5001,"&gt;="&amp;$C$7,BD!$A$3:$A$5001,"&lt;="&amp;$B222,BD!$X$3:$X$5001,"&lt;&gt;")=0,"",SUMIFS(BD!$X$3:$X$5001,BD!$B$3:$B$5001,G$208,BD!$A$3:$A$5001,_xlfn.MAXIFS(BD!$A$3:$A$5001,BD!$B$3:$B$5001,G$208,BD!$A$3:$A$5001,"&gt;="&amp;$C$7,BD!$A$3:$A$5001,"&lt;="&amp;$B222,BD!$X$3:$X$5001,"&lt;&gt;"))))</f>
        <v/>
      </c>
      <c r="H222" s="42" t="str">
        <f>IF(OR($B222="",$A222&gt;$B$9),"",IF(COUNTIFS(BD!$B$3:$B$5001,H$208,BD!$A$3:$A$5001,"&gt;="&amp;$C$7,BD!$A$3:$A$5001,"&lt;="&amp;$B222,BD!$X$3:$X$5001,"&lt;&gt;")=0,"",SUMIFS(BD!$X$3:$X$5001,BD!$B$3:$B$5001,H$208,BD!$A$3:$A$5001,_xlfn.MAXIFS(BD!$A$3:$A$5001,BD!$B$3:$B$5001,H$208,BD!$A$3:$A$5001,"&gt;="&amp;$C$7,BD!$A$3:$A$5001,"&lt;="&amp;$B222,BD!$X$3:$X$5001,"&lt;&gt;"))))</f>
        <v/>
      </c>
      <c r="I222" s="42" t="str">
        <f>IF(OR($B222="",$A222&gt;$B$9),"",IF(COUNTIFS(BD!$B$3:$B$5001,I$208,BD!$A$3:$A$5001,"&gt;="&amp;$C$7,BD!$A$3:$A$5001,"&lt;="&amp;$B222,BD!$X$3:$X$5001,"&lt;&gt;")=0,"",SUMIFS(BD!$X$3:$X$5001,BD!$B$3:$B$5001,I$208,BD!$A$3:$A$5001,_xlfn.MAXIFS(BD!$A$3:$A$5001,BD!$B$3:$B$5001,I$208,BD!$A$3:$A$5001,"&gt;="&amp;$C$7,BD!$A$3:$A$5001,"&lt;="&amp;$B222,BD!$X$3:$X$5001,"&lt;&gt;"))))</f>
        <v/>
      </c>
      <c r="J222" s="42" t="str">
        <f>IF(OR($B222="",$A222&gt;$B$9),"",IF(COUNTIFS(BD!$B$3:$B$5001,J$208,BD!$A$3:$A$5001,"&gt;="&amp;$C$7,BD!$A$3:$A$5001,"&lt;="&amp;$B222,BD!$X$3:$X$5001,"&lt;&gt;")=0,"",SUMIFS(BD!$X$3:$X$5001,BD!$B$3:$B$5001,J$208,BD!$A$3:$A$5001,_xlfn.MAXIFS(BD!$A$3:$A$5001,BD!$B$3:$B$5001,J$208,BD!$A$3:$A$5001,"&gt;="&amp;$C$7,BD!$A$3:$A$5001,"&lt;="&amp;$B222,BD!$X$3:$X$5001,"&lt;&gt;"))))</f>
        <v/>
      </c>
      <c r="K222" s="42" t="str">
        <f>IF(OR($B222="",$A222&gt;$B$9),"",IF(COUNTIFS(BD!$B$3:$B$5001,K$208,BD!$A$3:$A$5001,"&gt;="&amp;$C$7,BD!$A$3:$A$5001,"&lt;="&amp;$B222,BD!$X$3:$X$5001,"&lt;&gt;")=0,"",SUMIFS(BD!$X$3:$X$5001,BD!$B$3:$B$5001,K$208,BD!$A$3:$A$5001,_xlfn.MAXIFS(BD!$A$3:$A$5001,BD!$B$3:$B$5001,K$208,BD!$A$3:$A$5001,"&gt;="&amp;$C$7,BD!$A$3:$A$5001,"&lt;="&amp;$B222,BD!$X$3:$X$5001,"&lt;&gt;"))))</f>
        <v/>
      </c>
    </row>
    <row r="223">
      <c r="A223" s="40">
        <v>15</v>
      </c>
      <c r="B223" s="41">
        <f>$B$26</f>
        <v>46310</v>
      </c>
      <c r="C223" s="42" t="str">
        <f>IF(OR($B223="",$A223&gt;$B$9),"",IF(COUNTIFS(BD!$B$3:$B$5001,C$208,BD!$A$3:$A$5001,"&gt;="&amp;$C$7,BD!$A$3:$A$5001,"&lt;="&amp;$B223,BD!$X$3:$X$5001,"&lt;&gt;")=0,"",SUMIFS(BD!$X$3:$X$5001,BD!$B$3:$B$5001,C$208,BD!$A$3:$A$5001,_xlfn.MAXIFS(BD!$A$3:$A$5001,BD!$B$3:$B$5001,C$208,BD!$A$3:$A$5001,"&gt;="&amp;$C$7,BD!$A$3:$A$5001,"&lt;="&amp;$B223,BD!$X$3:$X$5001,"&lt;&gt;"))))</f>
        <v/>
      </c>
      <c r="D223" s="42" t="str">
        <f>IF(OR($B223="",$A223&gt;$B$9),"",IF(COUNTIFS(BD!$B$3:$B$5001,D$208,BD!$A$3:$A$5001,"&gt;="&amp;$C$7,BD!$A$3:$A$5001,"&lt;="&amp;$B223,BD!$X$3:$X$5001,"&lt;&gt;")=0,"",SUMIFS(BD!$X$3:$X$5001,BD!$B$3:$B$5001,D$208,BD!$A$3:$A$5001,_xlfn.MAXIFS(BD!$A$3:$A$5001,BD!$B$3:$B$5001,D$208,BD!$A$3:$A$5001,"&gt;="&amp;$C$7,BD!$A$3:$A$5001,"&lt;="&amp;$B223,BD!$X$3:$X$5001,"&lt;&gt;"))))</f>
        <v/>
      </c>
      <c r="E223" s="42" t="str">
        <f>IF(OR($B223="",$A223&gt;$B$9),"",IF(COUNTIFS(BD!$B$3:$B$5001,E$208,BD!$A$3:$A$5001,"&gt;="&amp;$C$7,BD!$A$3:$A$5001,"&lt;="&amp;$B223,BD!$X$3:$X$5001,"&lt;&gt;")=0,"",SUMIFS(BD!$X$3:$X$5001,BD!$B$3:$B$5001,E$208,BD!$A$3:$A$5001,_xlfn.MAXIFS(BD!$A$3:$A$5001,BD!$B$3:$B$5001,E$208,BD!$A$3:$A$5001,"&gt;="&amp;$C$7,BD!$A$3:$A$5001,"&lt;="&amp;$B223,BD!$X$3:$X$5001,"&lt;&gt;"))))</f>
        <v/>
      </c>
      <c r="F223" s="42" t="str">
        <f>IF(OR($B223="",$A223&gt;$B$9),"",IF(COUNTIFS(BD!$B$3:$B$5001,F$208,BD!$A$3:$A$5001,"&gt;="&amp;$C$7,BD!$A$3:$A$5001,"&lt;="&amp;$B223,BD!$X$3:$X$5001,"&lt;&gt;")=0,"",SUMIFS(BD!$X$3:$X$5001,BD!$B$3:$B$5001,F$208,BD!$A$3:$A$5001,_xlfn.MAXIFS(BD!$A$3:$A$5001,BD!$B$3:$B$5001,F$208,BD!$A$3:$A$5001,"&gt;="&amp;$C$7,BD!$A$3:$A$5001,"&lt;="&amp;$B223,BD!$X$3:$X$5001,"&lt;&gt;"))))</f>
        <v/>
      </c>
      <c r="G223" s="42" t="str">
        <f>IF(OR($B223="",$A223&gt;$B$9),"",IF(COUNTIFS(BD!$B$3:$B$5001,G$208,BD!$A$3:$A$5001,"&gt;="&amp;$C$7,BD!$A$3:$A$5001,"&lt;="&amp;$B223,BD!$X$3:$X$5001,"&lt;&gt;")=0,"",SUMIFS(BD!$X$3:$X$5001,BD!$B$3:$B$5001,G$208,BD!$A$3:$A$5001,_xlfn.MAXIFS(BD!$A$3:$A$5001,BD!$B$3:$B$5001,G$208,BD!$A$3:$A$5001,"&gt;="&amp;$C$7,BD!$A$3:$A$5001,"&lt;="&amp;$B223,BD!$X$3:$X$5001,"&lt;&gt;"))))</f>
        <v/>
      </c>
      <c r="H223" s="42" t="str">
        <f>IF(OR($B223="",$A223&gt;$B$9),"",IF(COUNTIFS(BD!$B$3:$B$5001,H$208,BD!$A$3:$A$5001,"&gt;="&amp;$C$7,BD!$A$3:$A$5001,"&lt;="&amp;$B223,BD!$X$3:$X$5001,"&lt;&gt;")=0,"",SUMIFS(BD!$X$3:$X$5001,BD!$B$3:$B$5001,H$208,BD!$A$3:$A$5001,_xlfn.MAXIFS(BD!$A$3:$A$5001,BD!$B$3:$B$5001,H$208,BD!$A$3:$A$5001,"&gt;="&amp;$C$7,BD!$A$3:$A$5001,"&lt;="&amp;$B223,BD!$X$3:$X$5001,"&lt;&gt;"))))</f>
        <v/>
      </c>
      <c r="I223" s="42" t="str">
        <f>IF(OR($B223="",$A223&gt;$B$9),"",IF(COUNTIFS(BD!$B$3:$B$5001,I$208,BD!$A$3:$A$5001,"&gt;="&amp;$C$7,BD!$A$3:$A$5001,"&lt;="&amp;$B223,BD!$X$3:$X$5001,"&lt;&gt;")=0,"",SUMIFS(BD!$X$3:$X$5001,BD!$B$3:$B$5001,I$208,BD!$A$3:$A$5001,_xlfn.MAXIFS(BD!$A$3:$A$5001,BD!$B$3:$B$5001,I$208,BD!$A$3:$A$5001,"&gt;="&amp;$C$7,BD!$A$3:$A$5001,"&lt;="&amp;$B223,BD!$X$3:$X$5001,"&lt;&gt;"))))</f>
        <v/>
      </c>
      <c r="J223" s="42" t="str">
        <f>IF(OR($B223="",$A223&gt;$B$9),"",IF(COUNTIFS(BD!$B$3:$B$5001,J$208,BD!$A$3:$A$5001,"&gt;="&amp;$C$7,BD!$A$3:$A$5001,"&lt;="&amp;$B223,BD!$X$3:$X$5001,"&lt;&gt;")=0,"",SUMIFS(BD!$X$3:$X$5001,BD!$B$3:$B$5001,J$208,BD!$A$3:$A$5001,_xlfn.MAXIFS(BD!$A$3:$A$5001,BD!$B$3:$B$5001,J$208,BD!$A$3:$A$5001,"&gt;="&amp;$C$7,BD!$A$3:$A$5001,"&lt;="&amp;$B223,BD!$X$3:$X$5001,"&lt;&gt;"))))</f>
        <v/>
      </c>
      <c r="K223" s="42" t="str">
        <f>IF(OR($B223="",$A223&gt;$B$9),"",IF(COUNTIFS(BD!$B$3:$B$5001,K$208,BD!$A$3:$A$5001,"&gt;="&amp;$C$7,BD!$A$3:$A$5001,"&lt;="&amp;$B223,BD!$X$3:$X$5001,"&lt;&gt;")=0,"",SUMIFS(BD!$X$3:$X$5001,BD!$B$3:$B$5001,K$208,BD!$A$3:$A$5001,_xlfn.MAXIFS(BD!$A$3:$A$5001,BD!$B$3:$B$5001,K$208,BD!$A$3:$A$5001,"&gt;="&amp;$C$7,BD!$A$3:$A$5001,"&lt;="&amp;$B223,BD!$X$3:$X$5001,"&lt;&gt;"))))</f>
        <v/>
      </c>
    </row>
    <row r="224">
      <c r="A224" s="40">
        <v>16</v>
      </c>
      <c r="B224" s="41">
        <f>$B$27</f>
        <v>46311</v>
      </c>
      <c r="C224" s="42" t="str">
        <f>IF(OR($B224="",$A224&gt;$B$9),"",IF(COUNTIFS(BD!$B$3:$B$5001,C$208,BD!$A$3:$A$5001,"&gt;="&amp;$C$7,BD!$A$3:$A$5001,"&lt;="&amp;$B224,BD!$X$3:$X$5001,"&lt;&gt;")=0,"",SUMIFS(BD!$X$3:$X$5001,BD!$B$3:$B$5001,C$208,BD!$A$3:$A$5001,_xlfn.MAXIFS(BD!$A$3:$A$5001,BD!$B$3:$B$5001,C$208,BD!$A$3:$A$5001,"&gt;="&amp;$C$7,BD!$A$3:$A$5001,"&lt;="&amp;$B224,BD!$X$3:$X$5001,"&lt;&gt;"))))</f>
        <v/>
      </c>
      <c r="D224" s="42" t="str">
        <f>IF(OR($B224="",$A224&gt;$B$9),"",IF(COUNTIFS(BD!$B$3:$B$5001,D$208,BD!$A$3:$A$5001,"&gt;="&amp;$C$7,BD!$A$3:$A$5001,"&lt;="&amp;$B224,BD!$X$3:$X$5001,"&lt;&gt;")=0,"",SUMIFS(BD!$X$3:$X$5001,BD!$B$3:$B$5001,D$208,BD!$A$3:$A$5001,_xlfn.MAXIFS(BD!$A$3:$A$5001,BD!$B$3:$B$5001,D$208,BD!$A$3:$A$5001,"&gt;="&amp;$C$7,BD!$A$3:$A$5001,"&lt;="&amp;$B224,BD!$X$3:$X$5001,"&lt;&gt;"))))</f>
        <v/>
      </c>
      <c r="E224" s="42" t="str">
        <f>IF(OR($B224="",$A224&gt;$B$9),"",IF(COUNTIFS(BD!$B$3:$B$5001,E$208,BD!$A$3:$A$5001,"&gt;="&amp;$C$7,BD!$A$3:$A$5001,"&lt;="&amp;$B224,BD!$X$3:$X$5001,"&lt;&gt;")=0,"",SUMIFS(BD!$X$3:$X$5001,BD!$B$3:$B$5001,E$208,BD!$A$3:$A$5001,_xlfn.MAXIFS(BD!$A$3:$A$5001,BD!$B$3:$B$5001,E$208,BD!$A$3:$A$5001,"&gt;="&amp;$C$7,BD!$A$3:$A$5001,"&lt;="&amp;$B224,BD!$X$3:$X$5001,"&lt;&gt;"))))</f>
        <v/>
      </c>
      <c r="F224" s="42" t="str">
        <f>IF(OR($B224="",$A224&gt;$B$9),"",IF(COUNTIFS(BD!$B$3:$B$5001,F$208,BD!$A$3:$A$5001,"&gt;="&amp;$C$7,BD!$A$3:$A$5001,"&lt;="&amp;$B224,BD!$X$3:$X$5001,"&lt;&gt;")=0,"",SUMIFS(BD!$X$3:$X$5001,BD!$B$3:$B$5001,F$208,BD!$A$3:$A$5001,_xlfn.MAXIFS(BD!$A$3:$A$5001,BD!$B$3:$B$5001,F$208,BD!$A$3:$A$5001,"&gt;="&amp;$C$7,BD!$A$3:$A$5001,"&lt;="&amp;$B224,BD!$X$3:$X$5001,"&lt;&gt;"))))</f>
        <v/>
      </c>
      <c r="G224" s="42" t="str">
        <f>IF(OR($B224="",$A224&gt;$B$9),"",IF(COUNTIFS(BD!$B$3:$B$5001,G$208,BD!$A$3:$A$5001,"&gt;="&amp;$C$7,BD!$A$3:$A$5001,"&lt;="&amp;$B224,BD!$X$3:$X$5001,"&lt;&gt;")=0,"",SUMIFS(BD!$X$3:$X$5001,BD!$B$3:$B$5001,G$208,BD!$A$3:$A$5001,_xlfn.MAXIFS(BD!$A$3:$A$5001,BD!$B$3:$B$5001,G$208,BD!$A$3:$A$5001,"&gt;="&amp;$C$7,BD!$A$3:$A$5001,"&lt;="&amp;$B224,BD!$X$3:$X$5001,"&lt;&gt;"))))</f>
        <v/>
      </c>
      <c r="H224" s="42" t="str">
        <f>IF(OR($B224="",$A224&gt;$B$9),"",IF(COUNTIFS(BD!$B$3:$B$5001,H$208,BD!$A$3:$A$5001,"&gt;="&amp;$C$7,BD!$A$3:$A$5001,"&lt;="&amp;$B224,BD!$X$3:$X$5001,"&lt;&gt;")=0,"",SUMIFS(BD!$X$3:$X$5001,BD!$B$3:$B$5001,H$208,BD!$A$3:$A$5001,_xlfn.MAXIFS(BD!$A$3:$A$5001,BD!$B$3:$B$5001,H$208,BD!$A$3:$A$5001,"&gt;="&amp;$C$7,BD!$A$3:$A$5001,"&lt;="&amp;$B224,BD!$X$3:$X$5001,"&lt;&gt;"))))</f>
        <v/>
      </c>
      <c r="I224" s="42" t="str">
        <f>IF(OR($B224="",$A224&gt;$B$9),"",IF(COUNTIFS(BD!$B$3:$B$5001,I$208,BD!$A$3:$A$5001,"&gt;="&amp;$C$7,BD!$A$3:$A$5001,"&lt;="&amp;$B224,BD!$X$3:$X$5001,"&lt;&gt;")=0,"",SUMIFS(BD!$X$3:$X$5001,BD!$B$3:$B$5001,I$208,BD!$A$3:$A$5001,_xlfn.MAXIFS(BD!$A$3:$A$5001,BD!$B$3:$B$5001,I$208,BD!$A$3:$A$5001,"&gt;="&amp;$C$7,BD!$A$3:$A$5001,"&lt;="&amp;$B224,BD!$X$3:$X$5001,"&lt;&gt;"))))</f>
        <v/>
      </c>
      <c r="J224" s="42" t="str">
        <f>IF(OR($B224="",$A224&gt;$B$9),"",IF(COUNTIFS(BD!$B$3:$B$5001,J$208,BD!$A$3:$A$5001,"&gt;="&amp;$C$7,BD!$A$3:$A$5001,"&lt;="&amp;$B224,BD!$X$3:$X$5001,"&lt;&gt;")=0,"",SUMIFS(BD!$X$3:$X$5001,BD!$B$3:$B$5001,J$208,BD!$A$3:$A$5001,_xlfn.MAXIFS(BD!$A$3:$A$5001,BD!$B$3:$B$5001,J$208,BD!$A$3:$A$5001,"&gt;="&amp;$C$7,BD!$A$3:$A$5001,"&lt;="&amp;$B224,BD!$X$3:$X$5001,"&lt;&gt;"))))</f>
        <v/>
      </c>
      <c r="K224" s="42" t="str">
        <f>IF(OR($B224="",$A224&gt;$B$9),"",IF(COUNTIFS(BD!$B$3:$B$5001,K$208,BD!$A$3:$A$5001,"&gt;="&amp;$C$7,BD!$A$3:$A$5001,"&lt;="&amp;$B224,BD!$X$3:$X$5001,"&lt;&gt;")=0,"",SUMIFS(BD!$X$3:$X$5001,BD!$B$3:$B$5001,K$208,BD!$A$3:$A$5001,_xlfn.MAXIFS(BD!$A$3:$A$5001,BD!$B$3:$B$5001,K$208,BD!$A$3:$A$5001,"&gt;="&amp;$C$7,BD!$A$3:$A$5001,"&lt;="&amp;$B224,BD!$X$3:$X$5001,"&lt;&gt;"))))</f>
        <v/>
      </c>
    </row>
    <row r="225">
      <c r="A225" s="40">
        <v>17</v>
      </c>
      <c r="B225" s="41">
        <f>$B$28</f>
        <v>46312</v>
      </c>
      <c r="C225" s="42" t="str">
        <f>IF(OR($B225="",$A225&gt;$B$9),"",IF(COUNTIFS(BD!$B$3:$B$5001,C$208,BD!$A$3:$A$5001,"&gt;="&amp;$C$7,BD!$A$3:$A$5001,"&lt;="&amp;$B225,BD!$X$3:$X$5001,"&lt;&gt;")=0,"",SUMIFS(BD!$X$3:$X$5001,BD!$B$3:$B$5001,C$208,BD!$A$3:$A$5001,_xlfn.MAXIFS(BD!$A$3:$A$5001,BD!$B$3:$B$5001,C$208,BD!$A$3:$A$5001,"&gt;="&amp;$C$7,BD!$A$3:$A$5001,"&lt;="&amp;$B225,BD!$X$3:$X$5001,"&lt;&gt;"))))</f>
        <v/>
      </c>
      <c r="D225" s="42" t="str">
        <f>IF(OR($B225="",$A225&gt;$B$9),"",IF(COUNTIFS(BD!$B$3:$B$5001,D$208,BD!$A$3:$A$5001,"&gt;="&amp;$C$7,BD!$A$3:$A$5001,"&lt;="&amp;$B225,BD!$X$3:$X$5001,"&lt;&gt;")=0,"",SUMIFS(BD!$X$3:$X$5001,BD!$B$3:$B$5001,D$208,BD!$A$3:$A$5001,_xlfn.MAXIFS(BD!$A$3:$A$5001,BD!$B$3:$B$5001,D$208,BD!$A$3:$A$5001,"&gt;="&amp;$C$7,BD!$A$3:$A$5001,"&lt;="&amp;$B225,BD!$X$3:$X$5001,"&lt;&gt;"))))</f>
        <v/>
      </c>
      <c r="E225" s="42" t="str">
        <f>IF(OR($B225="",$A225&gt;$B$9),"",IF(COUNTIFS(BD!$B$3:$B$5001,E$208,BD!$A$3:$A$5001,"&gt;="&amp;$C$7,BD!$A$3:$A$5001,"&lt;="&amp;$B225,BD!$X$3:$X$5001,"&lt;&gt;")=0,"",SUMIFS(BD!$X$3:$X$5001,BD!$B$3:$B$5001,E$208,BD!$A$3:$A$5001,_xlfn.MAXIFS(BD!$A$3:$A$5001,BD!$B$3:$B$5001,E$208,BD!$A$3:$A$5001,"&gt;="&amp;$C$7,BD!$A$3:$A$5001,"&lt;="&amp;$B225,BD!$X$3:$X$5001,"&lt;&gt;"))))</f>
        <v/>
      </c>
      <c r="F225" s="42" t="str">
        <f>IF(OR($B225="",$A225&gt;$B$9),"",IF(COUNTIFS(BD!$B$3:$B$5001,F$208,BD!$A$3:$A$5001,"&gt;="&amp;$C$7,BD!$A$3:$A$5001,"&lt;="&amp;$B225,BD!$X$3:$X$5001,"&lt;&gt;")=0,"",SUMIFS(BD!$X$3:$X$5001,BD!$B$3:$B$5001,F$208,BD!$A$3:$A$5001,_xlfn.MAXIFS(BD!$A$3:$A$5001,BD!$B$3:$B$5001,F$208,BD!$A$3:$A$5001,"&gt;="&amp;$C$7,BD!$A$3:$A$5001,"&lt;="&amp;$B225,BD!$X$3:$X$5001,"&lt;&gt;"))))</f>
        <v/>
      </c>
      <c r="G225" s="42" t="str">
        <f>IF(OR($B225="",$A225&gt;$B$9),"",IF(COUNTIFS(BD!$B$3:$B$5001,G$208,BD!$A$3:$A$5001,"&gt;="&amp;$C$7,BD!$A$3:$A$5001,"&lt;="&amp;$B225,BD!$X$3:$X$5001,"&lt;&gt;")=0,"",SUMIFS(BD!$X$3:$X$5001,BD!$B$3:$B$5001,G$208,BD!$A$3:$A$5001,_xlfn.MAXIFS(BD!$A$3:$A$5001,BD!$B$3:$B$5001,G$208,BD!$A$3:$A$5001,"&gt;="&amp;$C$7,BD!$A$3:$A$5001,"&lt;="&amp;$B225,BD!$X$3:$X$5001,"&lt;&gt;"))))</f>
        <v/>
      </c>
      <c r="H225" s="42" t="str">
        <f>IF(OR($B225="",$A225&gt;$B$9),"",IF(COUNTIFS(BD!$B$3:$B$5001,H$208,BD!$A$3:$A$5001,"&gt;="&amp;$C$7,BD!$A$3:$A$5001,"&lt;="&amp;$B225,BD!$X$3:$X$5001,"&lt;&gt;")=0,"",SUMIFS(BD!$X$3:$X$5001,BD!$B$3:$B$5001,H$208,BD!$A$3:$A$5001,_xlfn.MAXIFS(BD!$A$3:$A$5001,BD!$B$3:$B$5001,H$208,BD!$A$3:$A$5001,"&gt;="&amp;$C$7,BD!$A$3:$A$5001,"&lt;="&amp;$B225,BD!$X$3:$X$5001,"&lt;&gt;"))))</f>
        <v/>
      </c>
      <c r="I225" s="42" t="str">
        <f>IF(OR($B225="",$A225&gt;$B$9),"",IF(COUNTIFS(BD!$B$3:$B$5001,I$208,BD!$A$3:$A$5001,"&gt;="&amp;$C$7,BD!$A$3:$A$5001,"&lt;="&amp;$B225,BD!$X$3:$X$5001,"&lt;&gt;")=0,"",SUMIFS(BD!$X$3:$X$5001,BD!$B$3:$B$5001,I$208,BD!$A$3:$A$5001,_xlfn.MAXIFS(BD!$A$3:$A$5001,BD!$B$3:$B$5001,I$208,BD!$A$3:$A$5001,"&gt;="&amp;$C$7,BD!$A$3:$A$5001,"&lt;="&amp;$B225,BD!$X$3:$X$5001,"&lt;&gt;"))))</f>
        <v/>
      </c>
      <c r="J225" s="42" t="str">
        <f>IF(OR($B225="",$A225&gt;$B$9),"",IF(COUNTIFS(BD!$B$3:$B$5001,J$208,BD!$A$3:$A$5001,"&gt;="&amp;$C$7,BD!$A$3:$A$5001,"&lt;="&amp;$B225,BD!$X$3:$X$5001,"&lt;&gt;")=0,"",SUMIFS(BD!$X$3:$X$5001,BD!$B$3:$B$5001,J$208,BD!$A$3:$A$5001,_xlfn.MAXIFS(BD!$A$3:$A$5001,BD!$B$3:$B$5001,J$208,BD!$A$3:$A$5001,"&gt;="&amp;$C$7,BD!$A$3:$A$5001,"&lt;="&amp;$B225,BD!$X$3:$X$5001,"&lt;&gt;"))))</f>
        <v/>
      </c>
      <c r="K225" s="42" t="str">
        <f>IF(OR($B225="",$A225&gt;$B$9),"",IF(COUNTIFS(BD!$B$3:$B$5001,K$208,BD!$A$3:$A$5001,"&gt;="&amp;$C$7,BD!$A$3:$A$5001,"&lt;="&amp;$B225,BD!$X$3:$X$5001,"&lt;&gt;")=0,"",SUMIFS(BD!$X$3:$X$5001,BD!$B$3:$B$5001,K$208,BD!$A$3:$A$5001,_xlfn.MAXIFS(BD!$A$3:$A$5001,BD!$B$3:$B$5001,K$208,BD!$A$3:$A$5001,"&gt;="&amp;$C$7,BD!$A$3:$A$5001,"&lt;="&amp;$B225,BD!$X$3:$X$5001,"&lt;&gt;"))))</f>
        <v/>
      </c>
    </row>
    <row r="226">
      <c r="A226" s="40">
        <v>18</v>
      </c>
      <c r="B226" s="41">
        <f>$B$29</f>
        <v>46313</v>
      </c>
      <c r="C226" s="42" t="str">
        <f>IF(OR($B226="",$A226&gt;$B$9),"",IF(COUNTIFS(BD!$B$3:$B$5001,C$208,BD!$A$3:$A$5001,"&gt;="&amp;$C$7,BD!$A$3:$A$5001,"&lt;="&amp;$B226,BD!$X$3:$X$5001,"&lt;&gt;")=0,"",SUMIFS(BD!$X$3:$X$5001,BD!$B$3:$B$5001,C$208,BD!$A$3:$A$5001,_xlfn.MAXIFS(BD!$A$3:$A$5001,BD!$B$3:$B$5001,C$208,BD!$A$3:$A$5001,"&gt;="&amp;$C$7,BD!$A$3:$A$5001,"&lt;="&amp;$B226,BD!$X$3:$X$5001,"&lt;&gt;"))))</f>
        <v/>
      </c>
      <c r="D226" s="42" t="str">
        <f>IF(OR($B226="",$A226&gt;$B$9),"",IF(COUNTIFS(BD!$B$3:$B$5001,D$208,BD!$A$3:$A$5001,"&gt;="&amp;$C$7,BD!$A$3:$A$5001,"&lt;="&amp;$B226,BD!$X$3:$X$5001,"&lt;&gt;")=0,"",SUMIFS(BD!$X$3:$X$5001,BD!$B$3:$B$5001,D$208,BD!$A$3:$A$5001,_xlfn.MAXIFS(BD!$A$3:$A$5001,BD!$B$3:$B$5001,D$208,BD!$A$3:$A$5001,"&gt;="&amp;$C$7,BD!$A$3:$A$5001,"&lt;="&amp;$B226,BD!$X$3:$X$5001,"&lt;&gt;"))))</f>
        <v/>
      </c>
      <c r="E226" s="42" t="str">
        <f>IF(OR($B226="",$A226&gt;$B$9),"",IF(COUNTIFS(BD!$B$3:$B$5001,E$208,BD!$A$3:$A$5001,"&gt;="&amp;$C$7,BD!$A$3:$A$5001,"&lt;="&amp;$B226,BD!$X$3:$X$5001,"&lt;&gt;")=0,"",SUMIFS(BD!$X$3:$X$5001,BD!$B$3:$B$5001,E$208,BD!$A$3:$A$5001,_xlfn.MAXIFS(BD!$A$3:$A$5001,BD!$B$3:$B$5001,E$208,BD!$A$3:$A$5001,"&gt;="&amp;$C$7,BD!$A$3:$A$5001,"&lt;="&amp;$B226,BD!$X$3:$X$5001,"&lt;&gt;"))))</f>
        <v/>
      </c>
      <c r="F226" s="42" t="str">
        <f>IF(OR($B226="",$A226&gt;$B$9),"",IF(COUNTIFS(BD!$B$3:$B$5001,F$208,BD!$A$3:$A$5001,"&gt;="&amp;$C$7,BD!$A$3:$A$5001,"&lt;="&amp;$B226,BD!$X$3:$X$5001,"&lt;&gt;")=0,"",SUMIFS(BD!$X$3:$X$5001,BD!$B$3:$B$5001,F$208,BD!$A$3:$A$5001,_xlfn.MAXIFS(BD!$A$3:$A$5001,BD!$B$3:$B$5001,F$208,BD!$A$3:$A$5001,"&gt;="&amp;$C$7,BD!$A$3:$A$5001,"&lt;="&amp;$B226,BD!$X$3:$X$5001,"&lt;&gt;"))))</f>
        <v/>
      </c>
      <c r="G226" s="42" t="str">
        <f>IF(OR($B226="",$A226&gt;$B$9),"",IF(COUNTIFS(BD!$B$3:$B$5001,G$208,BD!$A$3:$A$5001,"&gt;="&amp;$C$7,BD!$A$3:$A$5001,"&lt;="&amp;$B226,BD!$X$3:$X$5001,"&lt;&gt;")=0,"",SUMIFS(BD!$X$3:$X$5001,BD!$B$3:$B$5001,G$208,BD!$A$3:$A$5001,_xlfn.MAXIFS(BD!$A$3:$A$5001,BD!$B$3:$B$5001,G$208,BD!$A$3:$A$5001,"&gt;="&amp;$C$7,BD!$A$3:$A$5001,"&lt;="&amp;$B226,BD!$X$3:$X$5001,"&lt;&gt;"))))</f>
        <v/>
      </c>
      <c r="H226" s="42" t="str">
        <f>IF(OR($B226="",$A226&gt;$B$9),"",IF(COUNTIFS(BD!$B$3:$B$5001,H$208,BD!$A$3:$A$5001,"&gt;="&amp;$C$7,BD!$A$3:$A$5001,"&lt;="&amp;$B226,BD!$X$3:$X$5001,"&lt;&gt;")=0,"",SUMIFS(BD!$X$3:$X$5001,BD!$B$3:$B$5001,H$208,BD!$A$3:$A$5001,_xlfn.MAXIFS(BD!$A$3:$A$5001,BD!$B$3:$B$5001,H$208,BD!$A$3:$A$5001,"&gt;="&amp;$C$7,BD!$A$3:$A$5001,"&lt;="&amp;$B226,BD!$X$3:$X$5001,"&lt;&gt;"))))</f>
        <v/>
      </c>
      <c r="I226" s="42" t="str">
        <f>IF(OR($B226="",$A226&gt;$B$9),"",IF(COUNTIFS(BD!$B$3:$B$5001,I$208,BD!$A$3:$A$5001,"&gt;="&amp;$C$7,BD!$A$3:$A$5001,"&lt;="&amp;$B226,BD!$X$3:$X$5001,"&lt;&gt;")=0,"",SUMIFS(BD!$X$3:$X$5001,BD!$B$3:$B$5001,I$208,BD!$A$3:$A$5001,_xlfn.MAXIFS(BD!$A$3:$A$5001,BD!$B$3:$B$5001,I$208,BD!$A$3:$A$5001,"&gt;="&amp;$C$7,BD!$A$3:$A$5001,"&lt;="&amp;$B226,BD!$X$3:$X$5001,"&lt;&gt;"))))</f>
        <v/>
      </c>
      <c r="J226" s="42" t="str">
        <f>IF(OR($B226="",$A226&gt;$B$9),"",IF(COUNTIFS(BD!$B$3:$B$5001,J$208,BD!$A$3:$A$5001,"&gt;="&amp;$C$7,BD!$A$3:$A$5001,"&lt;="&amp;$B226,BD!$X$3:$X$5001,"&lt;&gt;")=0,"",SUMIFS(BD!$X$3:$X$5001,BD!$B$3:$B$5001,J$208,BD!$A$3:$A$5001,_xlfn.MAXIFS(BD!$A$3:$A$5001,BD!$B$3:$B$5001,J$208,BD!$A$3:$A$5001,"&gt;="&amp;$C$7,BD!$A$3:$A$5001,"&lt;="&amp;$B226,BD!$X$3:$X$5001,"&lt;&gt;"))))</f>
        <v/>
      </c>
      <c r="K226" s="42" t="str">
        <f>IF(OR($B226="",$A226&gt;$B$9),"",IF(COUNTIFS(BD!$B$3:$B$5001,K$208,BD!$A$3:$A$5001,"&gt;="&amp;$C$7,BD!$A$3:$A$5001,"&lt;="&amp;$B226,BD!$X$3:$X$5001,"&lt;&gt;")=0,"",SUMIFS(BD!$X$3:$X$5001,BD!$B$3:$B$5001,K$208,BD!$A$3:$A$5001,_xlfn.MAXIFS(BD!$A$3:$A$5001,BD!$B$3:$B$5001,K$208,BD!$A$3:$A$5001,"&gt;="&amp;$C$7,BD!$A$3:$A$5001,"&lt;="&amp;$B226,BD!$X$3:$X$5001,"&lt;&gt;"))))</f>
        <v/>
      </c>
    </row>
    <row r="227">
      <c r="A227" s="40">
        <v>19</v>
      </c>
      <c r="B227" s="41">
        <f>$B$30</f>
        <v>46314</v>
      </c>
      <c r="C227" s="42" t="str">
        <f>IF(OR($B227="",$A227&gt;$B$9),"",IF(COUNTIFS(BD!$B$3:$B$5001,C$208,BD!$A$3:$A$5001,"&gt;="&amp;$C$7,BD!$A$3:$A$5001,"&lt;="&amp;$B227,BD!$X$3:$X$5001,"&lt;&gt;")=0,"",SUMIFS(BD!$X$3:$X$5001,BD!$B$3:$B$5001,C$208,BD!$A$3:$A$5001,_xlfn.MAXIFS(BD!$A$3:$A$5001,BD!$B$3:$B$5001,C$208,BD!$A$3:$A$5001,"&gt;="&amp;$C$7,BD!$A$3:$A$5001,"&lt;="&amp;$B227,BD!$X$3:$X$5001,"&lt;&gt;"))))</f>
        <v/>
      </c>
      <c r="D227" s="42" t="str">
        <f>IF(OR($B227="",$A227&gt;$B$9),"",IF(COUNTIFS(BD!$B$3:$B$5001,D$208,BD!$A$3:$A$5001,"&gt;="&amp;$C$7,BD!$A$3:$A$5001,"&lt;="&amp;$B227,BD!$X$3:$X$5001,"&lt;&gt;")=0,"",SUMIFS(BD!$X$3:$X$5001,BD!$B$3:$B$5001,D$208,BD!$A$3:$A$5001,_xlfn.MAXIFS(BD!$A$3:$A$5001,BD!$B$3:$B$5001,D$208,BD!$A$3:$A$5001,"&gt;="&amp;$C$7,BD!$A$3:$A$5001,"&lt;="&amp;$B227,BD!$X$3:$X$5001,"&lt;&gt;"))))</f>
        <v/>
      </c>
      <c r="E227" s="42" t="str">
        <f>IF(OR($B227="",$A227&gt;$B$9),"",IF(COUNTIFS(BD!$B$3:$B$5001,E$208,BD!$A$3:$A$5001,"&gt;="&amp;$C$7,BD!$A$3:$A$5001,"&lt;="&amp;$B227,BD!$X$3:$X$5001,"&lt;&gt;")=0,"",SUMIFS(BD!$X$3:$X$5001,BD!$B$3:$B$5001,E$208,BD!$A$3:$A$5001,_xlfn.MAXIFS(BD!$A$3:$A$5001,BD!$B$3:$B$5001,E$208,BD!$A$3:$A$5001,"&gt;="&amp;$C$7,BD!$A$3:$A$5001,"&lt;="&amp;$B227,BD!$X$3:$X$5001,"&lt;&gt;"))))</f>
        <v/>
      </c>
      <c r="F227" s="42" t="str">
        <f>IF(OR($B227="",$A227&gt;$B$9),"",IF(COUNTIFS(BD!$B$3:$B$5001,F$208,BD!$A$3:$A$5001,"&gt;="&amp;$C$7,BD!$A$3:$A$5001,"&lt;="&amp;$B227,BD!$X$3:$X$5001,"&lt;&gt;")=0,"",SUMIFS(BD!$X$3:$X$5001,BD!$B$3:$B$5001,F$208,BD!$A$3:$A$5001,_xlfn.MAXIFS(BD!$A$3:$A$5001,BD!$B$3:$B$5001,F$208,BD!$A$3:$A$5001,"&gt;="&amp;$C$7,BD!$A$3:$A$5001,"&lt;="&amp;$B227,BD!$X$3:$X$5001,"&lt;&gt;"))))</f>
        <v/>
      </c>
      <c r="G227" s="42" t="str">
        <f>IF(OR($B227="",$A227&gt;$B$9),"",IF(COUNTIFS(BD!$B$3:$B$5001,G$208,BD!$A$3:$A$5001,"&gt;="&amp;$C$7,BD!$A$3:$A$5001,"&lt;="&amp;$B227,BD!$X$3:$X$5001,"&lt;&gt;")=0,"",SUMIFS(BD!$X$3:$X$5001,BD!$B$3:$B$5001,G$208,BD!$A$3:$A$5001,_xlfn.MAXIFS(BD!$A$3:$A$5001,BD!$B$3:$B$5001,G$208,BD!$A$3:$A$5001,"&gt;="&amp;$C$7,BD!$A$3:$A$5001,"&lt;="&amp;$B227,BD!$X$3:$X$5001,"&lt;&gt;"))))</f>
        <v/>
      </c>
      <c r="H227" s="42" t="str">
        <f>IF(OR($B227="",$A227&gt;$B$9),"",IF(COUNTIFS(BD!$B$3:$B$5001,H$208,BD!$A$3:$A$5001,"&gt;="&amp;$C$7,BD!$A$3:$A$5001,"&lt;="&amp;$B227,BD!$X$3:$X$5001,"&lt;&gt;")=0,"",SUMIFS(BD!$X$3:$X$5001,BD!$B$3:$B$5001,H$208,BD!$A$3:$A$5001,_xlfn.MAXIFS(BD!$A$3:$A$5001,BD!$B$3:$B$5001,H$208,BD!$A$3:$A$5001,"&gt;="&amp;$C$7,BD!$A$3:$A$5001,"&lt;="&amp;$B227,BD!$X$3:$X$5001,"&lt;&gt;"))))</f>
        <v/>
      </c>
      <c r="I227" s="42" t="str">
        <f>IF(OR($B227="",$A227&gt;$B$9),"",IF(COUNTIFS(BD!$B$3:$B$5001,I$208,BD!$A$3:$A$5001,"&gt;="&amp;$C$7,BD!$A$3:$A$5001,"&lt;="&amp;$B227,BD!$X$3:$X$5001,"&lt;&gt;")=0,"",SUMIFS(BD!$X$3:$X$5001,BD!$B$3:$B$5001,I$208,BD!$A$3:$A$5001,_xlfn.MAXIFS(BD!$A$3:$A$5001,BD!$B$3:$B$5001,I$208,BD!$A$3:$A$5001,"&gt;="&amp;$C$7,BD!$A$3:$A$5001,"&lt;="&amp;$B227,BD!$X$3:$X$5001,"&lt;&gt;"))))</f>
        <v/>
      </c>
      <c r="J227" s="42" t="str">
        <f>IF(OR($B227="",$A227&gt;$B$9),"",IF(COUNTIFS(BD!$B$3:$B$5001,J$208,BD!$A$3:$A$5001,"&gt;="&amp;$C$7,BD!$A$3:$A$5001,"&lt;="&amp;$B227,BD!$X$3:$X$5001,"&lt;&gt;")=0,"",SUMIFS(BD!$X$3:$X$5001,BD!$B$3:$B$5001,J$208,BD!$A$3:$A$5001,_xlfn.MAXIFS(BD!$A$3:$A$5001,BD!$B$3:$B$5001,J$208,BD!$A$3:$A$5001,"&gt;="&amp;$C$7,BD!$A$3:$A$5001,"&lt;="&amp;$B227,BD!$X$3:$X$5001,"&lt;&gt;"))))</f>
        <v/>
      </c>
      <c r="K227" s="42" t="str">
        <f>IF(OR($B227="",$A227&gt;$B$9),"",IF(COUNTIFS(BD!$B$3:$B$5001,K$208,BD!$A$3:$A$5001,"&gt;="&amp;$C$7,BD!$A$3:$A$5001,"&lt;="&amp;$B227,BD!$X$3:$X$5001,"&lt;&gt;")=0,"",SUMIFS(BD!$X$3:$X$5001,BD!$B$3:$B$5001,K$208,BD!$A$3:$A$5001,_xlfn.MAXIFS(BD!$A$3:$A$5001,BD!$B$3:$B$5001,K$208,BD!$A$3:$A$5001,"&gt;="&amp;$C$7,BD!$A$3:$A$5001,"&lt;="&amp;$B227,BD!$X$3:$X$5001,"&lt;&gt;"))))</f>
        <v/>
      </c>
    </row>
    <row r="228">
      <c r="A228" s="40">
        <v>20</v>
      </c>
      <c r="B228" s="41">
        <f>$B$31</f>
        <v>46315</v>
      </c>
      <c r="C228" s="42" t="str">
        <f>IF(OR($B228="",$A228&gt;$B$9),"",IF(COUNTIFS(BD!$B$3:$B$5001,C$208,BD!$A$3:$A$5001,"&gt;="&amp;$C$7,BD!$A$3:$A$5001,"&lt;="&amp;$B228,BD!$X$3:$X$5001,"&lt;&gt;")=0,"",SUMIFS(BD!$X$3:$X$5001,BD!$B$3:$B$5001,C$208,BD!$A$3:$A$5001,_xlfn.MAXIFS(BD!$A$3:$A$5001,BD!$B$3:$B$5001,C$208,BD!$A$3:$A$5001,"&gt;="&amp;$C$7,BD!$A$3:$A$5001,"&lt;="&amp;$B228,BD!$X$3:$X$5001,"&lt;&gt;"))))</f>
        <v/>
      </c>
      <c r="D228" s="42" t="str">
        <f>IF(OR($B228="",$A228&gt;$B$9),"",IF(COUNTIFS(BD!$B$3:$B$5001,D$208,BD!$A$3:$A$5001,"&gt;="&amp;$C$7,BD!$A$3:$A$5001,"&lt;="&amp;$B228,BD!$X$3:$X$5001,"&lt;&gt;")=0,"",SUMIFS(BD!$X$3:$X$5001,BD!$B$3:$B$5001,D$208,BD!$A$3:$A$5001,_xlfn.MAXIFS(BD!$A$3:$A$5001,BD!$B$3:$B$5001,D$208,BD!$A$3:$A$5001,"&gt;="&amp;$C$7,BD!$A$3:$A$5001,"&lt;="&amp;$B228,BD!$X$3:$X$5001,"&lt;&gt;"))))</f>
        <v/>
      </c>
      <c r="E228" s="42" t="str">
        <f>IF(OR($B228="",$A228&gt;$B$9),"",IF(COUNTIFS(BD!$B$3:$B$5001,E$208,BD!$A$3:$A$5001,"&gt;="&amp;$C$7,BD!$A$3:$A$5001,"&lt;="&amp;$B228,BD!$X$3:$X$5001,"&lt;&gt;")=0,"",SUMIFS(BD!$X$3:$X$5001,BD!$B$3:$B$5001,E$208,BD!$A$3:$A$5001,_xlfn.MAXIFS(BD!$A$3:$A$5001,BD!$B$3:$B$5001,E$208,BD!$A$3:$A$5001,"&gt;="&amp;$C$7,BD!$A$3:$A$5001,"&lt;="&amp;$B228,BD!$X$3:$X$5001,"&lt;&gt;"))))</f>
        <v/>
      </c>
      <c r="F228" s="42" t="str">
        <f>IF(OR($B228="",$A228&gt;$B$9),"",IF(COUNTIFS(BD!$B$3:$B$5001,F$208,BD!$A$3:$A$5001,"&gt;="&amp;$C$7,BD!$A$3:$A$5001,"&lt;="&amp;$B228,BD!$X$3:$X$5001,"&lt;&gt;")=0,"",SUMIFS(BD!$X$3:$X$5001,BD!$B$3:$B$5001,F$208,BD!$A$3:$A$5001,_xlfn.MAXIFS(BD!$A$3:$A$5001,BD!$B$3:$B$5001,F$208,BD!$A$3:$A$5001,"&gt;="&amp;$C$7,BD!$A$3:$A$5001,"&lt;="&amp;$B228,BD!$X$3:$X$5001,"&lt;&gt;"))))</f>
        <v/>
      </c>
      <c r="G228" s="42" t="str">
        <f>IF(OR($B228="",$A228&gt;$B$9),"",IF(COUNTIFS(BD!$B$3:$B$5001,G$208,BD!$A$3:$A$5001,"&gt;="&amp;$C$7,BD!$A$3:$A$5001,"&lt;="&amp;$B228,BD!$X$3:$X$5001,"&lt;&gt;")=0,"",SUMIFS(BD!$X$3:$X$5001,BD!$B$3:$B$5001,G$208,BD!$A$3:$A$5001,_xlfn.MAXIFS(BD!$A$3:$A$5001,BD!$B$3:$B$5001,G$208,BD!$A$3:$A$5001,"&gt;="&amp;$C$7,BD!$A$3:$A$5001,"&lt;="&amp;$B228,BD!$X$3:$X$5001,"&lt;&gt;"))))</f>
        <v/>
      </c>
      <c r="H228" s="42" t="str">
        <f>IF(OR($B228="",$A228&gt;$B$9),"",IF(COUNTIFS(BD!$B$3:$B$5001,H$208,BD!$A$3:$A$5001,"&gt;="&amp;$C$7,BD!$A$3:$A$5001,"&lt;="&amp;$B228,BD!$X$3:$X$5001,"&lt;&gt;")=0,"",SUMIFS(BD!$X$3:$X$5001,BD!$B$3:$B$5001,H$208,BD!$A$3:$A$5001,_xlfn.MAXIFS(BD!$A$3:$A$5001,BD!$B$3:$B$5001,H$208,BD!$A$3:$A$5001,"&gt;="&amp;$C$7,BD!$A$3:$A$5001,"&lt;="&amp;$B228,BD!$X$3:$X$5001,"&lt;&gt;"))))</f>
        <v/>
      </c>
      <c r="I228" s="42" t="str">
        <f>IF(OR($B228="",$A228&gt;$B$9),"",IF(COUNTIFS(BD!$B$3:$B$5001,I$208,BD!$A$3:$A$5001,"&gt;="&amp;$C$7,BD!$A$3:$A$5001,"&lt;="&amp;$B228,BD!$X$3:$X$5001,"&lt;&gt;")=0,"",SUMIFS(BD!$X$3:$X$5001,BD!$B$3:$B$5001,I$208,BD!$A$3:$A$5001,_xlfn.MAXIFS(BD!$A$3:$A$5001,BD!$B$3:$B$5001,I$208,BD!$A$3:$A$5001,"&gt;="&amp;$C$7,BD!$A$3:$A$5001,"&lt;="&amp;$B228,BD!$X$3:$X$5001,"&lt;&gt;"))))</f>
        <v/>
      </c>
      <c r="J228" s="42" t="str">
        <f>IF(OR($B228="",$A228&gt;$B$9),"",IF(COUNTIFS(BD!$B$3:$B$5001,J$208,BD!$A$3:$A$5001,"&gt;="&amp;$C$7,BD!$A$3:$A$5001,"&lt;="&amp;$B228,BD!$X$3:$X$5001,"&lt;&gt;")=0,"",SUMIFS(BD!$X$3:$X$5001,BD!$B$3:$B$5001,J$208,BD!$A$3:$A$5001,_xlfn.MAXIFS(BD!$A$3:$A$5001,BD!$B$3:$B$5001,J$208,BD!$A$3:$A$5001,"&gt;="&amp;$C$7,BD!$A$3:$A$5001,"&lt;="&amp;$B228,BD!$X$3:$X$5001,"&lt;&gt;"))))</f>
        <v/>
      </c>
      <c r="K228" s="42" t="str">
        <f>IF(OR($B228="",$A228&gt;$B$9),"",IF(COUNTIFS(BD!$B$3:$B$5001,K$208,BD!$A$3:$A$5001,"&gt;="&amp;$C$7,BD!$A$3:$A$5001,"&lt;="&amp;$B228,BD!$X$3:$X$5001,"&lt;&gt;")=0,"",SUMIFS(BD!$X$3:$X$5001,BD!$B$3:$B$5001,K$208,BD!$A$3:$A$5001,_xlfn.MAXIFS(BD!$A$3:$A$5001,BD!$B$3:$B$5001,K$208,BD!$A$3:$A$5001,"&gt;="&amp;$C$7,BD!$A$3:$A$5001,"&lt;="&amp;$B228,BD!$X$3:$X$5001,"&lt;&gt;"))))</f>
        <v/>
      </c>
    </row>
    <row r="229">
      <c r="A229" s="40">
        <v>21</v>
      </c>
      <c r="B229" s="41">
        <f>$B$32</f>
        <v>46316</v>
      </c>
      <c r="C229" s="42" t="str">
        <f>IF(OR($B229="",$A229&gt;$B$9),"",IF(COUNTIFS(BD!$B$3:$B$5001,C$208,BD!$A$3:$A$5001,"&gt;="&amp;$C$7,BD!$A$3:$A$5001,"&lt;="&amp;$B229,BD!$X$3:$X$5001,"&lt;&gt;")=0,"",SUMIFS(BD!$X$3:$X$5001,BD!$B$3:$B$5001,C$208,BD!$A$3:$A$5001,_xlfn.MAXIFS(BD!$A$3:$A$5001,BD!$B$3:$B$5001,C$208,BD!$A$3:$A$5001,"&gt;="&amp;$C$7,BD!$A$3:$A$5001,"&lt;="&amp;$B229,BD!$X$3:$X$5001,"&lt;&gt;"))))</f>
        <v/>
      </c>
      <c r="D229" s="42" t="str">
        <f>IF(OR($B229="",$A229&gt;$B$9),"",IF(COUNTIFS(BD!$B$3:$B$5001,D$208,BD!$A$3:$A$5001,"&gt;="&amp;$C$7,BD!$A$3:$A$5001,"&lt;="&amp;$B229,BD!$X$3:$X$5001,"&lt;&gt;")=0,"",SUMIFS(BD!$X$3:$X$5001,BD!$B$3:$B$5001,D$208,BD!$A$3:$A$5001,_xlfn.MAXIFS(BD!$A$3:$A$5001,BD!$B$3:$B$5001,D$208,BD!$A$3:$A$5001,"&gt;="&amp;$C$7,BD!$A$3:$A$5001,"&lt;="&amp;$B229,BD!$X$3:$X$5001,"&lt;&gt;"))))</f>
        <v/>
      </c>
      <c r="E229" s="42" t="str">
        <f>IF(OR($B229="",$A229&gt;$B$9),"",IF(COUNTIFS(BD!$B$3:$B$5001,E$208,BD!$A$3:$A$5001,"&gt;="&amp;$C$7,BD!$A$3:$A$5001,"&lt;="&amp;$B229,BD!$X$3:$X$5001,"&lt;&gt;")=0,"",SUMIFS(BD!$X$3:$X$5001,BD!$B$3:$B$5001,E$208,BD!$A$3:$A$5001,_xlfn.MAXIFS(BD!$A$3:$A$5001,BD!$B$3:$B$5001,E$208,BD!$A$3:$A$5001,"&gt;="&amp;$C$7,BD!$A$3:$A$5001,"&lt;="&amp;$B229,BD!$X$3:$X$5001,"&lt;&gt;"))))</f>
        <v/>
      </c>
      <c r="F229" s="42" t="str">
        <f>IF(OR($B229="",$A229&gt;$B$9),"",IF(COUNTIFS(BD!$B$3:$B$5001,F$208,BD!$A$3:$A$5001,"&gt;="&amp;$C$7,BD!$A$3:$A$5001,"&lt;="&amp;$B229,BD!$X$3:$X$5001,"&lt;&gt;")=0,"",SUMIFS(BD!$X$3:$X$5001,BD!$B$3:$B$5001,F$208,BD!$A$3:$A$5001,_xlfn.MAXIFS(BD!$A$3:$A$5001,BD!$B$3:$B$5001,F$208,BD!$A$3:$A$5001,"&gt;="&amp;$C$7,BD!$A$3:$A$5001,"&lt;="&amp;$B229,BD!$X$3:$X$5001,"&lt;&gt;"))))</f>
        <v/>
      </c>
      <c r="G229" s="42" t="str">
        <f>IF(OR($B229="",$A229&gt;$B$9),"",IF(COUNTIFS(BD!$B$3:$B$5001,G$208,BD!$A$3:$A$5001,"&gt;="&amp;$C$7,BD!$A$3:$A$5001,"&lt;="&amp;$B229,BD!$X$3:$X$5001,"&lt;&gt;")=0,"",SUMIFS(BD!$X$3:$X$5001,BD!$B$3:$B$5001,G$208,BD!$A$3:$A$5001,_xlfn.MAXIFS(BD!$A$3:$A$5001,BD!$B$3:$B$5001,G$208,BD!$A$3:$A$5001,"&gt;="&amp;$C$7,BD!$A$3:$A$5001,"&lt;="&amp;$B229,BD!$X$3:$X$5001,"&lt;&gt;"))))</f>
        <v/>
      </c>
      <c r="H229" s="42" t="str">
        <f>IF(OR($B229="",$A229&gt;$B$9),"",IF(COUNTIFS(BD!$B$3:$B$5001,H$208,BD!$A$3:$A$5001,"&gt;="&amp;$C$7,BD!$A$3:$A$5001,"&lt;="&amp;$B229,BD!$X$3:$X$5001,"&lt;&gt;")=0,"",SUMIFS(BD!$X$3:$X$5001,BD!$B$3:$B$5001,H$208,BD!$A$3:$A$5001,_xlfn.MAXIFS(BD!$A$3:$A$5001,BD!$B$3:$B$5001,H$208,BD!$A$3:$A$5001,"&gt;="&amp;$C$7,BD!$A$3:$A$5001,"&lt;="&amp;$B229,BD!$X$3:$X$5001,"&lt;&gt;"))))</f>
        <v/>
      </c>
      <c r="I229" s="42" t="str">
        <f>IF(OR($B229="",$A229&gt;$B$9),"",IF(COUNTIFS(BD!$B$3:$B$5001,I$208,BD!$A$3:$A$5001,"&gt;="&amp;$C$7,BD!$A$3:$A$5001,"&lt;="&amp;$B229,BD!$X$3:$X$5001,"&lt;&gt;")=0,"",SUMIFS(BD!$X$3:$X$5001,BD!$B$3:$B$5001,I$208,BD!$A$3:$A$5001,_xlfn.MAXIFS(BD!$A$3:$A$5001,BD!$B$3:$B$5001,I$208,BD!$A$3:$A$5001,"&gt;="&amp;$C$7,BD!$A$3:$A$5001,"&lt;="&amp;$B229,BD!$X$3:$X$5001,"&lt;&gt;"))))</f>
        <v/>
      </c>
      <c r="J229" s="42" t="str">
        <f>IF(OR($B229="",$A229&gt;$B$9),"",IF(COUNTIFS(BD!$B$3:$B$5001,J$208,BD!$A$3:$A$5001,"&gt;="&amp;$C$7,BD!$A$3:$A$5001,"&lt;="&amp;$B229,BD!$X$3:$X$5001,"&lt;&gt;")=0,"",SUMIFS(BD!$X$3:$X$5001,BD!$B$3:$B$5001,J$208,BD!$A$3:$A$5001,_xlfn.MAXIFS(BD!$A$3:$A$5001,BD!$B$3:$B$5001,J$208,BD!$A$3:$A$5001,"&gt;="&amp;$C$7,BD!$A$3:$A$5001,"&lt;="&amp;$B229,BD!$X$3:$X$5001,"&lt;&gt;"))))</f>
        <v/>
      </c>
      <c r="K229" s="42" t="str">
        <f>IF(OR($B229="",$A229&gt;$B$9),"",IF(COUNTIFS(BD!$B$3:$B$5001,K$208,BD!$A$3:$A$5001,"&gt;="&amp;$C$7,BD!$A$3:$A$5001,"&lt;="&amp;$B229,BD!$X$3:$X$5001,"&lt;&gt;")=0,"",SUMIFS(BD!$X$3:$X$5001,BD!$B$3:$B$5001,K$208,BD!$A$3:$A$5001,_xlfn.MAXIFS(BD!$A$3:$A$5001,BD!$B$3:$B$5001,K$208,BD!$A$3:$A$5001,"&gt;="&amp;$C$7,BD!$A$3:$A$5001,"&lt;="&amp;$B229,BD!$X$3:$X$5001,"&lt;&gt;"))))</f>
        <v/>
      </c>
    </row>
    <row r="230">
      <c r="A230" s="40">
        <v>22</v>
      </c>
      <c r="B230" s="41">
        <f>$B$33</f>
        <v>46317</v>
      </c>
      <c r="C230" s="42" t="str">
        <f>IF(OR($B230="",$A230&gt;$B$9),"",IF(COUNTIFS(BD!$B$3:$B$5001,C$208,BD!$A$3:$A$5001,"&gt;="&amp;$C$7,BD!$A$3:$A$5001,"&lt;="&amp;$B230,BD!$X$3:$X$5001,"&lt;&gt;")=0,"",SUMIFS(BD!$X$3:$X$5001,BD!$B$3:$B$5001,C$208,BD!$A$3:$A$5001,_xlfn.MAXIFS(BD!$A$3:$A$5001,BD!$B$3:$B$5001,C$208,BD!$A$3:$A$5001,"&gt;="&amp;$C$7,BD!$A$3:$A$5001,"&lt;="&amp;$B230,BD!$X$3:$X$5001,"&lt;&gt;"))))</f>
        <v/>
      </c>
      <c r="D230" s="42" t="str">
        <f>IF(OR($B230="",$A230&gt;$B$9),"",IF(COUNTIFS(BD!$B$3:$B$5001,D$208,BD!$A$3:$A$5001,"&gt;="&amp;$C$7,BD!$A$3:$A$5001,"&lt;="&amp;$B230,BD!$X$3:$X$5001,"&lt;&gt;")=0,"",SUMIFS(BD!$X$3:$X$5001,BD!$B$3:$B$5001,D$208,BD!$A$3:$A$5001,_xlfn.MAXIFS(BD!$A$3:$A$5001,BD!$B$3:$B$5001,D$208,BD!$A$3:$A$5001,"&gt;="&amp;$C$7,BD!$A$3:$A$5001,"&lt;="&amp;$B230,BD!$X$3:$X$5001,"&lt;&gt;"))))</f>
        <v/>
      </c>
      <c r="E230" s="42" t="str">
        <f>IF(OR($B230="",$A230&gt;$B$9),"",IF(COUNTIFS(BD!$B$3:$B$5001,E$208,BD!$A$3:$A$5001,"&gt;="&amp;$C$7,BD!$A$3:$A$5001,"&lt;="&amp;$B230,BD!$X$3:$X$5001,"&lt;&gt;")=0,"",SUMIFS(BD!$X$3:$X$5001,BD!$B$3:$B$5001,E$208,BD!$A$3:$A$5001,_xlfn.MAXIFS(BD!$A$3:$A$5001,BD!$B$3:$B$5001,E$208,BD!$A$3:$A$5001,"&gt;="&amp;$C$7,BD!$A$3:$A$5001,"&lt;="&amp;$B230,BD!$X$3:$X$5001,"&lt;&gt;"))))</f>
        <v/>
      </c>
      <c r="F230" s="42" t="str">
        <f>IF(OR($B230="",$A230&gt;$B$9),"",IF(COUNTIFS(BD!$B$3:$B$5001,F$208,BD!$A$3:$A$5001,"&gt;="&amp;$C$7,BD!$A$3:$A$5001,"&lt;="&amp;$B230,BD!$X$3:$X$5001,"&lt;&gt;")=0,"",SUMIFS(BD!$X$3:$X$5001,BD!$B$3:$B$5001,F$208,BD!$A$3:$A$5001,_xlfn.MAXIFS(BD!$A$3:$A$5001,BD!$B$3:$B$5001,F$208,BD!$A$3:$A$5001,"&gt;="&amp;$C$7,BD!$A$3:$A$5001,"&lt;="&amp;$B230,BD!$X$3:$X$5001,"&lt;&gt;"))))</f>
        <v/>
      </c>
      <c r="G230" s="42" t="str">
        <f>IF(OR($B230="",$A230&gt;$B$9),"",IF(COUNTIFS(BD!$B$3:$B$5001,G$208,BD!$A$3:$A$5001,"&gt;="&amp;$C$7,BD!$A$3:$A$5001,"&lt;="&amp;$B230,BD!$X$3:$X$5001,"&lt;&gt;")=0,"",SUMIFS(BD!$X$3:$X$5001,BD!$B$3:$B$5001,G$208,BD!$A$3:$A$5001,_xlfn.MAXIFS(BD!$A$3:$A$5001,BD!$B$3:$B$5001,G$208,BD!$A$3:$A$5001,"&gt;="&amp;$C$7,BD!$A$3:$A$5001,"&lt;="&amp;$B230,BD!$X$3:$X$5001,"&lt;&gt;"))))</f>
        <v/>
      </c>
      <c r="H230" s="42" t="str">
        <f>IF(OR($B230="",$A230&gt;$B$9),"",IF(COUNTIFS(BD!$B$3:$B$5001,H$208,BD!$A$3:$A$5001,"&gt;="&amp;$C$7,BD!$A$3:$A$5001,"&lt;="&amp;$B230,BD!$X$3:$X$5001,"&lt;&gt;")=0,"",SUMIFS(BD!$X$3:$X$5001,BD!$B$3:$B$5001,H$208,BD!$A$3:$A$5001,_xlfn.MAXIFS(BD!$A$3:$A$5001,BD!$B$3:$B$5001,H$208,BD!$A$3:$A$5001,"&gt;="&amp;$C$7,BD!$A$3:$A$5001,"&lt;="&amp;$B230,BD!$X$3:$X$5001,"&lt;&gt;"))))</f>
        <v/>
      </c>
      <c r="I230" s="42" t="str">
        <f>IF(OR($B230="",$A230&gt;$B$9),"",IF(COUNTIFS(BD!$B$3:$B$5001,I$208,BD!$A$3:$A$5001,"&gt;="&amp;$C$7,BD!$A$3:$A$5001,"&lt;="&amp;$B230,BD!$X$3:$X$5001,"&lt;&gt;")=0,"",SUMIFS(BD!$X$3:$X$5001,BD!$B$3:$B$5001,I$208,BD!$A$3:$A$5001,_xlfn.MAXIFS(BD!$A$3:$A$5001,BD!$B$3:$B$5001,I$208,BD!$A$3:$A$5001,"&gt;="&amp;$C$7,BD!$A$3:$A$5001,"&lt;="&amp;$B230,BD!$X$3:$X$5001,"&lt;&gt;"))))</f>
        <v/>
      </c>
      <c r="J230" s="42" t="str">
        <f>IF(OR($B230="",$A230&gt;$B$9),"",IF(COUNTIFS(BD!$B$3:$B$5001,J$208,BD!$A$3:$A$5001,"&gt;="&amp;$C$7,BD!$A$3:$A$5001,"&lt;="&amp;$B230,BD!$X$3:$X$5001,"&lt;&gt;")=0,"",SUMIFS(BD!$X$3:$X$5001,BD!$B$3:$B$5001,J$208,BD!$A$3:$A$5001,_xlfn.MAXIFS(BD!$A$3:$A$5001,BD!$B$3:$B$5001,J$208,BD!$A$3:$A$5001,"&gt;="&amp;$C$7,BD!$A$3:$A$5001,"&lt;="&amp;$B230,BD!$X$3:$X$5001,"&lt;&gt;"))))</f>
        <v/>
      </c>
      <c r="K230" s="42" t="str">
        <f>IF(OR($B230="",$A230&gt;$B$9),"",IF(COUNTIFS(BD!$B$3:$B$5001,K$208,BD!$A$3:$A$5001,"&gt;="&amp;$C$7,BD!$A$3:$A$5001,"&lt;="&amp;$B230,BD!$X$3:$X$5001,"&lt;&gt;")=0,"",SUMIFS(BD!$X$3:$X$5001,BD!$B$3:$B$5001,K$208,BD!$A$3:$A$5001,_xlfn.MAXIFS(BD!$A$3:$A$5001,BD!$B$3:$B$5001,K$208,BD!$A$3:$A$5001,"&gt;="&amp;$C$7,BD!$A$3:$A$5001,"&lt;="&amp;$B230,BD!$X$3:$X$5001,"&lt;&gt;"))))</f>
        <v/>
      </c>
    </row>
    <row r="231">
      <c r="A231" s="40">
        <v>23</v>
      </c>
      <c r="B231" s="41">
        <f>$B$34</f>
        <v>46318</v>
      </c>
      <c r="C231" s="42" t="str">
        <f>IF(OR($B231="",$A231&gt;$B$9),"",IF(COUNTIFS(BD!$B$3:$B$5001,C$208,BD!$A$3:$A$5001,"&gt;="&amp;$C$7,BD!$A$3:$A$5001,"&lt;="&amp;$B231,BD!$X$3:$X$5001,"&lt;&gt;")=0,"",SUMIFS(BD!$X$3:$X$5001,BD!$B$3:$B$5001,C$208,BD!$A$3:$A$5001,_xlfn.MAXIFS(BD!$A$3:$A$5001,BD!$B$3:$B$5001,C$208,BD!$A$3:$A$5001,"&gt;="&amp;$C$7,BD!$A$3:$A$5001,"&lt;="&amp;$B231,BD!$X$3:$X$5001,"&lt;&gt;"))))</f>
        <v/>
      </c>
      <c r="D231" s="42" t="str">
        <f>IF(OR($B231="",$A231&gt;$B$9),"",IF(COUNTIFS(BD!$B$3:$B$5001,D$208,BD!$A$3:$A$5001,"&gt;="&amp;$C$7,BD!$A$3:$A$5001,"&lt;="&amp;$B231,BD!$X$3:$X$5001,"&lt;&gt;")=0,"",SUMIFS(BD!$X$3:$X$5001,BD!$B$3:$B$5001,D$208,BD!$A$3:$A$5001,_xlfn.MAXIFS(BD!$A$3:$A$5001,BD!$B$3:$B$5001,D$208,BD!$A$3:$A$5001,"&gt;="&amp;$C$7,BD!$A$3:$A$5001,"&lt;="&amp;$B231,BD!$X$3:$X$5001,"&lt;&gt;"))))</f>
        <v/>
      </c>
      <c r="E231" s="42" t="str">
        <f>IF(OR($B231="",$A231&gt;$B$9),"",IF(COUNTIFS(BD!$B$3:$B$5001,E$208,BD!$A$3:$A$5001,"&gt;="&amp;$C$7,BD!$A$3:$A$5001,"&lt;="&amp;$B231,BD!$X$3:$X$5001,"&lt;&gt;")=0,"",SUMIFS(BD!$X$3:$X$5001,BD!$B$3:$B$5001,E$208,BD!$A$3:$A$5001,_xlfn.MAXIFS(BD!$A$3:$A$5001,BD!$B$3:$B$5001,E$208,BD!$A$3:$A$5001,"&gt;="&amp;$C$7,BD!$A$3:$A$5001,"&lt;="&amp;$B231,BD!$X$3:$X$5001,"&lt;&gt;"))))</f>
        <v/>
      </c>
      <c r="F231" s="42" t="str">
        <f>IF(OR($B231="",$A231&gt;$B$9),"",IF(COUNTIFS(BD!$B$3:$B$5001,F$208,BD!$A$3:$A$5001,"&gt;="&amp;$C$7,BD!$A$3:$A$5001,"&lt;="&amp;$B231,BD!$X$3:$X$5001,"&lt;&gt;")=0,"",SUMIFS(BD!$X$3:$X$5001,BD!$B$3:$B$5001,F$208,BD!$A$3:$A$5001,_xlfn.MAXIFS(BD!$A$3:$A$5001,BD!$B$3:$B$5001,F$208,BD!$A$3:$A$5001,"&gt;="&amp;$C$7,BD!$A$3:$A$5001,"&lt;="&amp;$B231,BD!$X$3:$X$5001,"&lt;&gt;"))))</f>
        <v/>
      </c>
      <c r="G231" s="42" t="str">
        <f>IF(OR($B231="",$A231&gt;$B$9),"",IF(COUNTIFS(BD!$B$3:$B$5001,G$208,BD!$A$3:$A$5001,"&gt;="&amp;$C$7,BD!$A$3:$A$5001,"&lt;="&amp;$B231,BD!$X$3:$X$5001,"&lt;&gt;")=0,"",SUMIFS(BD!$X$3:$X$5001,BD!$B$3:$B$5001,G$208,BD!$A$3:$A$5001,_xlfn.MAXIFS(BD!$A$3:$A$5001,BD!$B$3:$B$5001,G$208,BD!$A$3:$A$5001,"&gt;="&amp;$C$7,BD!$A$3:$A$5001,"&lt;="&amp;$B231,BD!$X$3:$X$5001,"&lt;&gt;"))))</f>
        <v/>
      </c>
      <c r="H231" s="42" t="str">
        <f>IF(OR($B231="",$A231&gt;$B$9),"",IF(COUNTIFS(BD!$B$3:$B$5001,H$208,BD!$A$3:$A$5001,"&gt;="&amp;$C$7,BD!$A$3:$A$5001,"&lt;="&amp;$B231,BD!$X$3:$X$5001,"&lt;&gt;")=0,"",SUMIFS(BD!$X$3:$X$5001,BD!$B$3:$B$5001,H$208,BD!$A$3:$A$5001,_xlfn.MAXIFS(BD!$A$3:$A$5001,BD!$B$3:$B$5001,H$208,BD!$A$3:$A$5001,"&gt;="&amp;$C$7,BD!$A$3:$A$5001,"&lt;="&amp;$B231,BD!$X$3:$X$5001,"&lt;&gt;"))))</f>
        <v/>
      </c>
      <c r="I231" s="42" t="str">
        <f>IF(OR($B231="",$A231&gt;$B$9),"",IF(COUNTIFS(BD!$B$3:$B$5001,I$208,BD!$A$3:$A$5001,"&gt;="&amp;$C$7,BD!$A$3:$A$5001,"&lt;="&amp;$B231,BD!$X$3:$X$5001,"&lt;&gt;")=0,"",SUMIFS(BD!$X$3:$X$5001,BD!$B$3:$B$5001,I$208,BD!$A$3:$A$5001,_xlfn.MAXIFS(BD!$A$3:$A$5001,BD!$B$3:$B$5001,I$208,BD!$A$3:$A$5001,"&gt;="&amp;$C$7,BD!$A$3:$A$5001,"&lt;="&amp;$B231,BD!$X$3:$X$5001,"&lt;&gt;"))))</f>
        <v/>
      </c>
      <c r="J231" s="42" t="str">
        <f>IF(OR($B231="",$A231&gt;$B$9),"",IF(COUNTIFS(BD!$B$3:$B$5001,J$208,BD!$A$3:$A$5001,"&gt;="&amp;$C$7,BD!$A$3:$A$5001,"&lt;="&amp;$B231,BD!$X$3:$X$5001,"&lt;&gt;")=0,"",SUMIFS(BD!$X$3:$X$5001,BD!$B$3:$B$5001,J$208,BD!$A$3:$A$5001,_xlfn.MAXIFS(BD!$A$3:$A$5001,BD!$B$3:$B$5001,J$208,BD!$A$3:$A$5001,"&gt;="&amp;$C$7,BD!$A$3:$A$5001,"&lt;="&amp;$B231,BD!$X$3:$X$5001,"&lt;&gt;"))))</f>
        <v/>
      </c>
      <c r="K231" s="42" t="str">
        <f>IF(OR($B231="",$A231&gt;$B$9),"",IF(COUNTIFS(BD!$B$3:$B$5001,K$208,BD!$A$3:$A$5001,"&gt;="&amp;$C$7,BD!$A$3:$A$5001,"&lt;="&amp;$B231,BD!$X$3:$X$5001,"&lt;&gt;")=0,"",SUMIFS(BD!$X$3:$X$5001,BD!$B$3:$B$5001,K$208,BD!$A$3:$A$5001,_xlfn.MAXIFS(BD!$A$3:$A$5001,BD!$B$3:$B$5001,K$208,BD!$A$3:$A$5001,"&gt;="&amp;$C$7,BD!$A$3:$A$5001,"&lt;="&amp;$B231,BD!$X$3:$X$5001,"&lt;&gt;"))))</f>
        <v/>
      </c>
    </row>
    <row r="232">
      <c r="A232" s="40">
        <v>24</v>
      </c>
      <c r="B232" s="41">
        <f>$B$35</f>
        <v>46319</v>
      </c>
      <c r="C232" s="42" t="str">
        <f>IF(OR($B232="",$A232&gt;$B$9),"",IF(COUNTIFS(BD!$B$3:$B$5001,C$208,BD!$A$3:$A$5001,"&gt;="&amp;$C$7,BD!$A$3:$A$5001,"&lt;="&amp;$B232,BD!$X$3:$X$5001,"&lt;&gt;")=0,"",SUMIFS(BD!$X$3:$X$5001,BD!$B$3:$B$5001,C$208,BD!$A$3:$A$5001,_xlfn.MAXIFS(BD!$A$3:$A$5001,BD!$B$3:$B$5001,C$208,BD!$A$3:$A$5001,"&gt;="&amp;$C$7,BD!$A$3:$A$5001,"&lt;="&amp;$B232,BD!$X$3:$X$5001,"&lt;&gt;"))))</f>
        <v/>
      </c>
      <c r="D232" s="42" t="str">
        <f>IF(OR($B232="",$A232&gt;$B$9),"",IF(COUNTIFS(BD!$B$3:$B$5001,D$208,BD!$A$3:$A$5001,"&gt;="&amp;$C$7,BD!$A$3:$A$5001,"&lt;="&amp;$B232,BD!$X$3:$X$5001,"&lt;&gt;")=0,"",SUMIFS(BD!$X$3:$X$5001,BD!$B$3:$B$5001,D$208,BD!$A$3:$A$5001,_xlfn.MAXIFS(BD!$A$3:$A$5001,BD!$B$3:$B$5001,D$208,BD!$A$3:$A$5001,"&gt;="&amp;$C$7,BD!$A$3:$A$5001,"&lt;="&amp;$B232,BD!$X$3:$X$5001,"&lt;&gt;"))))</f>
        <v/>
      </c>
      <c r="E232" s="42" t="str">
        <f>IF(OR($B232="",$A232&gt;$B$9),"",IF(COUNTIFS(BD!$B$3:$B$5001,E$208,BD!$A$3:$A$5001,"&gt;="&amp;$C$7,BD!$A$3:$A$5001,"&lt;="&amp;$B232,BD!$X$3:$X$5001,"&lt;&gt;")=0,"",SUMIFS(BD!$X$3:$X$5001,BD!$B$3:$B$5001,E$208,BD!$A$3:$A$5001,_xlfn.MAXIFS(BD!$A$3:$A$5001,BD!$B$3:$B$5001,E$208,BD!$A$3:$A$5001,"&gt;="&amp;$C$7,BD!$A$3:$A$5001,"&lt;="&amp;$B232,BD!$X$3:$X$5001,"&lt;&gt;"))))</f>
        <v/>
      </c>
      <c r="F232" s="42" t="str">
        <f>IF(OR($B232="",$A232&gt;$B$9),"",IF(COUNTIFS(BD!$B$3:$B$5001,F$208,BD!$A$3:$A$5001,"&gt;="&amp;$C$7,BD!$A$3:$A$5001,"&lt;="&amp;$B232,BD!$X$3:$X$5001,"&lt;&gt;")=0,"",SUMIFS(BD!$X$3:$X$5001,BD!$B$3:$B$5001,F$208,BD!$A$3:$A$5001,_xlfn.MAXIFS(BD!$A$3:$A$5001,BD!$B$3:$B$5001,F$208,BD!$A$3:$A$5001,"&gt;="&amp;$C$7,BD!$A$3:$A$5001,"&lt;="&amp;$B232,BD!$X$3:$X$5001,"&lt;&gt;"))))</f>
        <v/>
      </c>
      <c r="G232" s="42" t="str">
        <f>IF(OR($B232="",$A232&gt;$B$9),"",IF(COUNTIFS(BD!$B$3:$B$5001,G$208,BD!$A$3:$A$5001,"&gt;="&amp;$C$7,BD!$A$3:$A$5001,"&lt;="&amp;$B232,BD!$X$3:$X$5001,"&lt;&gt;")=0,"",SUMIFS(BD!$X$3:$X$5001,BD!$B$3:$B$5001,G$208,BD!$A$3:$A$5001,_xlfn.MAXIFS(BD!$A$3:$A$5001,BD!$B$3:$B$5001,G$208,BD!$A$3:$A$5001,"&gt;="&amp;$C$7,BD!$A$3:$A$5001,"&lt;="&amp;$B232,BD!$X$3:$X$5001,"&lt;&gt;"))))</f>
        <v/>
      </c>
      <c r="H232" s="42" t="str">
        <f>IF(OR($B232="",$A232&gt;$B$9),"",IF(COUNTIFS(BD!$B$3:$B$5001,H$208,BD!$A$3:$A$5001,"&gt;="&amp;$C$7,BD!$A$3:$A$5001,"&lt;="&amp;$B232,BD!$X$3:$X$5001,"&lt;&gt;")=0,"",SUMIFS(BD!$X$3:$X$5001,BD!$B$3:$B$5001,H$208,BD!$A$3:$A$5001,_xlfn.MAXIFS(BD!$A$3:$A$5001,BD!$B$3:$B$5001,H$208,BD!$A$3:$A$5001,"&gt;="&amp;$C$7,BD!$A$3:$A$5001,"&lt;="&amp;$B232,BD!$X$3:$X$5001,"&lt;&gt;"))))</f>
        <v/>
      </c>
      <c r="I232" s="42" t="str">
        <f>IF(OR($B232="",$A232&gt;$B$9),"",IF(COUNTIFS(BD!$B$3:$B$5001,I$208,BD!$A$3:$A$5001,"&gt;="&amp;$C$7,BD!$A$3:$A$5001,"&lt;="&amp;$B232,BD!$X$3:$X$5001,"&lt;&gt;")=0,"",SUMIFS(BD!$X$3:$X$5001,BD!$B$3:$B$5001,I$208,BD!$A$3:$A$5001,_xlfn.MAXIFS(BD!$A$3:$A$5001,BD!$B$3:$B$5001,I$208,BD!$A$3:$A$5001,"&gt;="&amp;$C$7,BD!$A$3:$A$5001,"&lt;="&amp;$B232,BD!$X$3:$X$5001,"&lt;&gt;"))))</f>
        <v/>
      </c>
      <c r="J232" s="42" t="str">
        <f>IF(OR($B232="",$A232&gt;$B$9),"",IF(COUNTIFS(BD!$B$3:$B$5001,J$208,BD!$A$3:$A$5001,"&gt;="&amp;$C$7,BD!$A$3:$A$5001,"&lt;="&amp;$B232,BD!$X$3:$X$5001,"&lt;&gt;")=0,"",SUMIFS(BD!$X$3:$X$5001,BD!$B$3:$B$5001,J$208,BD!$A$3:$A$5001,_xlfn.MAXIFS(BD!$A$3:$A$5001,BD!$B$3:$B$5001,J$208,BD!$A$3:$A$5001,"&gt;="&amp;$C$7,BD!$A$3:$A$5001,"&lt;="&amp;$B232,BD!$X$3:$X$5001,"&lt;&gt;"))))</f>
        <v/>
      </c>
      <c r="K232" s="42" t="str">
        <f>IF(OR($B232="",$A232&gt;$B$9),"",IF(COUNTIFS(BD!$B$3:$B$5001,K$208,BD!$A$3:$A$5001,"&gt;="&amp;$C$7,BD!$A$3:$A$5001,"&lt;="&amp;$B232,BD!$X$3:$X$5001,"&lt;&gt;")=0,"",SUMIFS(BD!$X$3:$X$5001,BD!$B$3:$B$5001,K$208,BD!$A$3:$A$5001,_xlfn.MAXIFS(BD!$A$3:$A$5001,BD!$B$3:$B$5001,K$208,BD!$A$3:$A$5001,"&gt;="&amp;$C$7,BD!$A$3:$A$5001,"&lt;="&amp;$B232,BD!$X$3:$X$5001,"&lt;&gt;"))))</f>
        <v/>
      </c>
    </row>
    <row r="233">
      <c r="A233" s="40">
        <v>25</v>
      </c>
      <c r="B233" s="41">
        <f>$B$36</f>
        <v>46320</v>
      </c>
      <c r="C233" s="42" t="str">
        <f>IF(OR($B233="",$A233&gt;$B$9),"",IF(COUNTIFS(BD!$B$3:$B$5001,C$208,BD!$A$3:$A$5001,"&gt;="&amp;$C$7,BD!$A$3:$A$5001,"&lt;="&amp;$B233,BD!$X$3:$X$5001,"&lt;&gt;")=0,"",SUMIFS(BD!$X$3:$X$5001,BD!$B$3:$B$5001,C$208,BD!$A$3:$A$5001,_xlfn.MAXIFS(BD!$A$3:$A$5001,BD!$B$3:$B$5001,C$208,BD!$A$3:$A$5001,"&gt;="&amp;$C$7,BD!$A$3:$A$5001,"&lt;="&amp;$B233,BD!$X$3:$X$5001,"&lt;&gt;"))))</f>
        <v/>
      </c>
      <c r="D233" s="42" t="str">
        <f>IF(OR($B233="",$A233&gt;$B$9),"",IF(COUNTIFS(BD!$B$3:$B$5001,D$208,BD!$A$3:$A$5001,"&gt;="&amp;$C$7,BD!$A$3:$A$5001,"&lt;="&amp;$B233,BD!$X$3:$X$5001,"&lt;&gt;")=0,"",SUMIFS(BD!$X$3:$X$5001,BD!$B$3:$B$5001,D$208,BD!$A$3:$A$5001,_xlfn.MAXIFS(BD!$A$3:$A$5001,BD!$B$3:$B$5001,D$208,BD!$A$3:$A$5001,"&gt;="&amp;$C$7,BD!$A$3:$A$5001,"&lt;="&amp;$B233,BD!$X$3:$X$5001,"&lt;&gt;"))))</f>
        <v/>
      </c>
      <c r="E233" s="42" t="str">
        <f>IF(OR($B233="",$A233&gt;$B$9),"",IF(COUNTIFS(BD!$B$3:$B$5001,E$208,BD!$A$3:$A$5001,"&gt;="&amp;$C$7,BD!$A$3:$A$5001,"&lt;="&amp;$B233,BD!$X$3:$X$5001,"&lt;&gt;")=0,"",SUMIFS(BD!$X$3:$X$5001,BD!$B$3:$B$5001,E$208,BD!$A$3:$A$5001,_xlfn.MAXIFS(BD!$A$3:$A$5001,BD!$B$3:$B$5001,E$208,BD!$A$3:$A$5001,"&gt;="&amp;$C$7,BD!$A$3:$A$5001,"&lt;="&amp;$B233,BD!$X$3:$X$5001,"&lt;&gt;"))))</f>
        <v/>
      </c>
      <c r="F233" s="42" t="str">
        <f>IF(OR($B233="",$A233&gt;$B$9),"",IF(COUNTIFS(BD!$B$3:$B$5001,F$208,BD!$A$3:$A$5001,"&gt;="&amp;$C$7,BD!$A$3:$A$5001,"&lt;="&amp;$B233,BD!$X$3:$X$5001,"&lt;&gt;")=0,"",SUMIFS(BD!$X$3:$X$5001,BD!$B$3:$B$5001,F$208,BD!$A$3:$A$5001,_xlfn.MAXIFS(BD!$A$3:$A$5001,BD!$B$3:$B$5001,F$208,BD!$A$3:$A$5001,"&gt;="&amp;$C$7,BD!$A$3:$A$5001,"&lt;="&amp;$B233,BD!$X$3:$X$5001,"&lt;&gt;"))))</f>
        <v/>
      </c>
      <c r="G233" s="42" t="str">
        <f>IF(OR($B233="",$A233&gt;$B$9),"",IF(COUNTIFS(BD!$B$3:$B$5001,G$208,BD!$A$3:$A$5001,"&gt;="&amp;$C$7,BD!$A$3:$A$5001,"&lt;="&amp;$B233,BD!$X$3:$X$5001,"&lt;&gt;")=0,"",SUMIFS(BD!$X$3:$X$5001,BD!$B$3:$B$5001,G$208,BD!$A$3:$A$5001,_xlfn.MAXIFS(BD!$A$3:$A$5001,BD!$B$3:$B$5001,G$208,BD!$A$3:$A$5001,"&gt;="&amp;$C$7,BD!$A$3:$A$5001,"&lt;="&amp;$B233,BD!$X$3:$X$5001,"&lt;&gt;"))))</f>
        <v/>
      </c>
      <c r="H233" s="42" t="str">
        <f>IF(OR($B233="",$A233&gt;$B$9),"",IF(COUNTIFS(BD!$B$3:$B$5001,H$208,BD!$A$3:$A$5001,"&gt;="&amp;$C$7,BD!$A$3:$A$5001,"&lt;="&amp;$B233,BD!$X$3:$X$5001,"&lt;&gt;")=0,"",SUMIFS(BD!$X$3:$X$5001,BD!$B$3:$B$5001,H$208,BD!$A$3:$A$5001,_xlfn.MAXIFS(BD!$A$3:$A$5001,BD!$B$3:$B$5001,H$208,BD!$A$3:$A$5001,"&gt;="&amp;$C$7,BD!$A$3:$A$5001,"&lt;="&amp;$B233,BD!$X$3:$X$5001,"&lt;&gt;"))))</f>
        <v/>
      </c>
      <c r="I233" s="42" t="str">
        <f>IF(OR($B233="",$A233&gt;$B$9),"",IF(COUNTIFS(BD!$B$3:$B$5001,I$208,BD!$A$3:$A$5001,"&gt;="&amp;$C$7,BD!$A$3:$A$5001,"&lt;="&amp;$B233,BD!$X$3:$X$5001,"&lt;&gt;")=0,"",SUMIFS(BD!$X$3:$X$5001,BD!$B$3:$B$5001,I$208,BD!$A$3:$A$5001,_xlfn.MAXIFS(BD!$A$3:$A$5001,BD!$B$3:$B$5001,I$208,BD!$A$3:$A$5001,"&gt;="&amp;$C$7,BD!$A$3:$A$5001,"&lt;="&amp;$B233,BD!$X$3:$X$5001,"&lt;&gt;"))))</f>
        <v/>
      </c>
      <c r="J233" s="42" t="str">
        <f>IF(OR($B233="",$A233&gt;$B$9),"",IF(COUNTIFS(BD!$B$3:$B$5001,J$208,BD!$A$3:$A$5001,"&gt;="&amp;$C$7,BD!$A$3:$A$5001,"&lt;="&amp;$B233,BD!$X$3:$X$5001,"&lt;&gt;")=0,"",SUMIFS(BD!$X$3:$X$5001,BD!$B$3:$B$5001,J$208,BD!$A$3:$A$5001,_xlfn.MAXIFS(BD!$A$3:$A$5001,BD!$B$3:$B$5001,J$208,BD!$A$3:$A$5001,"&gt;="&amp;$C$7,BD!$A$3:$A$5001,"&lt;="&amp;$B233,BD!$X$3:$X$5001,"&lt;&gt;"))))</f>
        <v/>
      </c>
      <c r="K233" s="42" t="str">
        <f>IF(OR($B233="",$A233&gt;$B$9),"",IF(COUNTIFS(BD!$B$3:$B$5001,K$208,BD!$A$3:$A$5001,"&gt;="&amp;$C$7,BD!$A$3:$A$5001,"&lt;="&amp;$B233,BD!$X$3:$X$5001,"&lt;&gt;")=0,"",SUMIFS(BD!$X$3:$X$5001,BD!$B$3:$B$5001,K$208,BD!$A$3:$A$5001,_xlfn.MAXIFS(BD!$A$3:$A$5001,BD!$B$3:$B$5001,K$208,BD!$A$3:$A$5001,"&gt;="&amp;$C$7,BD!$A$3:$A$5001,"&lt;="&amp;$B233,BD!$X$3:$X$5001,"&lt;&gt;"))))</f>
        <v/>
      </c>
    </row>
    <row r="234">
      <c r="A234" s="40">
        <v>26</v>
      </c>
      <c r="B234" s="41">
        <f>$B$37</f>
        <v>46321</v>
      </c>
      <c r="C234" s="42" t="str">
        <f>IF(OR($B234="",$A234&gt;$B$9),"",IF(COUNTIFS(BD!$B$3:$B$5001,C$208,BD!$A$3:$A$5001,"&gt;="&amp;$C$7,BD!$A$3:$A$5001,"&lt;="&amp;$B234,BD!$X$3:$X$5001,"&lt;&gt;")=0,"",SUMIFS(BD!$X$3:$X$5001,BD!$B$3:$B$5001,C$208,BD!$A$3:$A$5001,_xlfn.MAXIFS(BD!$A$3:$A$5001,BD!$B$3:$B$5001,C$208,BD!$A$3:$A$5001,"&gt;="&amp;$C$7,BD!$A$3:$A$5001,"&lt;="&amp;$B234,BD!$X$3:$X$5001,"&lt;&gt;"))))</f>
        <v/>
      </c>
      <c r="D234" s="42" t="str">
        <f>IF(OR($B234="",$A234&gt;$B$9),"",IF(COUNTIFS(BD!$B$3:$B$5001,D$208,BD!$A$3:$A$5001,"&gt;="&amp;$C$7,BD!$A$3:$A$5001,"&lt;="&amp;$B234,BD!$X$3:$X$5001,"&lt;&gt;")=0,"",SUMIFS(BD!$X$3:$X$5001,BD!$B$3:$B$5001,D$208,BD!$A$3:$A$5001,_xlfn.MAXIFS(BD!$A$3:$A$5001,BD!$B$3:$B$5001,D$208,BD!$A$3:$A$5001,"&gt;="&amp;$C$7,BD!$A$3:$A$5001,"&lt;="&amp;$B234,BD!$X$3:$X$5001,"&lt;&gt;"))))</f>
        <v/>
      </c>
      <c r="E234" s="42" t="str">
        <f>IF(OR($B234="",$A234&gt;$B$9),"",IF(COUNTIFS(BD!$B$3:$B$5001,E$208,BD!$A$3:$A$5001,"&gt;="&amp;$C$7,BD!$A$3:$A$5001,"&lt;="&amp;$B234,BD!$X$3:$X$5001,"&lt;&gt;")=0,"",SUMIFS(BD!$X$3:$X$5001,BD!$B$3:$B$5001,E$208,BD!$A$3:$A$5001,_xlfn.MAXIFS(BD!$A$3:$A$5001,BD!$B$3:$B$5001,E$208,BD!$A$3:$A$5001,"&gt;="&amp;$C$7,BD!$A$3:$A$5001,"&lt;="&amp;$B234,BD!$X$3:$X$5001,"&lt;&gt;"))))</f>
        <v/>
      </c>
      <c r="F234" s="42" t="str">
        <f>IF(OR($B234="",$A234&gt;$B$9),"",IF(COUNTIFS(BD!$B$3:$B$5001,F$208,BD!$A$3:$A$5001,"&gt;="&amp;$C$7,BD!$A$3:$A$5001,"&lt;="&amp;$B234,BD!$X$3:$X$5001,"&lt;&gt;")=0,"",SUMIFS(BD!$X$3:$X$5001,BD!$B$3:$B$5001,F$208,BD!$A$3:$A$5001,_xlfn.MAXIFS(BD!$A$3:$A$5001,BD!$B$3:$B$5001,F$208,BD!$A$3:$A$5001,"&gt;="&amp;$C$7,BD!$A$3:$A$5001,"&lt;="&amp;$B234,BD!$X$3:$X$5001,"&lt;&gt;"))))</f>
        <v/>
      </c>
      <c r="G234" s="42" t="str">
        <f>IF(OR($B234="",$A234&gt;$B$9),"",IF(COUNTIFS(BD!$B$3:$B$5001,G$208,BD!$A$3:$A$5001,"&gt;="&amp;$C$7,BD!$A$3:$A$5001,"&lt;="&amp;$B234,BD!$X$3:$X$5001,"&lt;&gt;")=0,"",SUMIFS(BD!$X$3:$X$5001,BD!$B$3:$B$5001,G$208,BD!$A$3:$A$5001,_xlfn.MAXIFS(BD!$A$3:$A$5001,BD!$B$3:$B$5001,G$208,BD!$A$3:$A$5001,"&gt;="&amp;$C$7,BD!$A$3:$A$5001,"&lt;="&amp;$B234,BD!$X$3:$X$5001,"&lt;&gt;"))))</f>
        <v/>
      </c>
      <c r="H234" s="42" t="str">
        <f>IF(OR($B234="",$A234&gt;$B$9),"",IF(COUNTIFS(BD!$B$3:$B$5001,H$208,BD!$A$3:$A$5001,"&gt;="&amp;$C$7,BD!$A$3:$A$5001,"&lt;="&amp;$B234,BD!$X$3:$X$5001,"&lt;&gt;")=0,"",SUMIFS(BD!$X$3:$X$5001,BD!$B$3:$B$5001,H$208,BD!$A$3:$A$5001,_xlfn.MAXIFS(BD!$A$3:$A$5001,BD!$B$3:$B$5001,H$208,BD!$A$3:$A$5001,"&gt;="&amp;$C$7,BD!$A$3:$A$5001,"&lt;="&amp;$B234,BD!$X$3:$X$5001,"&lt;&gt;"))))</f>
        <v/>
      </c>
      <c r="I234" s="42" t="str">
        <f>IF(OR($B234="",$A234&gt;$B$9),"",IF(COUNTIFS(BD!$B$3:$B$5001,I$208,BD!$A$3:$A$5001,"&gt;="&amp;$C$7,BD!$A$3:$A$5001,"&lt;="&amp;$B234,BD!$X$3:$X$5001,"&lt;&gt;")=0,"",SUMIFS(BD!$X$3:$X$5001,BD!$B$3:$B$5001,I$208,BD!$A$3:$A$5001,_xlfn.MAXIFS(BD!$A$3:$A$5001,BD!$B$3:$B$5001,I$208,BD!$A$3:$A$5001,"&gt;="&amp;$C$7,BD!$A$3:$A$5001,"&lt;="&amp;$B234,BD!$X$3:$X$5001,"&lt;&gt;"))))</f>
        <v/>
      </c>
      <c r="J234" s="42" t="str">
        <f>IF(OR($B234="",$A234&gt;$B$9),"",IF(COUNTIFS(BD!$B$3:$B$5001,J$208,BD!$A$3:$A$5001,"&gt;="&amp;$C$7,BD!$A$3:$A$5001,"&lt;="&amp;$B234,BD!$X$3:$X$5001,"&lt;&gt;")=0,"",SUMIFS(BD!$X$3:$X$5001,BD!$B$3:$B$5001,J$208,BD!$A$3:$A$5001,_xlfn.MAXIFS(BD!$A$3:$A$5001,BD!$B$3:$B$5001,J$208,BD!$A$3:$A$5001,"&gt;="&amp;$C$7,BD!$A$3:$A$5001,"&lt;="&amp;$B234,BD!$X$3:$X$5001,"&lt;&gt;"))))</f>
        <v/>
      </c>
      <c r="K234" s="42" t="str">
        <f>IF(OR($B234="",$A234&gt;$B$9),"",IF(COUNTIFS(BD!$B$3:$B$5001,K$208,BD!$A$3:$A$5001,"&gt;="&amp;$C$7,BD!$A$3:$A$5001,"&lt;="&amp;$B234,BD!$X$3:$X$5001,"&lt;&gt;")=0,"",SUMIFS(BD!$X$3:$X$5001,BD!$B$3:$B$5001,K$208,BD!$A$3:$A$5001,_xlfn.MAXIFS(BD!$A$3:$A$5001,BD!$B$3:$B$5001,K$208,BD!$A$3:$A$5001,"&gt;="&amp;$C$7,BD!$A$3:$A$5001,"&lt;="&amp;$B234,BD!$X$3:$X$5001,"&lt;&gt;"))))</f>
        <v/>
      </c>
    </row>
    <row r="235">
      <c r="A235" s="40">
        <v>27</v>
      </c>
      <c r="B235" s="41">
        <f>$B$38</f>
        <v>46322</v>
      </c>
      <c r="C235" s="42" t="str">
        <f>IF(OR($B235="",$A235&gt;$B$9),"",IF(COUNTIFS(BD!$B$3:$B$5001,C$208,BD!$A$3:$A$5001,"&gt;="&amp;$C$7,BD!$A$3:$A$5001,"&lt;="&amp;$B235,BD!$X$3:$X$5001,"&lt;&gt;")=0,"",SUMIFS(BD!$X$3:$X$5001,BD!$B$3:$B$5001,C$208,BD!$A$3:$A$5001,_xlfn.MAXIFS(BD!$A$3:$A$5001,BD!$B$3:$B$5001,C$208,BD!$A$3:$A$5001,"&gt;="&amp;$C$7,BD!$A$3:$A$5001,"&lt;="&amp;$B235,BD!$X$3:$X$5001,"&lt;&gt;"))))</f>
        <v/>
      </c>
      <c r="D235" s="42" t="str">
        <f>IF(OR($B235="",$A235&gt;$B$9),"",IF(COUNTIFS(BD!$B$3:$B$5001,D$208,BD!$A$3:$A$5001,"&gt;="&amp;$C$7,BD!$A$3:$A$5001,"&lt;="&amp;$B235,BD!$X$3:$X$5001,"&lt;&gt;")=0,"",SUMIFS(BD!$X$3:$X$5001,BD!$B$3:$B$5001,D$208,BD!$A$3:$A$5001,_xlfn.MAXIFS(BD!$A$3:$A$5001,BD!$B$3:$B$5001,D$208,BD!$A$3:$A$5001,"&gt;="&amp;$C$7,BD!$A$3:$A$5001,"&lt;="&amp;$B235,BD!$X$3:$X$5001,"&lt;&gt;"))))</f>
        <v/>
      </c>
      <c r="E235" s="42" t="str">
        <f>IF(OR($B235="",$A235&gt;$B$9),"",IF(COUNTIFS(BD!$B$3:$B$5001,E$208,BD!$A$3:$A$5001,"&gt;="&amp;$C$7,BD!$A$3:$A$5001,"&lt;="&amp;$B235,BD!$X$3:$X$5001,"&lt;&gt;")=0,"",SUMIFS(BD!$X$3:$X$5001,BD!$B$3:$B$5001,E$208,BD!$A$3:$A$5001,_xlfn.MAXIFS(BD!$A$3:$A$5001,BD!$B$3:$B$5001,E$208,BD!$A$3:$A$5001,"&gt;="&amp;$C$7,BD!$A$3:$A$5001,"&lt;="&amp;$B235,BD!$X$3:$X$5001,"&lt;&gt;"))))</f>
        <v/>
      </c>
      <c r="F235" s="42" t="str">
        <f>IF(OR($B235="",$A235&gt;$B$9),"",IF(COUNTIFS(BD!$B$3:$B$5001,F$208,BD!$A$3:$A$5001,"&gt;="&amp;$C$7,BD!$A$3:$A$5001,"&lt;="&amp;$B235,BD!$X$3:$X$5001,"&lt;&gt;")=0,"",SUMIFS(BD!$X$3:$X$5001,BD!$B$3:$B$5001,F$208,BD!$A$3:$A$5001,_xlfn.MAXIFS(BD!$A$3:$A$5001,BD!$B$3:$B$5001,F$208,BD!$A$3:$A$5001,"&gt;="&amp;$C$7,BD!$A$3:$A$5001,"&lt;="&amp;$B235,BD!$X$3:$X$5001,"&lt;&gt;"))))</f>
        <v/>
      </c>
      <c r="G235" s="42" t="str">
        <f>IF(OR($B235="",$A235&gt;$B$9),"",IF(COUNTIFS(BD!$B$3:$B$5001,G$208,BD!$A$3:$A$5001,"&gt;="&amp;$C$7,BD!$A$3:$A$5001,"&lt;="&amp;$B235,BD!$X$3:$X$5001,"&lt;&gt;")=0,"",SUMIFS(BD!$X$3:$X$5001,BD!$B$3:$B$5001,G$208,BD!$A$3:$A$5001,_xlfn.MAXIFS(BD!$A$3:$A$5001,BD!$B$3:$B$5001,G$208,BD!$A$3:$A$5001,"&gt;="&amp;$C$7,BD!$A$3:$A$5001,"&lt;="&amp;$B235,BD!$X$3:$X$5001,"&lt;&gt;"))))</f>
        <v/>
      </c>
      <c r="H235" s="42" t="str">
        <f>IF(OR($B235="",$A235&gt;$B$9),"",IF(COUNTIFS(BD!$B$3:$B$5001,H$208,BD!$A$3:$A$5001,"&gt;="&amp;$C$7,BD!$A$3:$A$5001,"&lt;="&amp;$B235,BD!$X$3:$X$5001,"&lt;&gt;")=0,"",SUMIFS(BD!$X$3:$X$5001,BD!$B$3:$B$5001,H$208,BD!$A$3:$A$5001,_xlfn.MAXIFS(BD!$A$3:$A$5001,BD!$B$3:$B$5001,H$208,BD!$A$3:$A$5001,"&gt;="&amp;$C$7,BD!$A$3:$A$5001,"&lt;="&amp;$B235,BD!$X$3:$X$5001,"&lt;&gt;"))))</f>
        <v/>
      </c>
      <c r="I235" s="42" t="str">
        <f>IF(OR($B235="",$A235&gt;$B$9),"",IF(COUNTIFS(BD!$B$3:$B$5001,I$208,BD!$A$3:$A$5001,"&gt;="&amp;$C$7,BD!$A$3:$A$5001,"&lt;="&amp;$B235,BD!$X$3:$X$5001,"&lt;&gt;")=0,"",SUMIFS(BD!$X$3:$X$5001,BD!$B$3:$B$5001,I$208,BD!$A$3:$A$5001,_xlfn.MAXIFS(BD!$A$3:$A$5001,BD!$B$3:$B$5001,I$208,BD!$A$3:$A$5001,"&gt;="&amp;$C$7,BD!$A$3:$A$5001,"&lt;="&amp;$B235,BD!$X$3:$X$5001,"&lt;&gt;"))))</f>
        <v/>
      </c>
      <c r="J235" s="42" t="str">
        <f>IF(OR($B235="",$A235&gt;$B$9),"",IF(COUNTIFS(BD!$B$3:$B$5001,J$208,BD!$A$3:$A$5001,"&gt;="&amp;$C$7,BD!$A$3:$A$5001,"&lt;="&amp;$B235,BD!$X$3:$X$5001,"&lt;&gt;")=0,"",SUMIFS(BD!$X$3:$X$5001,BD!$B$3:$B$5001,J$208,BD!$A$3:$A$5001,_xlfn.MAXIFS(BD!$A$3:$A$5001,BD!$B$3:$B$5001,J$208,BD!$A$3:$A$5001,"&gt;="&amp;$C$7,BD!$A$3:$A$5001,"&lt;="&amp;$B235,BD!$X$3:$X$5001,"&lt;&gt;"))))</f>
        <v/>
      </c>
      <c r="K235" s="42" t="str">
        <f>IF(OR($B235="",$A235&gt;$B$9),"",IF(COUNTIFS(BD!$B$3:$B$5001,K$208,BD!$A$3:$A$5001,"&gt;="&amp;$C$7,BD!$A$3:$A$5001,"&lt;="&amp;$B235,BD!$X$3:$X$5001,"&lt;&gt;")=0,"",SUMIFS(BD!$X$3:$X$5001,BD!$B$3:$B$5001,K$208,BD!$A$3:$A$5001,_xlfn.MAXIFS(BD!$A$3:$A$5001,BD!$B$3:$B$5001,K$208,BD!$A$3:$A$5001,"&gt;="&amp;$C$7,BD!$A$3:$A$5001,"&lt;="&amp;$B235,BD!$X$3:$X$5001,"&lt;&gt;"))))</f>
        <v/>
      </c>
    </row>
    <row r="236">
      <c r="A236" s="40">
        <v>28</v>
      </c>
      <c r="B236" s="41">
        <f>$B$39</f>
        <v>46323</v>
      </c>
      <c r="C236" s="42" t="str">
        <f>IF(OR($B236="",$A236&gt;$B$9),"",IF(COUNTIFS(BD!$B$3:$B$5001,C$208,BD!$A$3:$A$5001,"&gt;="&amp;$C$7,BD!$A$3:$A$5001,"&lt;="&amp;$B236,BD!$X$3:$X$5001,"&lt;&gt;")=0,"",SUMIFS(BD!$X$3:$X$5001,BD!$B$3:$B$5001,C$208,BD!$A$3:$A$5001,_xlfn.MAXIFS(BD!$A$3:$A$5001,BD!$B$3:$B$5001,C$208,BD!$A$3:$A$5001,"&gt;="&amp;$C$7,BD!$A$3:$A$5001,"&lt;="&amp;$B236,BD!$X$3:$X$5001,"&lt;&gt;"))))</f>
        <v/>
      </c>
      <c r="D236" s="42" t="str">
        <f>IF(OR($B236="",$A236&gt;$B$9),"",IF(COUNTIFS(BD!$B$3:$B$5001,D$208,BD!$A$3:$A$5001,"&gt;="&amp;$C$7,BD!$A$3:$A$5001,"&lt;="&amp;$B236,BD!$X$3:$X$5001,"&lt;&gt;")=0,"",SUMIFS(BD!$X$3:$X$5001,BD!$B$3:$B$5001,D$208,BD!$A$3:$A$5001,_xlfn.MAXIFS(BD!$A$3:$A$5001,BD!$B$3:$B$5001,D$208,BD!$A$3:$A$5001,"&gt;="&amp;$C$7,BD!$A$3:$A$5001,"&lt;="&amp;$B236,BD!$X$3:$X$5001,"&lt;&gt;"))))</f>
        <v/>
      </c>
      <c r="E236" s="42" t="str">
        <f>IF(OR($B236="",$A236&gt;$B$9),"",IF(COUNTIFS(BD!$B$3:$B$5001,E$208,BD!$A$3:$A$5001,"&gt;="&amp;$C$7,BD!$A$3:$A$5001,"&lt;="&amp;$B236,BD!$X$3:$X$5001,"&lt;&gt;")=0,"",SUMIFS(BD!$X$3:$X$5001,BD!$B$3:$B$5001,E$208,BD!$A$3:$A$5001,_xlfn.MAXIFS(BD!$A$3:$A$5001,BD!$B$3:$B$5001,E$208,BD!$A$3:$A$5001,"&gt;="&amp;$C$7,BD!$A$3:$A$5001,"&lt;="&amp;$B236,BD!$X$3:$X$5001,"&lt;&gt;"))))</f>
        <v/>
      </c>
      <c r="F236" s="42" t="str">
        <f>IF(OR($B236="",$A236&gt;$B$9),"",IF(COUNTIFS(BD!$B$3:$B$5001,F$208,BD!$A$3:$A$5001,"&gt;="&amp;$C$7,BD!$A$3:$A$5001,"&lt;="&amp;$B236,BD!$X$3:$X$5001,"&lt;&gt;")=0,"",SUMIFS(BD!$X$3:$X$5001,BD!$B$3:$B$5001,F$208,BD!$A$3:$A$5001,_xlfn.MAXIFS(BD!$A$3:$A$5001,BD!$B$3:$B$5001,F$208,BD!$A$3:$A$5001,"&gt;="&amp;$C$7,BD!$A$3:$A$5001,"&lt;="&amp;$B236,BD!$X$3:$X$5001,"&lt;&gt;"))))</f>
        <v/>
      </c>
      <c r="G236" s="42" t="str">
        <f>IF(OR($B236="",$A236&gt;$B$9),"",IF(COUNTIFS(BD!$B$3:$B$5001,G$208,BD!$A$3:$A$5001,"&gt;="&amp;$C$7,BD!$A$3:$A$5001,"&lt;="&amp;$B236,BD!$X$3:$X$5001,"&lt;&gt;")=0,"",SUMIFS(BD!$X$3:$X$5001,BD!$B$3:$B$5001,G$208,BD!$A$3:$A$5001,_xlfn.MAXIFS(BD!$A$3:$A$5001,BD!$B$3:$B$5001,G$208,BD!$A$3:$A$5001,"&gt;="&amp;$C$7,BD!$A$3:$A$5001,"&lt;="&amp;$B236,BD!$X$3:$X$5001,"&lt;&gt;"))))</f>
        <v/>
      </c>
      <c r="H236" s="42" t="str">
        <f>IF(OR($B236="",$A236&gt;$B$9),"",IF(COUNTIFS(BD!$B$3:$B$5001,H$208,BD!$A$3:$A$5001,"&gt;="&amp;$C$7,BD!$A$3:$A$5001,"&lt;="&amp;$B236,BD!$X$3:$X$5001,"&lt;&gt;")=0,"",SUMIFS(BD!$X$3:$X$5001,BD!$B$3:$B$5001,H$208,BD!$A$3:$A$5001,_xlfn.MAXIFS(BD!$A$3:$A$5001,BD!$B$3:$B$5001,H$208,BD!$A$3:$A$5001,"&gt;="&amp;$C$7,BD!$A$3:$A$5001,"&lt;="&amp;$B236,BD!$X$3:$X$5001,"&lt;&gt;"))))</f>
        <v/>
      </c>
      <c r="I236" s="42" t="str">
        <f>IF(OR($B236="",$A236&gt;$B$9),"",IF(COUNTIFS(BD!$B$3:$B$5001,I$208,BD!$A$3:$A$5001,"&gt;="&amp;$C$7,BD!$A$3:$A$5001,"&lt;="&amp;$B236,BD!$X$3:$X$5001,"&lt;&gt;")=0,"",SUMIFS(BD!$X$3:$X$5001,BD!$B$3:$B$5001,I$208,BD!$A$3:$A$5001,_xlfn.MAXIFS(BD!$A$3:$A$5001,BD!$B$3:$B$5001,I$208,BD!$A$3:$A$5001,"&gt;="&amp;$C$7,BD!$A$3:$A$5001,"&lt;="&amp;$B236,BD!$X$3:$X$5001,"&lt;&gt;"))))</f>
        <v/>
      </c>
      <c r="J236" s="42" t="str">
        <f>IF(OR($B236="",$A236&gt;$B$9),"",IF(COUNTIFS(BD!$B$3:$B$5001,J$208,BD!$A$3:$A$5001,"&gt;="&amp;$C$7,BD!$A$3:$A$5001,"&lt;="&amp;$B236,BD!$X$3:$X$5001,"&lt;&gt;")=0,"",SUMIFS(BD!$X$3:$X$5001,BD!$B$3:$B$5001,J$208,BD!$A$3:$A$5001,_xlfn.MAXIFS(BD!$A$3:$A$5001,BD!$B$3:$B$5001,J$208,BD!$A$3:$A$5001,"&gt;="&amp;$C$7,BD!$A$3:$A$5001,"&lt;="&amp;$B236,BD!$X$3:$X$5001,"&lt;&gt;"))))</f>
        <v/>
      </c>
      <c r="K236" s="42" t="str">
        <f>IF(OR($B236="",$A236&gt;$B$9),"",IF(COUNTIFS(BD!$B$3:$B$5001,K$208,BD!$A$3:$A$5001,"&gt;="&amp;$C$7,BD!$A$3:$A$5001,"&lt;="&amp;$B236,BD!$X$3:$X$5001,"&lt;&gt;")=0,"",SUMIFS(BD!$X$3:$X$5001,BD!$B$3:$B$5001,K$208,BD!$A$3:$A$5001,_xlfn.MAXIFS(BD!$A$3:$A$5001,BD!$B$3:$B$5001,K$208,BD!$A$3:$A$5001,"&gt;="&amp;$C$7,BD!$A$3:$A$5001,"&lt;="&amp;$B236,BD!$X$3:$X$5001,"&lt;&gt;"))))</f>
        <v/>
      </c>
    </row>
    <row r="237">
      <c r="A237" s="40">
        <v>29</v>
      </c>
      <c r="B237" s="41">
        <f>$B$40</f>
        <v>46324</v>
      </c>
      <c r="C237" s="42" t="str">
        <f>IF(OR($B237="",$A237&gt;$B$9),"",IF(COUNTIFS(BD!$B$3:$B$5001,C$208,BD!$A$3:$A$5001,"&gt;="&amp;$C$7,BD!$A$3:$A$5001,"&lt;="&amp;$B237,BD!$X$3:$X$5001,"&lt;&gt;")=0,"",SUMIFS(BD!$X$3:$X$5001,BD!$B$3:$B$5001,C$208,BD!$A$3:$A$5001,_xlfn.MAXIFS(BD!$A$3:$A$5001,BD!$B$3:$B$5001,C$208,BD!$A$3:$A$5001,"&gt;="&amp;$C$7,BD!$A$3:$A$5001,"&lt;="&amp;$B237,BD!$X$3:$X$5001,"&lt;&gt;"))))</f>
        <v/>
      </c>
      <c r="D237" s="42" t="str">
        <f>IF(OR($B237="",$A237&gt;$B$9),"",IF(COUNTIFS(BD!$B$3:$B$5001,D$208,BD!$A$3:$A$5001,"&gt;="&amp;$C$7,BD!$A$3:$A$5001,"&lt;="&amp;$B237,BD!$X$3:$X$5001,"&lt;&gt;")=0,"",SUMIFS(BD!$X$3:$X$5001,BD!$B$3:$B$5001,D$208,BD!$A$3:$A$5001,_xlfn.MAXIFS(BD!$A$3:$A$5001,BD!$B$3:$B$5001,D$208,BD!$A$3:$A$5001,"&gt;="&amp;$C$7,BD!$A$3:$A$5001,"&lt;="&amp;$B237,BD!$X$3:$X$5001,"&lt;&gt;"))))</f>
        <v/>
      </c>
      <c r="E237" s="42" t="str">
        <f>IF(OR($B237="",$A237&gt;$B$9),"",IF(COUNTIFS(BD!$B$3:$B$5001,E$208,BD!$A$3:$A$5001,"&gt;="&amp;$C$7,BD!$A$3:$A$5001,"&lt;="&amp;$B237,BD!$X$3:$X$5001,"&lt;&gt;")=0,"",SUMIFS(BD!$X$3:$X$5001,BD!$B$3:$B$5001,E$208,BD!$A$3:$A$5001,_xlfn.MAXIFS(BD!$A$3:$A$5001,BD!$B$3:$B$5001,E$208,BD!$A$3:$A$5001,"&gt;="&amp;$C$7,BD!$A$3:$A$5001,"&lt;="&amp;$B237,BD!$X$3:$X$5001,"&lt;&gt;"))))</f>
        <v/>
      </c>
      <c r="F237" s="42" t="str">
        <f>IF(OR($B237="",$A237&gt;$B$9),"",IF(COUNTIFS(BD!$B$3:$B$5001,F$208,BD!$A$3:$A$5001,"&gt;="&amp;$C$7,BD!$A$3:$A$5001,"&lt;="&amp;$B237,BD!$X$3:$X$5001,"&lt;&gt;")=0,"",SUMIFS(BD!$X$3:$X$5001,BD!$B$3:$B$5001,F$208,BD!$A$3:$A$5001,_xlfn.MAXIFS(BD!$A$3:$A$5001,BD!$B$3:$B$5001,F$208,BD!$A$3:$A$5001,"&gt;="&amp;$C$7,BD!$A$3:$A$5001,"&lt;="&amp;$B237,BD!$X$3:$X$5001,"&lt;&gt;"))))</f>
        <v/>
      </c>
      <c r="G237" s="42" t="str">
        <f>IF(OR($B237="",$A237&gt;$B$9),"",IF(COUNTIFS(BD!$B$3:$B$5001,G$208,BD!$A$3:$A$5001,"&gt;="&amp;$C$7,BD!$A$3:$A$5001,"&lt;="&amp;$B237,BD!$X$3:$X$5001,"&lt;&gt;")=0,"",SUMIFS(BD!$X$3:$X$5001,BD!$B$3:$B$5001,G$208,BD!$A$3:$A$5001,_xlfn.MAXIFS(BD!$A$3:$A$5001,BD!$B$3:$B$5001,G$208,BD!$A$3:$A$5001,"&gt;="&amp;$C$7,BD!$A$3:$A$5001,"&lt;="&amp;$B237,BD!$X$3:$X$5001,"&lt;&gt;"))))</f>
        <v/>
      </c>
      <c r="H237" s="42" t="str">
        <f>IF(OR($B237="",$A237&gt;$B$9),"",IF(COUNTIFS(BD!$B$3:$B$5001,H$208,BD!$A$3:$A$5001,"&gt;="&amp;$C$7,BD!$A$3:$A$5001,"&lt;="&amp;$B237,BD!$X$3:$X$5001,"&lt;&gt;")=0,"",SUMIFS(BD!$X$3:$X$5001,BD!$B$3:$B$5001,H$208,BD!$A$3:$A$5001,_xlfn.MAXIFS(BD!$A$3:$A$5001,BD!$B$3:$B$5001,H$208,BD!$A$3:$A$5001,"&gt;="&amp;$C$7,BD!$A$3:$A$5001,"&lt;="&amp;$B237,BD!$X$3:$X$5001,"&lt;&gt;"))))</f>
        <v/>
      </c>
      <c r="I237" s="42" t="str">
        <f>IF(OR($B237="",$A237&gt;$B$9),"",IF(COUNTIFS(BD!$B$3:$B$5001,I$208,BD!$A$3:$A$5001,"&gt;="&amp;$C$7,BD!$A$3:$A$5001,"&lt;="&amp;$B237,BD!$X$3:$X$5001,"&lt;&gt;")=0,"",SUMIFS(BD!$X$3:$X$5001,BD!$B$3:$B$5001,I$208,BD!$A$3:$A$5001,_xlfn.MAXIFS(BD!$A$3:$A$5001,BD!$B$3:$B$5001,I$208,BD!$A$3:$A$5001,"&gt;="&amp;$C$7,BD!$A$3:$A$5001,"&lt;="&amp;$B237,BD!$X$3:$X$5001,"&lt;&gt;"))))</f>
        <v/>
      </c>
      <c r="J237" s="42" t="str">
        <f>IF(OR($B237="",$A237&gt;$B$9),"",IF(COUNTIFS(BD!$B$3:$B$5001,J$208,BD!$A$3:$A$5001,"&gt;="&amp;$C$7,BD!$A$3:$A$5001,"&lt;="&amp;$B237,BD!$X$3:$X$5001,"&lt;&gt;")=0,"",SUMIFS(BD!$X$3:$X$5001,BD!$B$3:$B$5001,J$208,BD!$A$3:$A$5001,_xlfn.MAXIFS(BD!$A$3:$A$5001,BD!$B$3:$B$5001,J$208,BD!$A$3:$A$5001,"&gt;="&amp;$C$7,BD!$A$3:$A$5001,"&lt;="&amp;$B237,BD!$X$3:$X$5001,"&lt;&gt;"))))</f>
        <v/>
      </c>
      <c r="K237" s="42" t="str">
        <f>IF(OR($B237="",$A237&gt;$B$9),"",IF(COUNTIFS(BD!$B$3:$B$5001,K$208,BD!$A$3:$A$5001,"&gt;="&amp;$C$7,BD!$A$3:$A$5001,"&lt;="&amp;$B237,BD!$X$3:$X$5001,"&lt;&gt;")=0,"",SUMIFS(BD!$X$3:$X$5001,BD!$B$3:$B$5001,K$208,BD!$A$3:$A$5001,_xlfn.MAXIFS(BD!$A$3:$A$5001,BD!$B$3:$B$5001,K$208,BD!$A$3:$A$5001,"&gt;="&amp;$C$7,BD!$A$3:$A$5001,"&lt;="&amp;$B237,BD!$X$3:$X$5001,"&lt;&gt;"))))</f>
        <v/>
      </c>
    </row>
    <row r="238">
      <c r="A238" s="40">
        <v>30</v>
      </c>
      <c r="B238" s="41">
        <f>$B$41</f>
        <v>46325</v>
      </c>
      <c r="C238" s="42" t="str">
        <f>IF(OR($B238="",$A238&gt;$B$9),"",IF(COUNTIFS(BD!$B$3:$B$5001,C$208,BD!$A$3:$A$5001,"&gt;="&amp;$C$7,BD!$A$3:$A$5001,"&lt;="&amp;$B238,BD!$X$3:$X$5001,"&lt;&gt;")=0,"",SUMIFS(BD!$X$3:$X$5001,BD!$B$3:$B$5001,C$208,BD!$A$3:$A$5001,_xlfn.MAXIFS(BD!$A$3:$A$5001,BD!$B$3:$B$5001,C$208,BD!$A$3:$A$5001,"&gt;="&amp;$C$7,BD!$A$3:$A$5001,"&lt;="&amp;$B238,BD!$X$3:$X$5001,"&lt;&gt;"))))</f>
        <v/>
      </c>
      <c r="D238" s="42" t="str">
        <f>IF(OR($B238="",$A238&gt;$B$9),"",IF(COUNTIFS(BD!$B$3:$B$5001,D$208,BD!$A$3:$A$5001,"&gt;="&amp;$C$7,BD!$A$3:$A$5001,"&lt;="&amp;$B238,BD!$X$3:$X$5001,"&lt;&gt;")=0,"",SUMIFS(BD!$X$3:$X$5001,BD!$B$3:$B$5001,D$208,BD!$A$3:$A$5001,_xlfn.MAXIFS(BD!$A$3:$A$5001,BD!$B$3:$B$5001,D$208,BD!$A$3:$A$5001,"&gt;="&amp;$C$7,BD!$A$3:$A$5001,"&lt;="&amp;$B238,BD!$X$3:$X$5001,"&lt;&gt;"))))</f>
        <v/>
      </c>
      <c r="E238" s="42" t="str">
        <f>IF(OR($B238="",$A238&gt;$B$9),"",IF(COUNTIFS(BD!$B$3:$B$5001,E$208,BD!$A$3:$A$5001,"&gt;="&amp;$C$7,BD!$A$3:$A$5001,"&lt;="&amp;$B238,BD!$X$3:$X$5001,"&lt;&gt;")=0,"",SUMIFS(BD!$X$3:$X$5001,BD!$B$3:$B$5001,E$208,BD!$A$3:$A$5001,_xlfn.MAXIFS(BD!$A$3:$A$5001,BD!$B$3:$B$5001,E$208,BD!$A$3:$A$5001,"&gt;="&amp;$C$7,BD!$A$3:$A$5001,"&lt;="&amp;$B238,BD!$X$3:$X$5001,"&lt;&gt;"))))</f>
        <v/>
      </c>
      <c r="F238" s="42" t="str">
        <f>IF(OR($B238="",$A238&gt;$B$9),"",IF(COUNTIFS(BD!$B$3:$B$5001,F$208,BD!$A$3:$A$5001,"&gt;="&amp;$C$7,BD!$A$3:$A$5001,"&lt;="&amp;$B238,BD!$X$3:$X$5001,"&lt;&gt;")=0,"",SUMIFS(BD!$X$3:$X$5001,BD!$B$3:$B$5001,F$208,BD!$A$3:$A$5001,_xlfn.MAXIFS(BD!$A$3:$A$5001,BD!$B$3:$B$5001,F$208,BD!$A$3:$A$5001,"&gt;="&amp;$C$7,BD!$A$3:$A$5001,"&lt;="&amp;$B238,BD!$X$3:$X$5001,"&lt;&gt;"))))</f>
        <v/>
      </c>
      <c r="G238" s="42" t="str">
        <f>IF(OR($B238="",$A238&gt;$B$9),"",IF(COUNTIFS(BD!$B$3:$B$5001,G$208,BD!$A$3:$A$5001,"&gt;="&amp;$C$7,BD!$A$3:$A$5001,"&lt;="&amp;$B238,BD!$X$3:$X$5001,"&lt;&gt;")=0,"",SUMIFS(BD!$X$3:$X$5001,BD!$B$3:$B$5001,G$208,BD!$A$3:$A$5001,_xlfn.MAXIFS(BD!$A$3:$A$5001,BD!$B$3:$B$5001,G$208,BD!$A$3:$A$5001,"&gt;="&amp;$C$7,BD!$A$3:$A$5001,"&lt;="&amp;$B238,BD!$X$3:$X$5001,"&lt;&gt;"))))</f>
        <v/>
      </c>
      <c r="H238" s="42" t="str">
        <f>IF(OR($B238="",$A238&gt;$B$9),"",IF(COUNTIFS(BD!$B$3:$B$5001,H$208,BD!$A$3:$A$5001,"&gt;="&amp;$C$7,BD!$A$3:$A$5001,"&lt;="&amp;$B238,BD!$X$3:$X$5001,"&lt;&gt;")=0,"",SUMIFS(BD!$X$3:$X$5001,BD!$B$3:$B$5001,H$208,BD!$A$3:$A$5001,_xlfn.MAXIFS(BD!$A$3:$A$5001,BD!$B$3:$B$5001,H$208,BD!$A$3:$A$5001,"&gt;="&amp;$C$7,BD!$A$3:$A$5001,"&lt;="&amp;$B238,BD!$X$3:$X$5001,"&lt;&gt;"))))</f>
        <v/>
      </c>
      <c r="I238" s="42" t="str">
        <f>IF(OR($B238="",$A238&gt;$B$9),"",IF(COUNTIFS(BD!$B$3:$B$5001,I$208,BD!$A$3:$A$5001,"&gt;="&amp;$C$7,BD!$A$3:$A$5001,"&lt;="&amp;$B238,BD!$X$3:$X$5001,"&lt;&gt;")=0,"",SUMIFS(BD!$X$3:$X$5001,BD!$B$3:$B$5001,I$208,BD!$A$3:$A$5001,_xlfn.MAXIFS(BD!$A$3:$A$5001,BD!$B$3:$B$5001,I$208,BD!$A$3:$A$5001,"&gt;="&amp;$C$7,BD!$A$3:$A$5001,"&lt;="&amp;$B238,BD!$X$3:$X$5001,"&lt;&gt;"))))</f>
        <v/>
      </c>
      <c r="J238" s="42" t="str">
        <f>IF(OR($B238="",$A238&gt;$B$9),"",IF(COUNTIFS(BD!$B$3:$B$5001,J$208,BD!$A$3:$A$5001,"&gt;="&amp;$C$7,BD!$A$3:$A$5001,"&lt;="&amp;$B238,BD!$X$3:$X$5001,"&lt;&gt;")=0,"",SUMIFS(BD!$X$3:$X$5001,BD!$B$3:$B$5001,J$208,BD!$A$3:$A$5001,_xlfn.MAXIFS(BD!$A$3:$A$5001,BD!$B$3:$B$5001,J$208,BD!$A$3:$A$5001,"&gt;="&amp;$C$7,BD!$A$3:$A$5001,"&lt;="&amp;$B238,BD!$X$3:$X$5001,"&lt;&gt;"))))</f>
        <v/>
      </c>
      <c r="K238" s="42" t="str">
        <f>IF(OR($B238="",$A238&gt;$B$9),"",IF(COUNTIFS(BD!$B$3:$B$5001,K$208,BD!$A$3:$A$5001,"&gt;="&amp;$C$7,BD!$A$3:$A$5001,"&lt;="&amp;$B238,BD!$X$3:$X$5001,"&lt;&gt;")=0,"",SUMIFS(BD!$X$3:$X$5001,BD!$B$3:$B$5001,K$208,BD!$A$3:$A$5001,_xlfn.MAXIFS(BD!$A$3:$A$5001,BD!$B$3:$B$5001,K$208,BD!$A$3:$A$5001,"&gt;="&amp;$C$7,BD!$A$3:$A$5001,"&lt;="&amp;$B238,BD!$X$3:$X$5001,"&lt;&gt;"))))</f>
        <v/>
      </c>
    </row>
    <row r="239">
      <c r="A239" s="40">
        <v>31</v>
      </c>
      <c r="B239" s="41">
        <f>$B$42</f>
        <v>46326</v>
      </c>
      <c r="C239" s="42" t="str">
        <f>IF(OR($B239="",$A239&gt;$B$9),"",IF(COUNTIFS(BD!$B$3:$B$5001,C$208,BD!$A$3:$A$5001,"&gt;="&amp;$C$7,BD!$A$3:$A$5001,"&lt;="&amp;$B239,BD!$X$3:$X$5001,"&lt;&gt;")=0,"",SUMIFS(BD!$X$3:$X$5001,BD!$B$3:$B$5001,C$208,BD!$A$3:$A$5001,_xlfn.MAXIFS(BD!$A$3:$A$5001,BD!$B$3:$B$5001,C$208,BD!$A$3:$A$5001,"&gt;="&amp;$C$7,BD!$A$3:$A$5001,"&lt;="&amp;$B239,BD!$X$3:$X$5001,"&lt;&gt;"))))</f>
        <v/>
      </c>
      <c r="D239" s="42" t="str">
        <f>IF(OR($B239="",$A239&gt;$B$9),"",IF(COUNTIFS(BD!$B$3:$B$5001,D$208,BD!$A$3:$A$5001,"&gt;="&amp;$C$7,BD!$A$3:$A$5001,"&lt;="&amp;$B239,BD!$X$3:$X$5001,"&lt;&gt;")=0,"",SUMIFS(BD!$X$3:$X$5001,BD!$B$3:$B$5001,D$208,BD!$A$3:$A$5001,_xlfn.MAXIFS(BD!$A$3:$A$5001,BD!$B$3:$B$5001,D$208,BD!$A$3:$A$5001,"&gt;="&amp;$C$7,BD!$A$3:$A$5001,"&lt;="&amp;$B239,BD!$X$3:$X$5001,"&lt;&gt;"))))</f>
        <v/>
      </c>
      <c r="E239" s="42" t="str">
        <f>IF(OR($B239="",$A239&gt;$B$9),"",IF(COUNTIFS(BD!$B$3:$B$5001,E$208,BD!$A$3:$A$5001,"&gt;="&amp;$C$7,BD!$A$3:$A$5001,"&lt;="&amp;$B239,BD!$X$3:$X$5001,"&lt;&gt;")=0,"",SUMIFS(BD!$X$3:$X$5001,BD!$B$3:$B$5001,E$208,BD!$A$3:$A$5001,_xlfn.MAXIFS(BD!$A$3:$A$5001,BD!$B$3:$B$5001,E$208,BD!$A$3:$A$5001,"&gt;="&amp;$C$7,BD!$A$3:$A$5001,"&lt;="&amp;$B239,BD!$X$3:$X$5001,"&lt;&gt;"))))</f>
        <v/>
      </c>
      <c r="F239" s="42" t="str">
        <f>IF(OR($B239="",$A239&gt;$B$9),"",IF(COUNTIFS(BD!$B$3:$B$5001,F$208,BD!$A$3:$A$5001,"&gt;="&amp;$C$7,BD!$A$3:$A$5001,"&lt;="&amp;$B239,BD!$X$3:$X$5001,"&lt;&gt;")=0,"",SUMIFS(BD!$X$3:$X$5001,BD!$B$3:$B$5001,F$208,BD!$A$3:$A$5001,_xlfn.MAXIFS(BD!$A$3:$A$5001,BD!$B$3:$B$5001,F$208,BD!$A$3:$A$5001,"&gt;="&amp;$C$7,BD!$A$3:$A$5001,"&lt;="&amp;$B239,BD!$X$3:$X$5001,"&lt;&gt;"))))</f>
        <v/>
      </c>
      <c r="G239" s="42" t="str">
        <f>IF(OR($B239="",$A239&gt;$B$9),"",IF(COUNTIFS(BD!$B$3:$B$5001,G$208,BD!$A$3:$A$5001,"&gt;="&amp;$C$7,BD!$A$3:$A$5001,"&lt;="&amp;$B239,BD!$X$3:$X$5001,"&lt;&gt;")=0,"",SUMIFS(BD!$X$3:$X$5001,BD!$B$3:$B$5001,G$208,BD!$A$3:$A$5001,_xlfn.MAXIFS(BD!$A$3:$A$5001,BD!$B$3:$B$5001,G$208,BD!$A$3:$A$5001,"&gt;="&amp;$C$7,BD!$A$3:$A$5001,"&lt;="&amp;$B239,BD!$X$3:$X$5001,"&lt;&gt;"))))</f>
        <v/>
      </c>
      <c r="H239" s="42" t="str">
        <f>IF(OR($B239="",$A239&gt;$B$9),"",IF(COUNTIFS(BD!$B$3:$B$5001,H$208,BD!$A$3:$A$5001,"&gt;="&amp;$C$7,BD!$A$3:$A$5001,"&lt;="&amp;$B239,BD!$X$3:$X$5001,"&lt;&gt;")=0,"",SUMIFS(BD!$X$3:$X$5001,BD!$B$3:$B$5001,H$208,BD!$A$3:$A$5001,_xlfn.MAXIFS(BD!$A$3:$A$5001,BD!$B$3:$B$5001,H$208,BD!$A$3:$A$5001,"&gt;="&amp;$C$7,BD!$A$3:$A$5001,"&lt;="&amp;$B239,BD!$X$3:$X$5001,"&lt;&gt;"))))</f>
        <v/>
      </c>
      <c r="I239" s="42" t="str">
        <f>IF(OR($B239="",$A239&gt;$B$9),"",IF(COUNTIFS(BD!$B$3:$B$5001,I$208,BD!$A$3:$A$5001,"&gt;="&amp;$C$7,BD!$A$3:$A$5001,"&lt;="&amp;$B239,BD!$X$3:$X$5001,"&lt;&gt;")=0,"",SUMIFS(BD!$X$3:$X$5001,BD!$B$3:$B$5001,I$208,BD!$A$3:$A$5001,_xlfn.MAXIFS(BD!$A$3:$A$5001,BD!$B$3:$B$5001,I$208,BD!$A$3:$A$5001,"&gt;="&amp;$C$7,BD!$A$3:$A$5001,"&lt;="&amp;$B239,BD!$X$3:$X$5001,"&lt;&gt;"))))</f>
        <v/>
      </c>
      <c r="J239" s="42" t="str">
        <f>IF(OR($B239="",$A239&gt;$B$9),"",IF(COUNTIFS(BD!$B$3:$B$5001,J$208,BD!$A$3:$A$5001,"&gt;="&amp;$C$7,BD!$A$3:$A$5001,"&lt;="&amp;$B239,BD!$X$3:$X$5001,"&lt;&gt;")=0,"",SUMIFS(BD!$X$3:$X$5001,BD!$B$3:$B$5001,J$208,BD!$A$3:$A$5001,_xlfn.MAXIFS(BD!$A$3:$A$5001,BD!$B$3:$B$5001,J$208,BD!$A$3:$A$5001,"&gt;="&amp;$C$7,BD!$A$3:$A$5001,"&lt;="&amp;$B239,BD!$X$3:$X$5001,"&lt;&gt;"))))</f>
        <v/>
      </c>
      <c r="K239" s="42" t="str">
        <f>IF(OR($B239="",$A239&gt;$B$9),"",IF(COUNTIFS(BD!$B$3:$B$5001,K$208,BD!$A$3:$A$5001,"&gt;="&amp;$C$7,BD!$A$3:$A$5001,"&lt;="&amp;$B239,BD!$X$3:$X$5001,"&lt;&gt;")=0,"",SUMIFS(BD!$X$3:$X$5001,BD!$B$3:$B$5001,K$208,BD!$A$3:$A$5001,_xlfn.MAXIFS(BD!$A$3:$A$5001,BD!$B$3:$B$5001,K$208,BD!$A$3:$A$5001,"&gt;="&amp;$C$7,BD!$A$3:$A$5001,"&lt;="&amp;$B239,BD!$X$3:$X$5001,"&lt;&gt;"))))</f>
        <v/>
      </c>
    </row>
    <row r="240">
      <c r="A240" s="43" t="inlineStr">
        <is>
          <t xml:space="preserve">Mês anterior (último)</t>
        </is>
      </c>
      <c r="C240" s="44" t="str">
        <f>IF(COUNTIFS(BD!$B$3:$B$5001,C$208,BD!$A$3:$A$5001,"&gt;="&amp;$C$8,BD!$A$3:$A$5001,"&lt;="&amp;$D$8,BD!$X$3:$X$5001,"&lt;&gt;")=0,"",SUMIFS(BD!$X$3:$X$5001,BD!$B$3:$B$5001,C$208,BD!$A$3:$A$5001,_xlfn.MAXIFS(BD!$A$3:$A$5001,BD!$B$3:$B$5001,C$208,BD!$A$3:$A$5001,"&gt;="&amp;$C$8,BD!$A$3:$A$5001,"&lt;="&amp;$D$8,BD!$X$3:$X$5001,"&lt;&gt;")))</f>
        <v/>
      </c>
      <c r="D240" s="44" t="str">
        <f>IF(COUNTIFS(BD!$B$3:$B$5001,D$208,BD!$A$3:$A$5001,"&gt;="&amp;$C$8,BD!$A$3:$A$5001,"&lt;="&amp;$D$8,BD!$X$3:$X$5001,"&lt;&gt;")=0,"",SUMIFS(BD!$X$3:$X$5001,BD!$B$3:$B$5001,D$208,BD!$A$3:$A$5001,_xlfn.MAXIFS(BD!$A$3:$A$5001,BD!$B$3:$B$5001,D$208,BD!$A$3:$A$5001,"&gt;="&amp;$C$8,BD!$A$3:$A$5001,"&lt;="&amp;$D$8,BD!$X$3:$X$5001,"&lt;&gt;")))</f>
        <v/>
      </c>
      <c r="E240" s="44" t="str">
        <f>IF(COUNTIFS(BD!$B$3:$B$5001,E$208,BD!$A$3:$A$5001,"&gt;="&amp;$C$8,BD!$A$3:$A$5001,"&lt;="&amp;$D$8,BD!$X$3:$X$5001,"&lt;&gt;")=0,"",SUMIFS(BD!$X$3:$X$5001,BD!$B$3:$B$5001,E$208,BD!$A$3:$A$5001,_xlfn.MAXIFS(BD!$A$3:$A$5001,BD!$B$3:$B$5001,E$208,BD!$A$3:$A$5001,"&gt;="&amp;$C$8,BD!$A$3:$A$5001,"&lt;="&amp;$D$8,BD!$X$3:$X$5001,"&lt;&gt;")))</f>
        <v/>
      </c>
      <c r="F240" s="44" t="str">
        <f>IF(COUNTIFS(BD!$B$3:$B$5001,F$208,BD!$A$3:$A$5001,"&gt;="&amp;$C$8,BD!$A$3:$A$5001,"&lt;="&amp;$D$8,BD!$X$3:$X$5001,"&lt;&gt;")=0,"",SUMIFS(BD!$X$3:$X$5001,BD!$B$3:$B$5001,F$208,BD!$A$3:$A$5001,_xlfn.MAXIFS(BD!$A$3:$A$5001,BD!$B$3:$B$5001,F$208,BD!$A$3:$A$5001,"&gt;="&amp;$C$8,BD!$A$3:$A$5001,"&lt;="&amp;$D$8,BD!$X$3:$X$5001,"&lt;&gt;")))</f>
        <v/>
      </c>
      <c r="G240" s="44" t="str">
        <f>IF(COUNTIFS(BD!$B$3:$B$5001,G$208,BD!$A$3:$A$5001,"&gt;="&amp;$C$8,BD!$A$3:$A$5001,"&lt;="&amp;$D$8,BD!$X$3:$X$5001,"&lt;&gt;")=0,"",SUMIFS(BD!$X$3:$X$5001,BD!$B$3:$B$5001,G$208,BD!$A$3:$A$5001,_xlfn.MAXIFS(BD!$A$3:$A$5001,BD!$B$3:$B$5001,G$208,BD!$A$3:$A$5001,"&gt;="&amp;$C$8,BD!$A$3:$A$5001,"&lt;="&amp;$D$8,BD!$X$3:$X$5001,"&lt;&gt;")))</f>
        <v/>
      </c>
      <c r="H240" s="44" t="str">
        <f>IF(COUNTIFS(BD!$B$3:$B$5001,H$208,BD!$A$3:$A$5001,"&gt;="&amp;$C$8,BD!$A$3:$A$5001,"&lt;="&amp;$D$8,BD!$X$3:$X$5001,"&lt;&gt;")=0,"",SUMIFS(BD!$X$3:$X$5001,BD!$B$3:$B$5001,H$208,BD!$A$3:$A$5001,_xlfn.MAXIFS(BD!$A$3:$A$5001,BD!$B$3:$B$5001,H$208,BD!$A$3:$A$5001,"&gt;="&amp;$C$8,BD!$A$3:$A$5001,"&lt;="&amp;$D$8,BD!$X$3:$X$5001,"&lt;&gt;")))</f>
        <v/>
      </c>
      <c r="I240" s="44" t="str">
        <f>IF(COUNTIFS(BD!$B$3:$B$5001,I$208,BD!$A$3:$A$5001,"&gt;="&amp;$C$8,BD!$A$3:$A$5001,"&lt;="&amp;$D$8,BD!$X$3:$X$5001,"&lt;&gt;")=0,"",SUMIFS(BD!$X$3:$X$5001,BD!$B$3:$B$5001,I$208,BD!$A$3:$A$5001,_xlfn.MAXIFS(BD!$A$3:$A$5001,BD!$B$3:$B$5001,I$208,BD!$A$3:$A$5001,"&gt;="&amp;$C$8,BD!$A$3:$A$5001,"&lt;="&amp;$D$8,BD!$X$3:$X$5001,"&lt;&gt;")))</f>
        <v/>
      </c>
      <c r="J240" s="44" t="str">
        <f>IF(COUNTIFS(BD!$B$3:$B$5001,J$208,BD!$A$3:$A$5001,"&gt;="&amp;$C$8,BD!$A$3:$A$5001,"&lt;="&amp;$D$8,BD!$X$3:$X$5001,"&lt;&gt;")=0,"",SUMIFS(BD!$X$3:$X$5001,BD!$B$3:$B$5001,J$208,BD!$A$3:$A$5001,_xlfn.MAXIFS(BD!$A$3:$A$5001,BD!$B$3:$B$5001,J$208,BD!$A$3:$A$5001,"&gt;="&amp;$C$8,BD!$A$3:$A$5001,"&lt;="&amp;$D$8,BD!$X$3:$X$5001,"&lt;&gt;")))</f>
        <v/>
      </c>
      <c r="K240" s="44" t="str">
        <f>IF(COUNTIFS(BD!$B$3:$B$5001,K$208,BD!$A$3:$A$5001,"&gt;="&amp;$C$8,BD!$A$3:$A$5001,"&lt;="&amp;$D$8,BD!$X$3:$X$5001,"&lt;&gt;")=0,"",SUMIFS(BD!$X$3:$X$5001,BD!$B$3:$B$5001,K$208,BD!$A$3:$A$5001,_xlfn.MAXIFS(BD!$A$3:$A$5001,BD!$B$3:$B$5001,K$208,BD!$A$3:$A$5001,"&gt;="&amp;$C$8,BD!$A$3:$A$5001,"&lt;="&amp;$D$8,BD!$X$3:$X$5001,"&lt;&gt;")))</f>
        <v/>
      </c>
    </row>
    <row r="241">
      <c r="A241" s="43" t="inlineStr">
        <is>
          <t xml:space="preserve">Depósito</t>
        </is>
      </c>
      <c r="C241" s="40" t="inlineStr">
        <is>
          <t xml:space="preserve">TPC</t>
        </is>
      </c>
      <c r="D241" s="40" t="inlineStr">
        <is>
          <t xml:space="preserve">TPC</t>
        </is>
      </c>
      <c r="E241" s="40" t="inlineStr">
        <is>
          <t xml:space="preserve">TPC</t>
        </is>
      </c>
      <c r="F241" s="40" t="inlineStr">
        <is>
          <t xml:space="preserve">TPC</t>
        </is>
      </c>
      <c r="G241" s="40" t="inlineStr">
        <is>
          <t xml:space="preserve">TPC</t>
        </is>
      </c>
      <c r="H241" s="40" t="inlineStr">
        <is>
          <t xml:space="preserve">TPC</t>
        </is>
      </c>
      <c r="I241" s="40" t="inlineStr">
        <is>
          <t xml:space="preserve">TPC</t>
        </is>
      </c>
      <c r="J241" s="40" t="inlineStr">
        <is>
          <t xml:space="preserve">TPC</t>
        </is>
      </c>
      <c r="K241" s="40" t="inlineStr">
        <is>
          <t xml:space="preserve">TPC</t>
        </is>
      </c>
    </row>
    <row r="243">
      <c r="A243" s="37" t="inlineStr">
        <is>
          <t xml:space="preserve">Efetivo Op.</t>
        </is>
      </c>
      <c r="B243" s="37" t="inlineStr">
        <is>
          <t xml:space="preserve">Data</t>
        </is>
      </c>
      <c r="C243" s="37" t="inlineStr">
        <is>
          <t xml:space="preserve">Alpargatas</t>
        </is>
      </c>
      <c r="D243" s="37" t="inlineStr">
        <is>
          <t xml:space="preserve">Basf</t>
        </is>
      </c>
      <c r="E243" s="37" t="inlineStr">
        <is>
          <t xml:space="preserve">Beautybiz</t>
        </is>
      </c>
      <c r="F243" s="37" t="inlineStr">
        <is>
          <t xml:space="preserve">Boticário</t>
        </is>
      </c>
      <c r="G243" s="37" t="inlineStr">
        <is>
          <t xml:space="preserve">GE Vernova</t>
        </is>
      </c>
      <c r="H243" s="37" t="inlineStr">
        <is>
          <t xml:space="preserve">Omnilife</t>
        </is>
      </c>
      <c r="I243" s="37" t="inlineStr">
        <is>
          <t xml:space="preserve">Supply</t>
        </is>
      </c>
      <c r="J243" s="37" t="inlineStr">
        <is>
          <t xml:space="preserve">Vedacit</t>
        </is>
      </c>
      <c r="K243" s="37" t="inlineStr">
        <is>
          <t xml:space="preserve">Vestas</t>
        </is>
      </c>
    </row>
    <row r="244">
      <c r="A244" s="40">
        <v>1</v>
      </c>
      <c r="B244" s="41">
        <f>$B$12</f>
        <v>46296</v>
      </c>
      <c r="C244" s="42" t="str">
        <f>IF(OR($B244="",$A244&gt;$B$9),"",IF(COUNTIFS(BD!$B$3:$B$5001,C$243,BD!$A$3:$A$5001,"&gt;="&amp;$C$7,BD!$A$3:$A$5001,"&lt;="&amp;$B244,BD!$Z$3:$Z$5001,"&lt;&gt;")=0,"",SUMIFS(BD!$Z$3:$Z$5001,BD!$B$3:$B$5001,C$243,BD!$A$3:$A$5001,_xlfn.MAXIFS(BD!$A$3:$A$5001,BD!$B$3:$B$5001,C$243,BD!$A$3:$A$5001,"&gt;="&amp;$C$7,BD!$A$3:$A$5001,"&lt;="&amp;$B244,BD!$Z$3:$Z$5001,"&lt;&gt;"))))</f>
        <v/>
      </c>
      <c r="D244" s="42" t="str">
        <f>IF(OR($B244="",$A244&gt;$B$9),"",IF(COUNTIFS(BD!$B$3:$B$5001,D$243,BD!$A$3:$A$5001,"&gt;="&amp;$C$7,BD!$A$3:$A$5001,"&lt;="&amp;$B244,BD!$Z$3:$Z$5001,"&lt;&gt;")=0,"",SUMIFS(BD!$Z$3:$Z$5001,BD!$B$3:$B$5001,D$243,BD!$A$3:$A$5001,_xlfn.MAXIFS(BD!$A$3:$A$5001,BD!$B$3:$B$5001,D$243,BD!$A$3:$A$5001,"&gt;="&amp;$C$7,BD!$A$3:$A$5001,"&lt;="&amp;$B244,BD!$Z$3:$Z$5001,"&lt;&gt;"))))</f>
        <v/>
      </c>
      <c r="E244" s="42" t="str">
        <f>IF(OR($B244="",$A244&gt;$B$9),"",IF(COUNTIFS(BD!$B$3:$B$5001,E$243,BD!$A$3:$A$5001,"&gt;="&amp;$C$7,BD!$A$3:$A$5001,"&lt;="&amp;$B244,BD!$Z$3:$Z$5001,"&lt;&gt;")=0,"",SUMIFS(BD!$Z$3:$Z$5001,BD!$B$3:$B$5001,E$243,BD!$A$3:$A$5001,_xlfn.MAXIFS(BD!$A$3:$A$5001,BD!$B$3:$B$5001,E$243,BD!$A$3:$A$5001,"&gt;="&amp;$C$7,BD!$A$3:$A$5001,"&lt;="&amp;$B244,BD!$Z$3:$Z$5001,"&lt;&gt;"))))</f>
        <v/>
      </c>
      <c r="F244" s="42" t="str">
        <f>IF(OR($B244="",$A244&gt;$B$9),"",IF(COUNTIFS(BD!$B$3:$B$5001,F$243,BD!$A$3:$A$5001,"&gt;="&amp;$C$7,BD!$A$3:$A$5001,"&lt;="&amp;$B244,BD!$Z$3:$Z$5001,"&lt;&gt;")=0,"",SUMIFS(BD!$Z$3:$Z$5001,BD!$B$3:$B$5001,F$243,BD!$A$3:$A$5001,_xlfn.MAXIFS(BD!$A$3:$A$5001,BD!$B$3:$B$5001,F$243,BD!$A$3:$A$5001,"&gt;="&amp;$C$7,BD!$A$3:$A$5001,"&lt;="&amp;$B244,BD!$Z$3:$Z$5001,"&lt;&gt;"))))</f>
        <v/>
      </c>
      <c r="G244" s="42" t="str">
        <f>IF(OR($B244="",$A244&gt;$B$9),"",IF(COUNTIFS(BD!$B$3:$B$5001,G$243,BD!$A$3:$A$5001,"&gt;="&amp;$C$7,BD!$A$3:$A$5001,"&lt;="&amp;$B244,BD!$Z$3:$Z$5001,"&lt;&gt;")=0,"",SUMIFS(BD!$Z$3:$Z$5001,BD!$B$3:$B$5001,G$243,BD!$A$3:$A$5001,_xlfn.MAXIFS(BD!$A$3:$A$5001,BD!$B$3:$B$5001,G$243,BD!$A$3:$A$5001,"&gt;="&amp;$C$7,BD!$A$3:$A$5001,"&lt;="&amp;$B244,BD!$Z$3:$Z$5001,"&lt;&gt;"))))</f>
        <v/>
      </c>
      <c r="H244" s="42" t="str">
        <f>IF(OR($B244="",$A244&gt;$B$9),"",IF(COUNTIFS(BD!$B$3:$B$5001,H$243,BD!$A$3:$A$5001,"&gt;="&amp;$C$7,BD!$A$3:$A$5001,"&lt;="&amp;$B244,BD!$Z$3:$Z$5001,"&lt;&gt;")=0,"",SUMIFS(BD!$Z$3:$Z$5001,BD!$B$3:$B$5001,H$243,BD!$A$3:$A$5001,_xlfn.MAXIFS(BD!$A$3:$A$5001,BD!$B$3:$B$5001,H$243,BD!$A$3:$A$5001,"&gt;="&amp;$C$7,BD!$A$3:$A$5001,"&lt;="&amp;$B244,BD!$Z$3:$Z$5001,"&lt;&gt;"))))</f>
        <v/>
      </c>
      <c r="I244" s="42" t="str">
        <f>IF(OR($B244="",$A244&gt;$B$9),"",IF(COUNTIFS(BD!$B$3:$B$5001,I$243,BD!$A$3:$A$5001,"&gt;="&amp;$C$7,BD!$A$3:$A$5001,"&lt;="&amp;$B244,BD!$Z$3:$Z$5001,"&lt;&gt;")=0,"",SUMIFS(BD!$Z$3:$Z$5001,BD!$B$3:$B$5001,I$243,BD!$A$3:$A$5001,_xlfn.MAXIFS(BD!$A$3:$A$5001,BD!$B$3:$B$5001,I$243,BD!$A$3:$A$5001,"&gt;="&amp;$C$7,BD!$A$3:$A$5001,"&lt;="&amp;$B244,BD!$Z$3:$Z$5001,"&lt;&gt;"))))</f>
        <v/>
      </c>
      <c r="J244" s="42" t="str">
        <f>IF(OR($B244="",$A244&gt;$B$9),"",IF(COUNTIFS(BD!$B$3:$B$5001,J$243,BD!$A$3:$A$5001,"&gt;="&amp;$C$7,BD!$A$3:$A$5001,"&lt;="&amp;$B244,BD!$Z$3:$Z$5001,"&lt;&gt;")=0,"",SUMIFS(BD!$Z$3:$Z$5001,BD!$B$3:$B$5001,J$243,BD!$A$3:$A$5001,_xlfn.MAXIFS(BD!$A$3:$A$5001,BD!$B$3:$B$5001,J$243,BD!$A$3:$A$5001,"&gt;="&amp;$C$7,BD!$A$3:$A$5001,"&lt;="&amp;$B244,BD!$Z$3:$Z$5001,"&lt;&gt;"))))</f>
        <v/>
      </c>
      <c r="K244" s="42" t="str">
        <f>IF(OR($B244="",$A244&gt;$B$9),"",IF(COUNTIFS(BD!$B$3:$B$5001,K$243,BD!$A$3:$A$5001,"&gt;="&amp;$C$7,BD!$A$3:$A$5001,"&lt;="&amp;$B244,BD!$Z$3:$Z$5001,"&lt;&gt;")=0,"",SUMIFS(BD!$Z$3:$Z$5001,BD!$B$3:$B$5001,K$243,BD!$A$3:$A$5001,_xlfn.MAXIFS(BD!$A$3:$A$5001,BD!$B$3:$B$5001,K$243,BD!$A$3:$A$5001,"&gt;="&amp;$C$7,BD!$A$3:$A$5001,"&lt;="&amp;$B244,BD!$Z$3:$Z$5001,"&lt;&gt;"))))</f>
        <v/>
      </c>
    </row>
    <row r="245">
      <c r="A245" s="40">
        <v>2</v>
      </c>
      <c r="B245" s="41">
        <f>$B$13</f>
        <v>46297</v>
      </c>
      <c r="C245" s="42" t="str">
        <f>IF(OR($B245="",$A245&gt;$B$9),"",IF(COUNTIFS(BD!$B$3:$B$5001,C$243,BD!$A$3:$A$5001,"&gt;="&amp;$C$7,BD!$A$3:$A$5001,"&lt;="&amp;$B245,BD!$Z$3:$Z$5001,"&lt;&gt;")=0,"",SUMIFS(BD!$Z$3:$Z$5001,BD!$B$3:$B$5001,C$243,BD!$A$3:$A$5001,_xlfn.MAXIFS(BD!$A$3:$A$5001,BD!$B$3:$B$5001,C$243,BD!$A$3:$A$5001,"&gt;="&amp;$C$7,BD!$A$3:$A$5001,"&lt;="&amp;$B245,BD!$Z$3:$Z$5001,"&lt;&gt;"))))</f>
        <v/>
      </c>
      <c r="D245" s="42" t="str">
        <f>IF(OR($B245="",$A245&gt;$B$9),"",IF(COUNTIFS(BD!$B$3:$B$5001,D$243,BD!$A$3:$A$5001,"&gt;="&amp;$C$7,BD!$A$3:$A$5001,"&lt;="&amp;$B245,BD!$Z$3:$Z$5001,"&lt;&gt;")=0,"",SUMIFS(BD!$Z$3:$Z$5001,BD!$B$3:$B$5001,D$243,BD!$A$3:$A$5001,_xlfn.MAXIFS(BD!$A$3:$A$5001,BD!$B$3:$B$5001,D$243,BD!$A$3:$A$5001,"&gt;="&amp;$C$7,BD!$A$3:$A$5001,"&lt;="&amp;$B245,BD!$Z$3:$Z$5001,"&lt;&gt;"))))</f>
        <v/>
      </c>
      <c r="E245" s="42" t="str">
        <f>IF(OR($B245="",$A245&gt;$B$9),"",IF(COUNTIFS(BD!$B$3:$B$5001,E$243,BD!$A$3:$A$5001,"&gt;="&amp;$C$7,BD!$A$3:$A$5001,"&lt;="&amp;$B245,BD!$Z$3:$Z$5001,"&lt;&gt;")=0,"",SUMIFS(BD!$Z$3:$Z$5001,BD!$B$3:$B$5001,E$243,BD!$A$3:$A$5001,_xlfn.MAXIFS(BD!$A$3:$A$5001,BD!$B$3:$B$5001,E$243,BD!$A$3:$A$5001,"&gt;="&amp;$C$7,BD!$A$3:$A$5001,"&lt;="&amp;$B245,BD!$Z$3:$Z$5001,"&lt;&gt;"))))</f>
        <v/>
      </c>
      <c r="F245" s="42" t="str">
        <f>IF(OR($B245="",$A245&gt;$B$9),"",IF(COUNTIFS(BD!$B$3:$B$5001,F$243,BD!$A$3:$A$5001,"&gt;="&amp;$C$7,BD!$A$3:$A$5001,"&lt;="&amp;$B245,BD!$Z$3:$Z$5001,"&lt;&gt;")=0,"",SUMIFS(BD!$Z$3:$Z$5001,BD!$B$3:$B$5001,F$243,BD!$A$3:$A$5001,_xlfn.MAXIFS(BD!$A$3:$A$5001,BD!$B$3:$B$5001,F$243,BD!$A$3:$A$5001,"&gt;="&amp;$C$7,BD!$A$3:$A$5001,"&lt;="&amp;$B245,BD!$Z$3:$Z$5001,"&lt;&gt;"))))</f>
        <v/>
      </c>
      <c r="G245" s="42" t="str">
        <f>IF(OR($B245="",$A245&gt;$B$9),"",IF(COUNTIFS(BD!$B$3:$B$5001,G$243,BD!$A$3:$A$5001,"&gt;="&amp;$C$7,BD!$A$3:$A$5001,"&lt;="&amp;$B245,BD!$Z$3:$Z$5001,"&lt;&gt;")=0,"",SUMIFS(BD!$Z$3:$Z$5001,BD!$B$3:$B$5001,G$243,BD!$A$3:$A$5001,_xlfn.MAXIFS(BD!$A$3:$A$5001,BD!$B$3:$B$5001,G$243,BD!$A$3:$A$5001,"&gt;="&amp;$C$7,BD!$A$3:$A$5001,"&lt;="&amp;$B245,BD!$Z$3:$Z$5001,"&lt;&gt;"))))</f>
        <v/>
      </c>
      <c r="H245" s="42" t="str">
        <f>IF(OR($B245="",$A245&gt;$B$9),"",IF(COUNTIFS(BD!$B$3:$B$5001,H$243,BD!$A$3:$A$5001,"&gt;="&amp;$C$7,BD!$A$3:$A$5001,"&lt;="&amp;$B245,BD!$Z$3:$Z$5001,"&lt;&gt;")=0,"",SUMIFS(BD!$Z$3:$Z$5001,BD!$B$3:$B$5001,H$243,BD!$A$3:$A$5001,_xlfn.MAXIFS(BD!$A$3:$A$5001,BD!$B$3:$B$5001,H$243,BD!$A$3:$A$5001,"&gt;="&amp;$C$7,BD!$A$3:$A$5001,"&lt;="&amp;$B245,BD!$Z$3:$Z$5001,"&lt;&gt;"))))</f>
        <v/>
      </c>
      <c r="I245" s="42" t="str">
        <f>IF(OR($B245="",$A245&gt;$B$9),"",IF(COUNTIFS(BD!$B$3:$B$5001,I$243,BD!$A$3:$A$5001,"&gt;="&amp;$C$7,BD!$A$3:$A$5001,"&lt;="&amp;$B245,BD!$Z$3:$Z$5001,"&lt;&gt;")=0,"",SUMIFS(BD!$Z$3:$Z$5001,BD!$B$3:$B$5001,I$243,BD!$A$3:$A$5001,_xlfn.MAXIFS(BD!$A$3:$A$5001,BD!$B$3:$B$5001,I$243,BD!$A$3:$A$5001,"&gt;="&amp;$C$7,BD!$A$3:$A$5001,"&lt;="&amp;$B245,BD!$Z$3:$Z$5001,"&lt;&gt;"))))</f>
        <v/>
      </c>
      <c r="J245" s="42" t="str">
        <f>IF(OR($B245="",$A245&gt;$B$9),"",IF(COUNTIFS(BD!$B$3:$B$5001,J$243,BD!$A$3:$A$5001,"&gt;="&amp;$C$7,BD!$A$3:$A$5001,"&lt;="&amp;$B245,BD!$Z$3:$Z$5001,"&lt;&gt;")=0,"",SUMIFS(BD!$Z$3:$Z$5001,BD!$B$3:$B$5001,J$243,BD!$A$3:$A$5001,_xlfn.MAXIFS(BD!$A$3:$A$5001,BD!$B$3:$B$5001,J$243,BD!$A$3:$A$5001,"&gt;="&amp;$C$7,BD!$A$3:$A$5001,"&lt;="&amp;$B245,BD!$Z$3:$Z$5001,"&lt;&gt;"))))</f>
        <v/>
      </c>
      <c r="K245" s="42" t="str">
        <f>IF(OR($B245="",$A245&gt;$B$9),"",IF(COUNTIFS(BD!$B$3:$B$5001,K$243,BD!$A$3:$A$5001,"&gt;="&amp;$C$7,BD!$A$3:$A$5001,"&lt;="&amp;$B245,BD!$Z$3:$Z$5001,"&lt;&gt;")=0,"",SUMIFS(BD!$Z$3:$Z$5001,BD!$B$3:$B$5001,K$243,BD!$A$3:$A$5001,_xlfn.MAXIFS(BD!$A$3:$A$5001,BD!$B$3:$B$5001,K$243,BD!$A$3:$A$5001,"&gt;="&amp;$C$7,BD!$A$3:$A$5001,"&lt;="&amp;$B245,BD!$Z$3:$Z$5001,"&lt;&gt;"))))</f>
        <v/>
      </c>
    </row>
    <row r="246">
      <c r="A246" s="40">
        <v>3</v>
      </c>
      <c r="B246" s="41">
        <f>$B$14</f>
        <v>46298</v>
      </c>
      <c r="C246" s="42" t="str">
        <f>IF(OR($B246="",$A246&gt;$B$9),"",IF(COUNTIFS(BD!$B$3:$B$5001,C$243,BD!$A$3:$A$5001,"&gt;="&amp;$C$7,BD!$A$3:$A$5001,"&lt;="&amp;$B246,BD!$Z$3:$Z$5001,"&lt;&gt;")=0,"",SUMIFS(BD!$Z$3:$Z$5001,BD!$B$3:$B$5001,C$243,BD!$A$3:$A$5001,_xlfn.MAXIFS(BD!$A$3:$A$5001,BD!$B$3:$B$5001,C$243,BD!$A$3:$A$5001,"&gt;="&amp;$C$7,BD!$A$3:$A$5001,"&lt;="&amp;$B246,BD!$Z$3:$Z$5001,"&lt;&gt;"))))</f>
        <v/>
      </c>
      <c r="D246" s="42" t="str">
        <f>IF(OR($B246="",$A246&gt;$B$9),"",IF(COUNTIFS(BD!$B$3:$B$5001,D$243,BD!$A$3:$A$5001,"&gt;="&amp;$C$7,BD!$A$3:$A$5001,"&lt;="&amp;$B246,BD!$Z$3:$Z$5001,"&lt;&gt;")=0,"",SUMIFS(BD!$Z$3:$Z$5001,BD!$B$3:$B$5001,D$243,BD!$A$3:$A$5001,_xlfn.MAXIFS(BD!$A$3:$A$5001,BD!$B$3:$B$5001,D$243,BD!$A$3:$A$5001,"&gt;="&amp;$C$7,BD!$A$3:$A$5001,"&lt;="&amp;$B246,BD!$Z$3:$Z$5001,"&lt;&gt;"))))</f>
        <v/>
      </c>
      <c r="E246" s="42" t="str">
        <f>IF(OR($B246="",$A246&gt;$B$9),"",IF(COUNTIFS(BD!$B$3:$B$5001,E$243,BD!$A$3:$A$5001,"&gt;="&amp;$C$7,BD!$A$3:$A$5001,"&lt;="&amp;$B246,BD!$Z$3:$Z$5001,"&lt;&gt;")=0,"",SUMIFS(BD!$Z$3:$Z$5001,BD!$B$3:$B$5001,E$243,BD!$A$3:$A$5001,_xlfn.MAXIFS(BD!$A$3:$A$5001,BD!$B$3:$B$5001,E$243,BD!$A$3:$A$5001,"&gt;="&amp;$C$7,BD!$A$3:$A$5001,"&lt;="&amp;$B246,BD!$Z$3:$Z$5001,"&lt;&gt;"))))</f>
        <v/>
      </c>
      <c r="F246" s="42" t="str">
        <f>IF(OR($B246="",$A246&gt;$B$9),"",IF(COUNTIFS(BD!$B$3:$B$5001,F$243,BD!$A$3:$A$5001,"&gt;="&amp;$C$7,BD!$A$3:$A$5001,"&lt;="&amp;$B246,BD!$Z$3:$Z$5001,"&lt;&gt;")=0,"",SUMIFS(BD!$Z$3:$Z$5001,BD!$B$3:$B$5001,F$243,BD!$A$3:$A$5001,_xlfn.MAXIFS(BD!$A$3:$A$5001,BD!$B$3:$B$5001,F$243,BD!$A$3:$A$5001,"&gt;="&amp;$C$7,BD!$A$3:$A$5001,"&lt;="&amp;$B246,BD!$Z$3:$Z$5001,"&lt;&gt;"))))</f>
        <v/>
      </c>
      <c r="G246" s="42" t="str">
        <f>IF(OR($B246="",$A246&gt;$B$9),"",IF(COUNTIFS(BD!$B$3:$B$5001,G$243,BD!$A$3:$A$5001,"&gt;="&amp;$C$7,BD!$A$3:$A$5001,"&lt;="&amp;$B246,BD!$Z$3:$Z$5001,"&lt;&gt;")=0,"",SUMIFS(BD!$Z$3:$Z$5001,BD!$B$3:$B$5001,G$243,BD!$A$3:$A$5001,_xlfn.MAXIFS(BD!$A$3:$A$5001,BD!$B$3:$B$5001,G$243,BD!$A$3:$A$5001,"&gt;="&amp;$C$7,BD!$A$3:$A$5001,"&lt;="&amp;$B246,BD!$Z$3:$Z$5001,"&lt;&gt;"))))</f>
        <v/>
      </c>
      <c r="H246" s="42" t="str">
        <f>IF(OR($B246="",$A246&gt;$B$9),"",IF(COUNTIFS(BD!$B$3:$B$5001,H$243,BD!$A$3:$A$5001,"&gt;="&amp;$C$7,BD!$A$3:$A$5001,"&lt;="&amp;$B246,BD!$Z$3:$Z$5001,"&lt;&gt;")=0,"",SUMIFS(BD!$Z$3:$Z$5001,BD!$B$3:$B$5001,H$243,BD!$A$3:$A$5001,_xlfn.MAXIFS(BD!$A$3:$A$5001,BD!$B$3:$B$5001,H$243,BD!$A$3:$A$5001,"&gt;="&amp;$C$7,BD!$A$3:$A$5001,"&lt;="&amp;$B246,BD!$Z$3:$Z$5001,"&lt;&gt;"))))</f>
        <v/>
      </c>
      <c r="I246" s="42" t="str">
        <f>IF(OR($B246="",$A246&gt;$B$9),"",IF(COUNTIFS(BD!$B$3:$B$5001,I$243,BD!$A$3:$A$5001,"&gt;="&amp;$C$7,BD!$A$3:$A$5001,"&lt;="&amp;$B246,BD!$Z$3:$Z$5001,"&lt;&gt;")=0,"",SUMIFS(BD!$Z$3:$Z$5001,BD!$B$3:$B$5001,I$243,BD!$A$3:$A$5001,_xlfn.MAXIFS(BD!$A$3:$A$5001,BD!$B$3:$B$5001,I$243,BD!$A$3:$A$5001,"&gt;="&amp;$C$7,BD!$A$3:$A$5001,"&lt;="&amp;$B246,BD!$Z$3:$Z$5001,"&lt;&gt;"))))</f>
        <v/>
      </c>
      <c r="J246" s="42" t="str">
        <f>IF(OR($B246="",$A246&gt;$B$9),"",IF(COUNTIFS(BD!$B$3:$B$5001,J$243,BD!$A$3:$A$5001,"&gt;="&amp;$C$7,BD!$A$3:$A$5001,"&lt;="&amp;$B246,BD!$Z$3:$Z$5001,"&lt;&gt;")=0,"",SUMIFS(BD!$Z$3:$Z$5001,BD!$B$3:$B$5001,J$243,BD!$A$3:$A$5001,_xlfn.MAXIFS(BD!$A$3:$A$5001,BD!$B$3:$B$5001,J$243,BD!$A$3:$A$5001,"&gt;="&amp;$C$7,BD!$A$3:$A$5001,"&lt;="&amp;$B246,BD!$Z$3:$Z$5001,"&lt;&gt;"))))</f>
        <v/>
      </c>
      <c r="K246" s="42" t="str">
        <f>IF(OR($B246="",$A246&gt;$B$9),"",IF(COUNTIFS(BD!$B$3:$B$5001,K$243,BD!$A$3:$A$5001,"&gt;="&amp;$C$7,BD!$A$3:$A$5001,"&lt;="&amp;$B246,BD!$Z$3:$Z$5001,"&lt;&gt;")=0,"",SUMIFS(BD!$Z$3:$Z$5001,BD!$B$3:$B$5001,K$243,BD!$A$3:$A$5001,_xlfn.MAXIFS(BD!$A$3:$A$5001,BD!$B$3:$B$5001,K$243,BD!$A$3:$A$5001,"&gt;="&amp;$C$7,BD!$A$3:$A$5001,"&lt;="&amp;$B246,BD!$Z$3:$Z$5001,"&lt;&gt;"))))</f>
        <v/>
      </c>
    </row>
    <row r="247">
      <c r="A247" s="40">
        <v>4</v>
      </c>
      <c r="B247" s="41">
        <f>$B$15</f>
        <v>46299</v>
      </c>
      <c r="C247" s="42" t="str">
        <f>IF(OR($B247="",$A247&gt;$B$9),"",IF(COUNTIFS(BD!$B$3:$B$5001,C$243,BD!$A$3:$A$5001,"&gt;="&amp;$C$7,BD!$A$3:$A$5001,"&lt;="&amp;$B247,BD!$Z$3:$Z$5001,"&lt;&gt;")=0,"",SUMIFS(BD!$Z$3:$Z$5001,BD!$B$3:$B$5001,C$243,BD!$A$3:$A$5001,_xlfn.MAXIFS(BD!$A$3:$A$5001,BD!$B$3:$B$5001,C$243,BD!$A$3:$A$5001,"&gt;="&amp;$C$7,BD!$A$3:$A$5001,"&lt;="&amp;$B247,BD!$Z$3:$Z$5001,"&lt;&gt;"))))</f>
        <v/>
      </c>
      <c r="D247" s="42" t="str">
        <f>IF(OR($B247="",$A247&gt;$B$9),"",IF(COUNTIFS(BD!$B$3:$B$5001,D$243,BD!$A$3:$A$5001,"&gt;="&amp;$C$7,BD!$A$3:$A$5001,"&lt;="&amp;$B247,BD!$Z$3:$Z$5001,"&lt;&gt;")=0,"",SUMIFS(BD!$Z$3:$Z$5001,BD!$B$3:$B$5001,D$243,BD!$A$3:$A$5001,_xlfn.MAXIFS(BD!$A$3:$A$5001,BD!$B$3:$B$5001,D$243,BD!$A$3:$A$5001,"&gt;="&amp;$C$7,BD!$A$3:$A$5001,"&lt;="&amp;$B247,BD!$Z$3:$Z$5001,"&lt;&gt;"))))</f>
        <v/>
      </c>
      <c r="E247" s="42" t="str">
        <f>IF(OR($B247="",$A247&gt;$B$9),"",IF(COUNTIFS(BD!$B$3:$B$5001,E$243,BD!$A$3:$A$5001,"&gt;="&amp;$C$7,BD!$A$3:$A$5001,"&lt;="&amp;$B247,BD!$Z$3:$Z$5001,"&lt;&gt;")=0,"",SUMIFS(BD!$Z$3:$Z$5001,BD!$B$3:$B$5001,E$243,BD!$A$3:$A$5001,_xlfn.MAXIFS(BD!$A$3:$A$5001,BD!$B$3:$B$5001,E$243,BD!$A$3:$A$5001,"&gt;="&amp;$C$7,BD!$A$3:$A$5001,"&lt;="&amp;$B247,BD!$Z$3:$Z$5001,"&lt;&gt;"))))</f>
        <v/>
      </c>
      <c r="F247" s="42" t="str">
        <f>IF(OR($B247="",$A247&gt;$B$9),"",IF(COUNTIFS(BD!$B$3:$B$5001,F$243,BD!$A$3:$A$5001,"&gt;="&amp;$C$7,BD!$A$3:$A$5001,"&lt;="&amp;$B247,BD!$Z$3:$Z$5001,"&lt;&gt;")=0,"",SUMIFS(BD!$Z$3:$Z$5001,BD!$B$3:$B$5001,F$243,BD!$A$3:$A$5001,_xlfn.MAXIFS(BD!$A$3:$A$5001,BD!$B$3:$B$5001,F$243,BD!$A$3:$A$5001,"&gt;="&amp;$C$7,BD!$A$3:$A$5001,"&lt;="&amp;$B247,BD!$Z$3:$Z$5001,"&lt;&gt;"))))</f>
        <v/>
      </c>
      <c r="G247" s="42" t="str">
        <f>IF(OR($B247="",$A247&gt;$B$9),"",IF(COUNTIFS(BD!$B$3:$B$5001,G$243,BD!$A$3:$A$5001,"&gt;="&amp;$C$7,BD!$A$3:$A$5001,"&lt;="&amp;$B247,BD!$Z$3:$Z$5001,"&lt;&gt;")=0,"",SUMIFS(BD!$Z$3:$Z$5001,BD!$B$3:$B$5001,G$243,BD!$A$3:$A$5001,_xlfn.MAXIFS(BD!$A$3:$A$5001,BD!$B$3:$B$5001,G$243,BD!$A$3:$A$5001,"&gt;="&amp;$C$7,BD!$A$3:$A$5001,"&lt;="&amp;$B247,BD!$Z$3:$Z$5001,"&lt;&gt;"))))</f>
        <v/>
      </c>
      <c r="H247" s="42" t="str">
        <f>IF(OR($B247="",$A247&gt;$B$9),"",IF(COUNTIFS(BD!$B$3:$B$5001,H$243,BD!$A$3:$A$5001,"&gt;="&amp;$C$7,BD!$A$3:$A$5001,"&lt;="&amp;$B247,BD!$Z$3:$Z$5001,"&lt;&gt;")=0,"",SUMIFS(BD!$Z$3:$Z$5001,BD!$B$3:$B$5001,H$243,BD!$A$3:$A$5001,_xlfn.MAXIFS(BD!$A$3:$A$5001,BD!$B$3:$B$5001,H$243,BD!$A$3:$A$5001,"&gt;="&amp;$C$7,BD!$A$3:$A$5001,"&lt;="&amp;$B247,BD!$Z$3:$Z$5001,"&lt;&gt;"))))</f>
        <v/>
      </c>
      <c r="I247" s="42" t="str">
        <f>IF(OR($B247="",$A247&gt;$B$9),"",IF(COUNTIFS(BD!$B$3:$B$5001,I$243,BD!$A$3:$A$5001,"&gt;="&amp;$C$7,BD!$A$3:$A$5001,"&lt;="&amp;$B247,BD!$Z$3:$Z$5001,"&lt;&gt;")=0,"",SUMIFS(BD!$Z$3:$Z$5001,BD!$B$3:$B$5001,I$243,BD!$A$3:$A$5001,_xlfn.MAXIFS(BD!$A$3:$A$5001,BD!$B$3:$B$5001,I$243,BD!$A$3:$A$5001,"&gt;="&amp;$C$7,BD!$A$3:$A$5001,"&lt;="&amp;$B247,BD!$Z$3:$Z$5001,"&lt;&gt;"))))</f>
        <v/>
      </c>
      <c r="J247" s="42" t="str">
        <f>IF(OR($B247="",$A247&gt;$B$9),"",IF(COUNTIFS(BD!$B$3:$B$5001,J$243,BD!$A$3:$A$5001,"&gt;="&amp;$C$7,BD!$A$3:$A$5001,"&lt;="&amp;$B247,BD!$Z$3:$Z$5001,"&lt;&gt;")=0,"",SUMIFS(BD!$Z$3:$Z$5001,BD!$B$3:$B$5001,J$243,BD!$A$3:$A$5001,_xlfn.MAXIFS(BD!$A$3:$A$5001,BD!$B$3:$B$5001,J$243,BD!$A$3:$A$5001,"&gt;="&amp;$C$7,BD!$A$3:$A$5001,"&lt;="&amp;$B247,BD!$Z$3:$Z$5001,"&lt;&gt;"))))</f>
        <v/>
      </c>
      <c r="K247" s="42" t="str">
        <f>IF(OR($B247="",$A247&gt;$B$9),"",IF(COUNTIFS(BD!$B$3:$B$5001,K$243,BD!$A$3:$A$5001,"&gt;="&amp;$C$7,BD!$A$3:$A$5001,"&lt;="&amp;$B247,BD!$Z$3:$Z$5001,"&lt;&gt;")=0,"",SUMIFS(BD!$Z$3:$Z$5001,BD!$B$3:$B$5001,K$243,BD!$A$3:$A$5001,_xlfn.MAXIFS(BD!$A$3:$A$5001,BD!$B$3:$B$5001,K$243,BD!$A$3:$A$5001,"&gt;="&amp;$C$7,BD!$A$3:$A$5001,"&lt;="&amp;$B247,BD!$Z$3:$Z$5001,"&lt;&gt;"))))</f>
        <v/>
      </c>
    </row>
    <row r="248">
      <c r="A248" s="40">
        <v>5</v>
      </c>
      <c r="B248" s="41">
        <f>$B$16</f>
        <v>46300</v>
      </c>
      <c r="C248" s="42" t="str">
        <f>IF(OR($B248="",$A248&gt;$B$9),"",IF(COUNTIFS(BD!$B$3:$B$5001,C$243,BD!$A$3:$A$5001,"&gt;="&amp;$C$7,BD!$A$3:$A$5001,"&lt;="&amp;$B248,BD!$Z$3:$Z$5001,"&lt;&gt;")=0,"",SUMIFS(BD!$Z$3:$Z$5001,BD!$B$3:$B$5001,C$243,BD!$A$3:$A$5001,_xlfn.MAXIFS(BD!$A$3:$A$5001,BD!$B$3:$B$5001,C$243,BD!$A$3:$A$5001,"&gt;="&amp;$C$7,BD!$A$3:$A$5001,"&lt;="&amp;$B248,BD!$Z$3:$Z$5001,"&lt;&gt;"))))</f>
        <v/>
      </c>
      <c r="D248" s="42" t="str">
        <f>IF(OR($B248="",$A248&gt;$B$9),"",IF(COUNTIFS(BD!$B$3:$B$5001,D$243,BD!$A$3:$A$5001,"&gt;="&amp;$C$7,BD!$A$3:$A$5001,"&lt;="&amp;$B248,BD!$Z$3:$Z$5001,"&lt;&gt;")=0,"",SUMIFS(BD!$Z$3:$Z$5001,BD!$B$3:$B$5001,D$243,BD!$A$3:$A$5001,_xlfn.MAXIFS(BD!$A$3:$A$5001,BD!$B$3:$B$5001,D$243,BD!$A$3:$A$5001,"&gt;="&amp;$C$7,BD!$A$3:$A$5001,"&lt;="&amp;$B248,BD!$Z$3:$Z$5001,"&lt;&gt;"))))</f>
        <v/>
      </c>
      <c r="E248" s="42" t="str">
        <f>IF(OR($B248="",$A248&gt;$B$9),"",IF(COUNTIFS(BD!$B$3:$B$5001,E$243,BD!$A$3:$A$5001,"&gt;="&amp;$C$7,BD!$A$3:$A$5001,"&lt;="&amp;$B248,BD!$Z$3:$Z$5001,"&lt;&gt;")=0,"",SUMIFS(BD!$Z$3:$Z$5001,BD!$B$3:$B$5001,E$243,BD!$A$3:$A$5001,_xlfn.MAXIFS(BD!$A$3:$A$5001,BD!$B$3:$B$5001,E$243,BD!$A$3:$A$5001,"&gt;="&amp;$C$7,BD!$A$3:$A$5001,"&lt;="&amp;$B248,BD!$Z$3:$Z$5001,"&lt;&gt;"))))</f>
        <v/>
      </c>
      <c r="F248" s="42" t="str">
        <f>IF(OR($B248="",$A248&gt;$B$9),"",IF(COUNTIFS(BD!$B$3:$B$5001,F$243,BD!$A$3:$A$5001,"&gt;="&amp;$C$7,BD!$A$3:$A$5001,"&lt;="&amp;$B248,BD!$Z$3:$Z$5001,"&lt;&gt;")=0,"",SUMIFS(BD!$Z$3:$Z$5001,BD!$B$3:$B$5001,F$243,BD!$A$3:$A$5001,_xlfn.MAXIFS(BD!$A$3:$A$5001,BD!$B$3:$B$5001,F$243,BD!$A$3:$A$5001,"&gt;="&amp;$C$7,BD!$A$3:$A$5001,"&lt;="&amp;$B248,BD!$Z$3:$Z$5001,"&lt;&gt;"))))</f>
        <v/>
      </c>
      <c r="G248" s="42" t="str">
        <f>IF(OR($B248="",$A248&gt;$B$9),"",IF(COUNTIFS(BD!$B$3:$B$5001,G$243,BD!$A$3:$A$5001,"&gt;="&amp;$C$7,BD!$A$3:$A$5001,"&lt;="&amp;$B248,BD!$Z$3:$Z$5001,"&lt;&gt;")=0,"",SUMIFS(BD!$Z$3:$Z$5001,BD!$B$3:$B$5001,G$243,BD!$A$3:$A$5001,_xlfn.MAXIFS(BD!$A$3:$A$5001,BD!$B$3:$B$5001,G$243,BD!$A$3:$A$5001,"&gt;="&amp;$C$7,BD!$A$3:$A$5001,"&lt;="&amp;$B248,BD!$Z$3:$Z$5001,"&lt;&gt;"))))</f>
        <v/>
      </c>
      <c r="H248" s="42" t="str">
        <f>IF(OR($B248="",$A248&gt;$B$9),"",IF(COUNTIFS(BD!$B$3:$B$5001,H$243,BD!$A$3:$A$5001,"&gt;="&amp;$C$7,BD!$A$3:$A$5001,"&lt;="&amp;$B248,BD!$Z$3:$Z$5001,"&lt;&gt;")=0,"",SUMIFS(BD!$Z$3:$Z$5001,BD!$B$3:$B$5001,H$243,BD!$A$3:$A$5001,_xlfn.MAXIFS(BD!$A$3:$A$5001,BD!$B$3:$B$5001,H$243,BD!$A$3:$A$5001,"&gt;="&amp;$C$7,BD!$A$3:$A$5001,"&lt;="&amp;$B248,BD!$Z$3:$Z$5001,"&lt;&gt;"))))</f>
        <v/>
      </c>
      <c r="I248" s="42" t="str">
        <f>IF(OR($B248="",$A248&gt;$B$9),"",IF(COUNTIFS(BD!$B$3:$B$5001,I$243,BD!$A$3:$A$5001,"&gt;="&amp;$C$7,BD!$A$3:$A$5001,"&lt;="&amp;$B248,BD!$Z$3:$Z$5001,"&lt;&gt;")=0,"",SUMIFS(BD!$Z$3:$Z$5001,BD!$B$3:$B$5001,I$243,BD!$A$3:$A$5001,_xlfn.MAXIFS(BD!$A$3:$A$5001,BD!$B$3:$B$5001,I$243,BD!$A$3:$A$5001,"&gt;="&amp;$C$7,BD!$A$3:$A$5001,"&lt;="&amp;$B248,BD!$Z$3:$Z$5001,"&lt;&gt;"))))</f>
        <v/>
      </c>
      <c r="J248" s="42" t="str">
        <f>IF(OR($B248="",$A248&gt;$B$9),"",IF(COUNTIFS(BD!$B$3:$B$5001,J$243,BD!$A$3:$A$5001,"&gt;="&amp;$C$7,BD!$A$3:$A$5001,"&lt;="&amp;$B248,BD!$Z$3:$Z$5001,"&lt;&gt;")=0,"",SUMIFS(BD!$Z$3:$Z$5001,BD!$B$3:$B$5001,J$243,BD!$A$3:$A$5001,_xlfn.MAXIFS(BD!$A$3:$A$5001,BD!$B$3:$B$5001,J$243,BD!$A$3:$A$5001,"&gt;="&amp;$C$7,BD!$A$3:$A$5001,"&lt;="&amp;$B248,BD!$Z$3:$Z$5001,"&lt;&gt;"))))</f>
        <v/>
      </c>
      <c r="K248" s="42" t="str">
        <f>IF(OR($B248="",$A248&gt;$B$9),"",IF(COUNTIFS(BD!$B$3:$B$5001,K$243,BD!$A$3:$A$5001,"&gt;="&amp;$C$7,BD!$A$3:$A$5001,"&lt;="&amp;$B248,BD!$Z$3:$Z$5001,"&lt;&gt;")=0,"",SUMIFS(BD!$Z$3:$Z$5001,BD!$B$3:$B$5001,K$243,BD!$A$3:$A$5001,_xlfn.MAXIFS(BD!$A$3:$A$5001,BD!$B$3:$B$5001,K$243,BD!$A$3:$A$5001,"&gt;="&amp;$C$7,BD!$A$3:$A$5001,"&lt;="&amp;$B248,BD!$Z$3:$Z$5001,"&lt;&gt;"))))</f>
        <v/>
      </c>
    </row>
    <row r="249">
      <c r="A249" s="40">
        <v>6</v>
      </c>
      <c r="B249" s="41">
        <f>$B$17</f>
        <v>46301</v>
      </c>
      <c r="C249" s="42" t="str">
        <f>IF(OR($B249="",$A249&gt;$B$9),"",IF(COUNTIFS(BD!$B$3:$B$5001,C$243,BD!$A$3:$A$5001,"&gt;="&amp;$C$7,BD!$A$3:$A$5001,"&lt;="&amp;$B249,BD!$Z$3:$Z$5001,"&lt;&gt;")=0,"",SUMIFS(BD!$Z$3:$Z$5001,BD!$B$3:$B$5001,C$243,BD!$A$3:$A$5001,_xlfn.MAXIFS(BD!$A$3:$A$5001,BD!$B$3:$B$5001,C$243,BD!$A$3:$A$5001,"&gt;="&amp;$C$7,BD!$A$3:$A$5001,"&lt;="&amp;$B249,BD!$Z$3:$Z$5001,"&lt;&gt;"))))</f>
        <v/>
      </c>
      <c r="D249" s="42" t="str">
        <f>IF(OR($B249="",$A249&gt;$B$9),"",IF(COUNTIFS(BD!$B$3:$B$5001,D$243,BD!$A$3:$A$5001,"&gt;="&amp;$C$7,BD!$A$3:$A$5001,"&lt;="&amp;$B249,BD!$Z$3:$Z$5001,"&lt;&gt;")=0,"",SUMIFS(BD!$Z$3:$Z$5001,BD!$B$3:$B$5001,D$243,BD!$A$3:$A$5001,_xlfn.MAXIFS(BD!$A$3:$A$5001,BD!$B$3:$B$5001,D$243,BD!$A$3:$A$5001,"&gt;="&amp;$C$7,BD!$A$3:$A$5001,"&lt;="&amp;$B249,BD!$Z$3:$Z$5001,"&lt;&gt;"))))</f>
        <v/>
      </c>
      <c r="E249" s="42" t="str">
        <f>IF(OR($B249="",$A249&gt;$B$9),"",IF(COUNTIFS(BD!$B$3:$B$5001,E$243,BD!$A$3:$A$5001,"&gt;="&amp;$C$7,BD!$A$3:$A$5001,"&lt;="&amp;$B249,BD!$Z$3:$Z$5001,"&lt;&gt;")=0,"",SUMIFS(BD!$Z$3:$Z$5001,BD!$B$3:$B$5001,E$243,BD!$A$3:$A$5001,_xlfn.MAXIFS(BD!$A$3:$A$5001,BD!$B$3:$B$5001,E$243,BD!$A$3:$A$5001,"&gt;="&amp;$C$7,BD!$A$3:$A$5001,"&lt;="&amp;$B249,BD!$Z$3:$Z$5001,"&lt;&gt;"))))</f>
        <v/>
      </c>
      <c r="F249" s="42" t="str">
        <f>IF(OR($B249="",$A249&gt;$B$9),"",IF(COUNTIFS(BD!$B$3:$B$5001,F$243,BD!$A$3:$A$5001,"&gt;="&amp;$C$7,BD!$A$3:$A$5001,"&lt;="&amp;$B249,BD!$Z$3:$Z$5001,"&lt;&gt;")=0,"",SUMIFS(BD!$Z$3:$Z$5001,BD!$B$3:$B$5001,F$243,BD!$A$3:$A$5001,_xlfn.MAXIFS(BD!$A$3:$A$5001,BD!$B$3:$B$5001,F$243,BD!$A$3:$A$5001,"&gt;="&amp;$C$7,BD!$A$3:$A$5001,"&lt;="&amp;$B249,BD!$Z$3:$Z$5001,"&lt;&gt;"))))</f>
        <v/>
      </c>
      <c r="G249" s="42" t="str">
        <f>IF(OR($B249="",$A249&gt;$B$9),"",IF(COUNTIFS(BD!$B$3:$B$5001,G$243,BD!$A$3:$A$5001,"&gt;="&amp;$C$7,BD!$A$3:$A$5001,"&lt;="&amp;$B249,BD!$Z$3:$Z$5001,"&lt;&gt;")=0,"",SUMIFS(BD!$Z$3:$Z$5001,BD!$B$3:$B$5001,G$243,BD!$A$3:$A$5001,_xlfn.MAXIFS(BD!$A$3:$A$5001,BD!$B$3:$B$5001,G$243,BD!$A$3:$A$5001,"&gt;="&amp;$C$7,BD!$A$3:$A$5001,"&lt;="&amp;$B249,BD!$Z$3:$Z$5001,"&lt;&gt;"))))</f>
        <v/>
      </c>
      <c r="H249" s="42" t="str">
        <f>IF(OR($B249="",$A249&gt;$B$9),"",IF(COUNTIFS(BD!$B$3:$B$5001,H$243,BD!$A$3:$A$5001,"&gt;="&amp;$C$7,BD!$A$3:$A$5001,"&lt;="&amp;$B249,BD!$Z$3:$Z$5001,"&lt;&gt;")=0,"",SUMIFS(BD!$Z$3:$Z$5001,BD!$B$3:$B$5001,H$243,BD!$A$3:$A$5001,_xlfn.MAXIFS(BD!$A$3:$A$5001,BD!$B$3:$B$5001,H$243,BD!$A$3:$A$5001,"&gt;="&amp;$C$7,BD!$A$3:$A$5001,"&lt;="&amp;$B249,BD!$Z$3:$Z$5001,"&lt;&gt;"))))</f>
        <v/>
      </c>
      <c r="I249" s="42" t="str">
        <f>IF(OR($B249="",$A249&gt;$B$9),"",IF(COUNTIFS(BD!$B$3:$B$5001,I$243,BD!$A$3:$A$5001,"&gt;="&amp;$C$7,BD!$A$3:$A$5001,"&lt;="&amp;$B249,BD!$Z$3:$Z$5001,"&lt;&gt;")=0,"",SUMIFS(BD!$Z$3:$Z$5001,BD!$B$3:$B$5001,I$243,BD!$A$3:$A$5001,_xlfn.MAXIFS(BD!$A$3:$A$5001,BD!$B$3:$B$5001,I$243,BD!$A$3:$A$5001,"&gt;="&amp;$C$7,BD!$A$3:$A$5001,"&lt;="&amp;$B249,BD!$Z$3:$Z$5001,"&lt;&gt;"))))</f>
        <v/>
      </c>
      <c r="J249" s="42" t="str">
        <f>IF(OR($B249="",$A249&gt;$B$9),"",IF(COUNTIFS(BD!$B$3:$B$5001,J$243,BD!$A$3:$A$5001,"&gt;="&amp;$C$7,BD!$A$3:$A$5001,"&lt;="&amp;$B249,BD!$Z$3:$Z$5001,"&lt;&gt;")=0,"",SUMIFS(BD!$Z$3:$Z$5001,BD!$B$3:$B$5001,J$243,BD!$A$3:$A$5001,_xlfn.MAXIFS(BD!$A$3:$A$5001,BD!$B$3:$B$5001,J$243,BD!$A$3:$A$5001,"&gt;="&amp;$C$7,BD!$A$3:$A$5001,"&lt;="&amp;$B249,BD!$Z$3:$Z$5001,"&lt;&gt;"))))</f>
        <v/>
      </c>
      <c r="K249" s="42" t="str">
        <f>IF(OR($B249="",$A249&gt;$B$9),"",IF(COUNTIFS(BD!$B$3:$B$5001,K$243,BD!$A$3:$A$5001,"&gt;="&amp;$C$7,BD!$A$3:$A$5001,"&lt;="&amp;$B249,BD!$Z$3:$Z$5001,"&lt;&gt;")=0,"",SUMIFS(BD!$Z$3:$Z$5001,BD!$B$3:$B$5001,K$243,BD!$A$3:$A$5001,_xlfn.MAXIFS(BD!$A$3:$A$5001,BD!$B$3:$B$5001,K$243,BD!$A$3:$A$5001,"&gt;="&amp;$C$7,BD!$A$3:$A$5001,"&lt;="&amp;$B249,BD!$Z$3:$Z$5001,"&lt;&gt;"))))</f>
        <v/>
      </c>
    </row>
    <row r="250">
      <c r="A250" s="40">
        <v>7</v>
      </c>
      <c r="B250" s="41">
        <f>$B$18</f>
        <v>46302</v>
      </c>
      <c r="C250" s="42" t="str">
        <f>IF(OR($B250="",$A250&gt;$B$9),"",IF(COUNTIFS(BD!$B$3:$B$5001,C$243,BD!$A$3:$A$5001,"&gt;="&amp;$C$7,BD!$A$3:$A$5001,"&lt;="&amp;$B250,BD!$Z$3:$Z$5001,"&lt;&gt;")=0,"",SUMIFS(BD!$Z$3:$Z$5001,BD!$B$3:$B$5001,C$243,BD!$A$3:$A$5001,_xlfn.MAXIFS(BD!$A$3:$A$5001,BD!$B$3:$B$5001,C$243,BD!$A$3:$A$5001,"&gt;="&amp;$C$7,BD!$A$3:$A$5001,"&lt;="&amp;$B250,BD!$Z$3:$Z$5001,"&lt;&gt;"))))</f>
        <v/>
      </c>
      <c r="D250" s="42" t="str">
        <f>IF(OR($B250="",$A250&gt;$B$9),"",IF(COUNTIFS(BD!$B$3:$B$5001,D$243,BD!$A$3:$A$5001,"&gt;="&amp;$C$7,BD!$A$3:$A$5001,"&lt;="&amp;$B250,BD!$Z$3:$Z$5001,"&lt;&gt;")=0,"",SUMIFS(BD!$Z$3:$Z$5001,BD!$B$3:$B$5001,D$243,BD!$A$3:$A$5001,_xlfn.MAXIFS(BD!$A$3:$A$5001,BD!$B$3:$B$5001,D$243,BD!$A$3:$A$5001,"&gt;="&amp;$C$7,BD!$A$3:$A$5001,"&lt;="&amp;$B250,BD!$Z$3:$Z$5001,"&lt;&gt;"))))</f>
        <v/>
      </c>
      <c r="E250" s="42" t="str">
        <f>IF(OR($B250="",$A250&gt;$B$9),"",IF(COUNTIFS(BD!$B$3:$B$5001,E$243,BD!$A$3:$A$5001,"&gt;="&amp;$C$7,BD!$A$3:$A$5001,"&lt;="&amp;$B250,BD!$Z$3:$Z$5001,"&lt;&gt;")=0,"",SUMIFS(BD!$Z$3:$Z$5001,BD!$B$3:$B$5001,E$243,BD!$A$3:$A$5001,_xlfn.MAXIFS(BD!$A$3:$A$5001,BD!$B$3:$B$5001,E$243,BD!$A$3:$A$5001,"&gt;="&amp;$C$7,BD!$A$3:$A$5001,"&lt;="&amp;$B250,BD!$Z$3:$Z$5001,"&lt;&gt;"))))</f>
        <v/>
      </c>
      <c r="F250" s="42" t="str">
        <f>IF(OR($B250="",$A250&gt;$B$9),"",IF(COUNTIFS(BD!$B$3:$B$5001,F$243,BD!$A$3:$A$5001,"&gt;="&amp;$C$7,BD!$A$3:$A$5001,"&lt;="&amp;$B250,BD!$Z$3:$Z$5001,"&lt;&gt;")=0,"",SUMIFS(BD!$Z$3:$Z$5001,BD!$B$3:$B$5001,F$243,BD!$A$3:$A$5001,_xlfn.MAXIFS(BD!$A$3:$A$5001,BD!$B$3:$B$5001,F$243,BD!$A$3:$A$5001,"&gt;="&amp;$C$7,BD!$A$3:$A$5001,"&lt;="&amp;$B250,BD!$Z$3:$Z$5001,"&lt;&gt;"))))</f>
        <v/>
      </c>
      <c r="G250" s="42" t="str">
        <f>IF(OR($B250="",$A250&gt;$B$9),"",IF(COUNTIFS(BD!$B$3:$B$5001,G$243,BD!$A$3:$A$5001,"&gt;="&amp;$C$7,BD!$A$3:$A$5001,"&lt;="&amp;$B250,BD!$Z$3:$Z$5001,"&lt;&gt;")=0,"",SUMIFS(BD!$Z$3:$Z$5001,BD!$B$3:$B$5001,G$243,BD!$A$3:$A$5001,_xlfn.MAXIFS(BD!$A$3:$A$5001,BD!$B$3:$B$5001,G$243,BD!$A$3:$A$5001,"&gt;="&amp;$C$7,BD!$A$3:$A$5001,"&lt;="&amp;$B250,BD!$Z$3:$Z$5001,"&lt;&gt;"))))</f>
        <v/>
      </c>
      <c r="H250" s="42" t="str">
        <f>IF(OR($B250="",$A250&gt;$B$9),"",IF(COUNTIFS(BD!$B$3:$B$5001,H$243,BD!$A$3:$A$5001,"&gt;="&amp;$C$7,BD!$A$3:$A$5001,"&lt;="&amp;$B250,BD!$Z$3:$Z$5001,"&lt;&gt;")=0,"",SUMIFS(BD!$Z$3:$Z$5001,BD!$B$3:$B$5001,H$243,BD!$A$3:$A$5001,_xlfn.MAXIFS(BD!$A$3:$A$5001,BD!$B$3:$B$5001,H$243,BD!$A$3:$A$5001,"&gt;="&amp;$C$7,BD!$A$3:$A$5001,"&lt;="&amp;$B250,BD!$Z$3:$Z$5001,"&lt;&gt;"))))</f>
        <v/>
      </c>
      <c r="I250" s="42" t="str">
        <f>IF(OR($B250="",$A250&gt;$B$9),"",IF(COUNTIFS(BD!$B$3:$B$5001,I$243,BD!$A$3:$A$5001,"&gt;="&amp;$C$7,BD!$A$3:$A$5001,"&lt;="&amp;$B250,BD!$Z$3:$Z$5001,"&lt;&gt;")=0,"",SUMIFS(BD!$Z$3:$Z$5001,BD!$B$3:$B$5001,I$243,BD!$A$3:$A$5001,_xlfn.MAXIFS(BD!$A$3:$A$5001,BD!$B$3:$B$5001,I$243,BD!$A$3:$A$5001,"&gt;="&amp;$C$7,BD!$A$3:$A$5001,"&lt;="&amp;$B250,BD!$Z$3:$Z$5001,"&lt;&gt;"))))</f>
        <v/>
      </c>
      <c r="J250" s="42" t="str">
        <f>IF(OR($B250="",$A250&gt;$B$9),"",IF(COUNTIFS(BD!$B$3:$B$5001,J$243,BD!$A$3:$A$5001,"&gt;="&amp;$C$7,BD!$A$3:$A$5001,"&lt;="&amp;$B250,BD!$Z$3:$Z$5001,"&lt;&gt;")=0,"",SUMIFS(BD!$Z$3:$Z$5001,BD!$B$3:$B$5001,J$243,BD!$A$3:$A$5001,_xlfn.MAXIFS(BD!$A$3:$A$5001,BD!$B$3:$B$5001,J$243,BD!$A$3:$A$5001,"&gt;="&amp;$C$7,BD!$A$3:$A$5001,"&lt;="&amp;$B250,BD!$Z$3:$Z$5001,"&lt;&gt;"))))</f>
        <v/>
      </c>
      <c r="K250" s="42" t="str">
        <f>IF(OR($B250="",$A250&gt;$B$9),"",IF(COUNTIFS(BD!$B$3:$B$5001,K$243,BD!$A$3:$A$5001,"&gt;="&amp;$C$7,BD!$A$3:$A$5001,"&lt;="&amp;$B250,BD!$Z$3:$Z$5001,"&lt;&gt;")=0,"",SUMIFS(BD!$Z$3:$Z$5001,BD!$B$3:$B$5001,K$243,BD!$A$3:$A$5001,_xlfn.MAXIFS(BD!$A$3:$A$5001,BD!$B$3:$B$5001,K$243,BD!$A$3:$A$5001,"&gt;="&amp;$C$7,BD!$A$3:$A$5001,"&lt;="&amp;$B250,BD!$Z$3:$Z$5001,"&lt;&gt;"))))</f>
        <v/>
      </c>
    </row>
    <row r="251">
      <c r="A251" s="40">
        <v>8</v>
      </c>
      <c r="B251" s="41">
        <f>$B$19</f>
        <v>46303</v>
      </c>
      <c r="C251" s="42" t="str">
        <f>IF(OR($B251="",$A251&gt;$B$9),"",IF(COUNTIFS(BD!$B$3:$B$5001,C$243,BD!$A$3:$A$5001,"&gt;="&amp;$C$7,BD!$A$3:$A$5001,"&lt;="&amp;$B251,BD!$Z$3:$Z$5001,"&lt;&gt;")=0,"",SUMIFS(BD!$Z$3:$Z$5001,BD!$B$3:$B$5001,C$243,BD!$A$3:$A$5001,_xlfn.MAXIFS(BD!$A$3:$A$5001,BD!$B$3:$B$5001,C$243,BD!$A$3:$A$5001,"&gt;="&amp;$C$7,BD!$A$3:$A$5001,"&lt;="&amp;$B251,BD!$Z$3:$Z$5001,"&lt;&gt;"))))</f>
        <v/>
      </c>
      <c r="D251" s="42" t="str">
        <f>IF(OR($B251="",$A251&gt;$B$9),"",IF(COUNTIFS(BD!$B$3:$B$5001,D$243,BD!$A$3:$A$5001,"&gt;="&amp;$C$7,BD!$A$3:$A$5001,"&lt;="&amp;$B251,BD!$Z$3:$Z$5001,"&lt;&gt;")=0,"",SUMIFS(BD!$Z$3:$Z$5001,BD!$B$3:$B$5001,D$243,BD!$A$3:$A$5001,_xlfn.MAXIFS(BD!$A$3:$A$5001,BD!$B$3:$B$5001,D$243,BD!$A$3:$A$5001,"&gt;="&amp;$C$7,BD!$A$3:$A$5001,"&lt;="&amp;$B251,BD!$Z$3:$Z$5001,"&lt;&gt;"))))</f>
        <v/>
      </c>
      <c r="E251" s="42" t="str">
        <f>IF(OR($B251="",$A251&gt;$B$9),"",IF(COUNTIFS(BD!$B$3:$B$5001,E$243,BD!$A$3:$A$5001,"&gt;="&amp;$C$7,BD!$A$3:$A$5001,"&lt;="&amp;$B251,BD!$Z$3:$Z$5001,"&lt;&gt;")=0,"",SUMIFS(BD!$Z$3:$Z$5001,BD!$B$3:$B$5001,E$243,BD!$A$3:$A$5001,_xlfn.MAXIFS(BD!$A$3:$A$5001,BD!$B$3:$B$5001,E$243,BD!$A$3:$A$5001,"&gt;="&amp;$C$7,BD!$A$3:$A$5001,"&lt;="&amp;$B251,BD!$Z$3:$Z$5001,"&lt;&gt;"))))</f>
        <v/>
      </c>
      <c r="F251" s="42" t="str">
        <f>IF(OR($B251="",$A251&gt;$B$9),"",IF(COUNTIFS(BD!$B$3:$B$5001,F$243,BD!$A$3:$A$5001,"&gt;="&amp;$C$7,BD!$A$3:$A$5001,"&lt;="&amp;$B251,BD!$Z$3:$Z$5001,"&lt;&gt;")=0,"",SUMIFS(BD!$Z$3:$Z$5001,BD!$B$3:$B$5001,F$243,BD!$A$3:$A$5001,_xlfn.MAXIFS(BD!$A$3:$A$5001,BD!$B$3:$B$5001,F$243,BD!$A$3:$A$5001,"&gt;="&amp;$C$7,BD!$A$3:$A$5001,"&lt;="&amp;$B251,BD!$Z$3:$Z$5001,"&lt;&gt;"))))</f>
        <v/>
      </c>
      <c r="G251" s="42" t="str">
        <f>IF(OR($B251="",$A251&gt;$B$9),"",IF(COUNTIFS(BD!$B$3:$B$5001,G$243,BD!$A$3:$A$5001,"&gt;="&amp;$C$7,BD!$A$3:$A$5001,"&lt;="&amp;$B251,BD!$Z$3:$Z$5001,"&lt;&gt;")=0,"",SUMIFS(BD!$Z$3:$Z$5001,BD!$B$3:$B$5001,G$243,BD!$A$3:$A$5001,_xlfn.MAXIFS(BD!$A$3:$A$5001,BD!$B$3:$B$5001,G$243,BD!$A$3:$A$5001,"&gt;="&amp;$C$7,BD!$A$3:$A$5001,"&lt;="&amp;$B251,BD!$Z$3:$Z$5001,"&lt;&gt;"))))</f>
        <v/>
      </c>
      <c r="H251" s="42" t="str">
        <f>IF(OR($B251="",$A251&gt;$B$9),"",IF(COUNTIFS(BD!$B$3:$B$5001,H$243,BD!$A$3:$A$5001,"&gt;="&amp;$C$7,BD!$A$3:$A$5001,"&lt;="&amp;$B251,BD!$Z$3:$Z$5001,"&lt;&gt;")=0,"",SUMIFS(BD!$Z$3:$Z$5001,BD!$B$3:$B$5001,H$243,BD!$A$3:$A$5001,_xlfn.MAXIFS(BD!$A$3:$A$5001,BD!$B$3:$B$5001,H$243,BD!$A$3:$A$5001,"&gt;="&amp;$C$7,BD!$A$3:$A$5001,"&lt;="&amp;$B251,BD!$Z$3:$Z$5001,"&lt;&gt;"))))</f>
        <v/>
      </c>
      <c r="I251" s="42" t="str">
        <f>IF(OR($B251="",$A251&gt;$B$9),"",IF(COUNTIFS(BD!$B$3:$B$5001,I$243,BD!$A$3:$A$5001,"&gt;="&amp;$C$7,BD!$A$3:$A$5001,"&lt;="&amp;$B251,BD!$Z$3:$Z$5001,"&lt;&gt;")=0,"",SUMIFS(BD!$Z$3:$Z$5001,BD!$B$3:$B$5001,I$243,BD!$A$3:$A$5001,_xlfn.MAXIFS(BD!$A$3:$A$5001,BD!$B$3:$B$5001,I$243,BD!$A$3:$A$5001,"&gt;="&amp;$C$7,BD!$A$3:$A$5001,"&lt;="&amp;$B251,BD!$Z$3:$Z$5001,"&lt;&gt;"))))</f>
        <v/>
      </c>
      <c r="J251" s="42" t="str">
        <f>IF(OR($B251="",$A251&gt;$B$9),"",IF(COUNTIFS(BD!$B$3:$B$5001,J$243,BD!$A$3:$A$5001,"&gt;="&amp;$C$7,BD!$A$3:$A$5001,"&lt;="&amp;$B251,BD!$Z$3:$Z$5001,"&lt;&gt;")=0,"",SUMIFS(BD!$Z$3:$Z$5001,BD!$B$3:$B$5001,J$243,BD!$A$3:$A$5001,_xlfn.MAXIFS(BD!$A$3:$A$5001,BD!$B$3:$B$5001,J$243,BD!$A$3:$A$5001,"&gt;="&amp;$C$7,BD!$A$3:$A$5001,"&lt;="&amp;$B251,BD!$Z$3:$Z$5001,"&lt;&gt;"))))</f>
        <v/>
      </c>
      <c r="K251" s="42" t="str">
        <f>IF(OR($B251="",$A251&gt;$B$9),"",IF(COUNTIFS(BD!$B$3:$B$5001,K$243,BD!$A$3:$A$5001,"&gt;="&amp;$C$7,BD!$A$3:$A$5001,"&lt;="&amp;$B251,BD!$Z$3:$Z$5001,"&lt;&gt;")=0,"",SUMIFS(BD!$Z$3:$Z$5001,BD!$B$3:$B$5001,K$243,BD!$A$3:$A$5001,_xlfn.MAXIFS(BD!$A$3:$A$5001,BD!$B$3:$B$5001,K$243,BD!$A$3:$A$5001,"&gt;="&amp;$C$7,BD!$A$3:$A$5001,"&lt;="&amp;$B251,BD!$Z$3:$Z$5001,"&lt;&gt;"))))</f>
        <v/>
      </c>
    </row>
    <row r="252">
      <c r="A252" s="40">
        <v>9</v>
      </c>
      <c r="B252" s="41">
        <f>$B$20</f>
        <v>46304</v>
      </c>
      <c r="C252" s="42" t="str">
        <f>IF(OR($B252="",$A252&gt;$B$9),"",IF(COUNTIFS(BD!$B$3:$B$5001,C$243,BD!$A$3:$A$5001,"&gt;="&amp;$C$7,BD!$A$3:$A$5001,"&lt;="&amp;$B252,BD!$Z$3:$Z$5001,"&lt;&gt;")=0,"",SUMIFS(BD!$Z$3:$Z$5001,BD!$B$3:$B$5001,C$243,BD!$A$3:$A$5001,_xlfn.MAXIFS(BD!$A$3:$A$5001,BD!$B$3:$B$5001,C$243,BD!$A$3:$A$5001,"&gt;="&amp;$C$7,BD!$A$3:$A$5001,"&lt;="&amp;$B252,BD!$Z$3:$Z$5001,"&lt;&gt;"))))</f>
        <v/>
      </c>
      <c r="D252" s="42" t="str">
        <f>IF(OR($B252="",$A252&gt;$B$9),"",IF(COUNTIFS(BD!$B$3:$B$5001,D$243,BD!$A$3:$A$5001,"&gt;="&amp;$C$7,BD!$A$3:$A$5001,"&lt;="&amp;$B252,BD!$Z$3:$Z$5001,"&lt;&gt;")=0,"",SUMIFS(BD!$Z$3:$Z$5001,BD!$B$3:$B$5001,D$243,BD!$A$3:$A$5001,_xlfn.MAXIFS(BD!$A$3:$A$5001,BD!$B$3:$B$5001,D$243,BD!$A$3:$A$5001,"&gt;="&amp;$C$7,BD!$A$3:$A$5001,"&lt;="&amp;$B252,BD!$Z$3:$Z$5001,"&lt;&gt;"))))</f>
        <v/>
      </c>
      <c r="E252" s="42" t="str">
        <f>IF(OR($B252="",$A252&gt;$B$9),"",IF(COUNTIFS(BD!$B$3:$B$5001,E$243,BD!$A$3:$A$5001,"&gt;="&amp;$C$7,BD!$A$3:$A$5001,"&lt;="&amp;$B252,BD!$Z$3:$Z$5001,"&lt;&gt;")=0,"",SUMIFS(BD!$Z$3:$Z$5001,BD!$B$3:$B$5001,E$243,BD!$A$3:$A$5001,_xlfn.MAXIFS(BD!$A$3:$A$5001,BD!$B$3:$B$5001,E$243,BD!$A$3:$A$5001,"&gt;="&amp;$C$7,BD!$A$3:$A$5001,"&lt;="&amp;$B252,BD!$Z$3:$Z$5001,"&lt;&gt;"))))</f>
        <v/>
      </c>
      <c r="F252" s="42" t="str">
        <f>IF(OR($B252="",$A252&gt;$B$9),"",IF(COUNTIFS(BD!$B$3:$B$5001,F$243,BD!$A$3:$A$5001,"&gt;="&amp;$C$7,BD!$A$3:$A$5001,"&lt;="&amp;$B252,BD!$Z$3:$Z$5001,"&lt;&gt;")=0,"",SUMIFS(BD!$Z$3:$Z$5001,BD!$B$3:$B$5001,F$243,BD!$A$3:$A$5001,_xlfn.MAXIFS(BD!$A$3:$A$5001,BD!$B$3:$B$5001,F$243,BD!$A$3:$A$5001,"&gt;="&amp;$C$7,BD!$A$3:$A$5001,"&lt;="&amp;$B252,BD!$Z$3:$Z$5001,"&lt;&gt;"))))</f>
        <v/>
      </c>
      <c r="G252" s="42" t="str">
        <f>IF(OR($B252="",$A252&gt;$B$9),"",IF(COUNTIFS(BD!$B$3:$B$5001,G$243,BD!$A$3:$A$5001,"&gt;="&amp;$C$7,BD!$A$3:$A$5001,"&lt;="&amp;$B252,BD!$Z$3:$Z$5001,"&lt;&gt;")=0,"",SUMIFS(BD!$Z$3:$Z$5001,BD!$B$3:$B$5001,G$243,BD!$A$3:$A$5001,_xlfn.MAXIFS(BD!$A$3:$A$5001,BD!$B$3:$B$5001,G$243,BD!$A$3:$A$5001,"&gt;="&amp;$C$7,BD!$A$3:$A$5001,"&lt;="&amp;$B252,BD!$Z$3:$Z$5001,"&lt;&gt;"))))</f>
        <v/>
      </c>
      <c r="H252" s="42" t="str">
        <f>IF(OR($B252="",$A252&gt;$B$9),"",IF(COUNTIFS(BD!$B$3:$B$5001,H$243,BD!$A$3:$A$5001,"&gt;="&amp;$C$7,BD!$A$3:$A$5001,"&lt;="&amp;$B252,BD!$Z$3:$Z$5001,"&lt;&gt;")=0,"",SUMIFS(BD!$Z$3:$Z$5001,BD!$B$3:$B$5001,H$243,BD!$A$3:$A$5001,_xlfn.MAXIFS(BD!$A$3:$A$5001,BD!$B$3:$B$5001,H$243,BD!$A$3:$A$5001,"&gt;="&amp;$C$7,BD!$A$3:$A$5001,"&lt;="&amp;$B252,BD!$Z$3:$Z$5001,"&lt;&gt;"))))</f>
        <v/>
      </c>
      <c r="I252" s="42" t="str">
        <f>IF(OR($B252="",$A252&gt;$B$9),"",IF(COUNTIFS(BD!$B$3:$B$5001,I$243,BD!$A$3:$A$5001,"&gt;="&amp;$C$7,BD!$A$3:$A$5001,"&lt;="&amp;$B252,BD!$Z$3:$Z$5001,"&lt;&gt;")=0,"",SUMIFS(BD!$Z$3:$Z$5001,BD!$B$3:$B$5001,I$243,BD!$A$3:$A$5001,_xlfn.MAXIFS(BD!$A$3:$A$5001,BD!$B$3:$B$5001,I$243,BD!$A$3:$A$5001,"&gt;="&amp;$C$7,BD!$A$3:$A$5001,"&lt;="&amp;$B252,BD!$Z$3:$Z$5001,"&lt;&gt;"))))</f>
        <v/>
      </c>
      <c r="J252" s="42" t="str">
        <f>IF(OR($B252="",$A252&gt;$B$9),"",IF(COUNTIFS(BD!$B$3:$B$5001,J$243,BD!$A$3:$A$5001,"&gt;="&amp;$C$7,BD!$A$3:$A$5001,"&lt;="&amp;$B252,BD!$Z$3:$Z$5001,"&lt;&gt;")=0,"",SUMIFS(BD!$Z$3:$Z$5001,BD!$B$3:$B$5001,J$243,BD!$A$3:$A$5001,_xlfn.MAXIFS(BD!$A$3:$A$5001,BD!$B$3:$B$5001,J$243,BD!$A$3:$A$5001,"&gt;="&amp;$C$7,BD!$A$3:$A$5001,"&lt;="&amp;$B252,BD!$Z$3:$Z$5001,"&lt;&gt;"))))</f>
        <v/>
      </c>
      <c r="K252" s="42" t="str">
        <f>IF(OR($B252="",$A252&gt;$B$9),"",IF(COUNTIFS(BD!$B$3:$B$5001,K$243,BD!$A$3:$A$5001,"&gt;="&amp;$C$7,BD!$A$3:$A$5001,"&lt;="&amp;$B252,BD!$Z$3:$Z$5001,"&lt;&gt;")=0,"",SUMIFS(BD!$Z$3:$Z$5001,BD!$B$3:$B$5001,K$243,BD!$A$3:$A$5001,_xlfn.MAXIFS(BD!$A$3:$A$5001,BD!$B$3:$B$5001,K$243,BD!$A$3:$A$5001,"&gt;="&amp;$C$7,BD!$A$3:$A$5001,"&lt;="&amp;$B252,BD!$Z$3:$Z$5001,"&lt;&gt;"))))</f>
        <v/>
      </c>
    </row>
    <row r="253">
      <c r="A253" s="40">
        <v>10</v>
      </c>
      <c r="B253" s="41">
        <f>$B$21</f>
        <v>46305</v>
      </c>
      <c r="C253" s="42" t="str">
        <f>IF(OR($B253="",$A253&gt;$B$9),"",IF(COUNTIFS(BD!$B$3:$B$5001,C$243,BD!$A$3:$A$5001,"&gt;="&amp;$C$7,BD!$A$3:$A$5001,"&lt;="&amp;$B253,BD!$Z$3:$Z$5001,"&lt;&gt;")=0,"",SUMIFS(BD!$Z$3:$Z$5001,BD!$B$3:$B$5001,C$243,BD!$A$3:$A$5001,_xlfn.MAXIFS(BD!$A$3:$A$5001,BD!$B$3:$B$5001,C$243,BD!$A$3:$A$5001,"&gt;="&amp;$C$7,BD!$A$3:$A$5001,"&lt;="&amp;$B253,BD!$Z$3:$Z$5001,"&lt;&gt;"))))</f>
        <v/>
      </c>
      <c r="D253" s="42" t="str">
        <f>IF(OR($B253="",$A253&gt;$B$9),"",IF(COUNTIFS(BD!$B$3:$B$5001,D$243,BD!$A$3:$A$5001,"&gt;="&amp;$C$7,BD!$A$3:$A$5001,"&lt;="&amp;$B253,BD!$Z$3:$Z$5001,"&lt;&gt;")=0,"",SUMIFS(BD!$Z$3:$Z$5001,BD!$B$3:$B$5001,D$243,BD!$A$3:$A$5001,_xlfn.MAXIFS(BD!$A$3:$A$5001,BD!$B$3:$B$5001,D$243,BD!$A$3:$A$5001,"&gt;="&amp;$C$7,BD!$A$3:$A$5001,"&lt;="&amp;$B253,BD!$Z$3:$Z$5001,"&lt;&gt;"))))</f>
        <v/>
      </c>
      <c r="E253" s="42" t="str">
        <f>IF(OR($B253="",$A253&gt;$B$9),"",IF(COUNTIFS(BD!$B$3:$B$5001,E$243,BD!$A$3:$A$5001,"&gt;="&amp;$C$7,BD!$A$3:$A$5001,"&lt;="&amp;$B253,BD!$Z$3:$Z$5001,"&lt;&gt;")=0,"",SUMIFS(BD!$Z$3:$Z$5001,BD!$B$3:$B$5001,E$243,BD!$A$3:$A$5001,_xlfn.MAXIFS(BD!$A$3:$A$5001,BD!$B$3:$B$5001,E$243,BD!$A$3:$A$5001,"&gt;="&amp;$C$7,BD!$A$3:$A$5001,"&lt;="&amp;$B253,BD!$Z$3:$Z$5001,"&lt;&gt;"))))</f>
        <v/>
      </c>
      <c r="F253" s="42" t="str">
        <f>IF(OR($B253="",$A253&gt;$B$9),"",IF(COUNTIFS(BD!$B$3:$B$5001,F$243,BD!$A$3:$A$5001,"&gt;="&amp;$C$7,BD!$A$3:$A$5001,"&lt;="&amp;$B253,BD!$Z$3:$Z$5001,"&lt;&gt;")=0,"",SUMIFS(BD!$Z$3:$Z$5001,BD!$B$3:$B$5001,F$243,BD!$A$3:$A$5001,_xlfn.MAXIFS(BD!$A$3:$A$5001,BD!$B$3:$B$5001,F$243,BD!$A$3:$A$5001,"&gt;="&amp;$C$7,BD!$A$3:$A$5001,"&lt;="&amp;$B253,BD!$Z$3:$Z$5001,"&lt;&gt;"))))</f>
        <v/>
      </c>
      <c r="G253" s="42" t="str">
        <f>IF(OR($B253="",$A253&gt;$B$9),"",IF(COUNTIFS(BD!$B$3:$B$5001,G$243,BD!$A$3:$A$5001,"&gt;="&amp;$C$7,BD!$A$3:$A$5001,"&lt;="&amp;$B253,BD!$Z$3:$Z$5001,"&lt;&gt;")=0,"",SUMIFS(BD!$Z$3:$Z$5001,BD!$B$3:$B$5001,G$243,BD!$A$3:$A$5001,_xlfn.MAXIFS(BD!$A$3:$A$5001,BD!$B$3:$B$5001,G$243,BD!$A$3:$A$5001,"&gt;="&amp;$C$7,BD!$A$3:$A$5001,"&lt;="&amp;$B253,BD!$Z$3:$Z$5001,"&lt;&gt;"))))</f>
        <v/>
      </c>
      <c r="H253" s="42" t="str">
        <f>IF(OR($B253="",$A253&gt;$B$9),"",IF(COUNTIFS(BD!$B$3:$B$5001,H$243,BD!$A$3:$A$5001,"&gt;="&amp;$C$7,BD!$A$3:$A$5001,"&lt;="&amp;$B253,BD!$Z$3:$Z$5001,"&lt;&gt;")=0,"",SUMIFS(BD!$Z$3:$Z$5001,BD!$B$3:$B$5001,H$243,BD!$A$3:$A$5001,_xlfn.MAXIFS(BD!$A$3:$A$5001,BD!$B$3:$B$5001,H$243,BD!$A$3:$A$5001,"&gt;="&amp;$C$7,BD!$A$3:$A$5001,"&lt;="&amp;$B253,BD!$Z$3:$Z$5001,"&lt;&gt;"))))</f>
        <v/>
      </c>
      <c r="I253" s="42" t="str">
        <f>IF(OR($B253="",$A253&gt;$B$9),"",IF(COUNTIFS(BD!$B$3:$B$5001,I$243,BD!$A$3:$A$5001,"&gt;="&amp;$C$7,BD!$A$3:$A$5001,"&lt;="&amp;$B253,BD!$Z$3:$Z$5001,"&lt;&gt;")=0,"",SUMIFS(BD!$Z$3:$Z$5001,BD!$B$3:$B$5001,I$243,BD!$A$3:$A$5001,_xlfn.MAXIFS(BD!$A$3:$A$5001,BD!$B$3:$B$5001,I$243,BD!$A$3:$A$5001,"&gt;="&amp;$C$7,BD!$A$3:$A$5001,"&lt;="&amp;$B253,BD!$Z$3:$Z$5001,"&lt;&gt;"))))</f>
        <v/>
      </c>
      <c r="J253" s="42" t="str">
        <f>IF(OR($B253="",$A253&gt;$B$9),"",IF(COUNTIFS(BD!$B$3:$B$5001,J$243,BD!$A$3:$A$5001,"&gt;="&amp;$C$7,BD!$A$3:$A$5001,"&lt;="&amp;$B253,BD!$Z$3:$Z$5001,"&lt;&gt;")=0,"",SUMIFS(BD!$Z$3:$Z$5001,BD!$B$3:$B$5001,J$243,BD!$A$3:$A$5001,_xlfn.MAXIFS(BD!$A$3:$A$5001,BD!$B$3:$B$5001,J$243,BD!$A$3:$A$5001,"&gt;="&amp;$C$7,BD!$A$3:$A$5001,"&lt;="&amp;$B253,BD!$Z$3:$Z$5001,"&lt;&gt;"))))</f>
        <v/>
      </c>
      <c r="K253" s="42" t="str">
        <f>IF(OR($B253="",$A253&gt;$B$9),"",IF(COUNTIFS(BD!$B$3:$B$5001,K$243,BD!$A$3:$A$5001,"&gt;="&amp;$C$7,BD!$A$3:$A$5001,"&lt;="&amp;$B253,BD!$Z$3:$Z$5001,"&lt;&gt;")=0,"",SUMIFS(BD!$Z$3:$Z$5001,BD!$B$3:$B$5001,K$243,BD!$A$3:$A$5001,_xlfn.MAXIFS(BD!$A$3:$A$5001,BD!$B$3:$B$5001,K$243,BD!$A$3:$A$5001,"&gt;="&amp;$C$7,BD!$A$3:$A$5001,"&lt;="&amp;$B253,BD!$Z$3:$Z$5001,"&lt;&gt;"))))</f>
        <v/>
      </c>
    </row>
    <row r="254">
      <c r="A254" s="40">
        <v>11</v>
      </c>
      <c r="B254" s="41">
        <f>$B$22</f>
        <v>46306</v>
      </c>
      <c r="C254" s="42" t="str">
        <f>IF(OR($B254="",$A254&gt;$B$9),"",IF(COUNTIFS(BD!$B$3:$B$5001,C$243,BD!$A$3:$A$5001,"&gt;="&amp;$C$7,BD!$A$3:$A$5001,"&lt;="&amp;$B254,BD!$Z$3:$Z$5001,"&lt;&gt;")=0,"",SUMIFS(BD!$Z$3:$Z$5001,BD!$B$3:$B$5001,C$243,BD!$A$3:$A$5001,_xlfn.MAXIFS(BD!$A$3:$A$5001,BD!$B$3:$B$5001,C$243,BD!$A$3:$A$5001,"&gt;="&amp;$C$7,BD!$A$3:$A$5001,"&lt;="&amp;$B254,BD!$Z$3:$Z$5001,"&lt;&gt;"))))</f>
        <v/>
      </c>
      <c r="D254" s="42" t="str">
        <f>IF(OR($B254="",$A254&gt;$B$9),"",IF(COUNTIFS(BD!$B$3:$B$5001,D$243,BD!$A$3:$A$5001,"&gt;="&amp;$C$7,BD!$A$3:$A$5001,"&lt;="&amp;$B254,BD!$Z$3:$Z$5001,"&lt;&gt;")=0,"",SUMIFS(BD!$Z$3:$Z$5001,BD!$B$3:$B$5001,D$243,BD!$A$3:$A$5001,_xlfn.MAXIFS(BD!$A$3:$A$5001,BD!$B$3:$B$5001,D$243,BD!$A$3:$A$5001,"&gt;="&amp;$C$7,BD!$A$3:$A$5001,"&lt;="&amp;$B254,BD!$Z$3:$Z$5001,"&lt;&gt;"))))</f>
        <v/>
      </c>
      <c r="E254" s="42" t="str">
        <f>IF(OR($B254="",$A254&gt;$B$9),"",IF(COUNTIFS(BD!$B$3:$B$5001,E$243,BD!$A$3:$A$5001,"&gt;="&amp;$C$7,BD!$A$3:$A$5001,"&lt;="&amp;$B254,BD!$Z$3:$Z$5001,"&lt;&gt;")=0,"",SUMIFS(BD!$Z$3:$Z$5001,BD!$B$3:$B$5001,E$243,BD!$A$3:$A$5001,_xlfn.MAXIFS(BD!$A$3:$A$5001,BD!$B$3:$B$5001,E$243,BD!$A$3:$A$5001,"&gt;="&amp;$C$7,BD!$A$3:$A$5001,"&lt;="&amp;$B254,BD!$Z$3:$Z$5001,"&lt;&gt;"))))</f>
        <v/>
      </c>
      <c r="F254" s="42" t="str">
        <f>IF(OR($B254="",$A254&gt;$B$9),"",IF(COUNTIFS(BD!$B$3:$B$5001,F$243,BD!$A$3:$A$5001,"&gt;="&amp;$C$7,BD!$A$3:$A$5001,"&lt;="&amp;$B254,BD!$Z$3:$Z$5001,"&lt;&gt;")=0,"",SUMIFS(BD!$Z$3:$Z$5001,BD!$B$3:$B$5001,F$243,BD!$A$3:$A$5001,_xlfn.MAXIFS(BD!$A$3:$A$5001,BD!$B$3:$B$5001,F$243,BD!$A$3:$A$5001,"&gt;="&amp;$C$7,BD!$A$3:$A$5001,"&lt;="&amp;$B254,BD!$Z$3:$Z$5001,"&lt;&gt;"))))</f>
        <v/>
      </c>
      <c r="G254" s="42" t="str">
        <f>IF(OR($B254="",$A254&gt;$B$9),"",IF(COUNTIFS(BD!$B$3:$B$5001,G$243,BD!$A$3:$A$5001,"&gt;="&amp;$C$7,BD!$A$3:$A$5001,"&lt;="&amp;$B254,BD!$Z$3:$Z$5001,"&lt;&gt;")=0,"",SUMIFS(BD!$Z$3:$Z$5001,BD!$B$3:$B$5001,G$243,BD!$A$3:$A$5001,_xlfn.MAXIFS(BD!$A$3:$A$5001,BD!$B$3:$B$5001,G$243,BD!$A$3:$A$5001,"&gt;="&amp;$C$7,BD!$A$3:$A$5001,"&lt;="&amp;$B254,BD!$Z$3:$Z$5001,"&lt;&gt;"))))</f>
        <v/>
      </c>
      <c r="H254" s="42" t="str">
        <f>IF(OR($B254="",$A254&gt;$B$9),"",IF(COUNTIFS(BD!$B$3:$B$5001,H$243,BD!$A$3:$A$5001,"&gt;="&amp;$C$7,BD!$A$3:$A$5001,"&lt;="&amp;$B254,BD!$Z$3:$Z$5001,"&lt;&gt;")=0,"",SUMIFS(BD!$Z$3:$Z$5001,BD!$B$3:$B$5001,H$243,BD!$A$3:$A$5001,_xlfn.MAXIFS(BD!$A$3:$A$5001,BD!$B$3:$B$5001,H$243,BD!$A$3:$A$5001,"&gt;="&amp;$C$7,BD!$A$3:$A$5001,"&lt;="&amp;$B254,BD!$Z$3:$Z$5001,"&lt;&gt;"))))</f>
        <v/>
      </c>
      <c r="I254" s="42" t="str">
        <f>IF(OR($B254="",$A254&gt;$B$9),"",IF(COUNTIFS(BD!$B$3:$B$5001,I$243,BD!$A$3:$A$5001,"&gt;="&amp;$C$7,BD!$A$3:$A$5001,"&lt;="&amp;$B254,BD!$Z$3:$Z$5001,"&lt;&gt;")=0,"",SUMIFS(BD!$Z$3:$Z$5001,BD!$B$3:$B$5001,I$243,BD!$A$3:$A$5001,_xlfn.MAXIFS(BD!$A$3:$A$5001,BD!$B$3:$B$5001,I$243,BD!$A$3:$A$5001,"&gt;="&amp;$C$7,BD!$A$3:$A$5001,"&lt;="&amp;$B254,BD!$Z$3:$Z$5001,"&lt;&gt;"))))</f>
        <v/>
      </c>
      <c r="J254" s="42" t="str">
        <f>IF(OR($B254="",$A254&gt;$B$9),"",IF(COUNTIFS(BD!$B$3:$B$5001,J$243,BD!$A$3:$A$5001,"&gt;="&amp;$C$7,BD!$A$3:$A$5001,"&lt;="&amp;$B254,BD!$Z$3:$Z$5001,"&lt;&gt;")=0,"",SUMIFS(BD!$Z$3:$Z$5001,BD!$B$3:$B$5001,J$243,BD!$A$3:$A$5001,_xlfn.MAXIFS(BD!$A$3:$A$5001,BD!$B$3:$B$5001,J$243,BD!$A$3:$A$5001,"&gt;="&amp;$C$7,BD!$A$3:$A$5001,"&lt;="&amp;$B254,BD!$Z$3:$Z$5001,"&lt;&gt;"))))</f>
        <v/>
      </c>
      <c r="K254" s="42" t="str">
        <f>IF(OR($B254="",$A254&gt;$B$9),"",IF(COUNTIFS(BD!$B$3:$B$5001,K$243,BD!$A$3:$A$5001,"&gt;="&amp;$C$7,BD!$A$3:$A$5001,"&lt;="&amp;$B254,BD!$Z$3:$Z$5001,"&lt;&gt;")=0,"",SUMIFS(BD!$Z$3:$Z$5001,BD!$B$3:$B$5001,K$243,BD!$A$3:$A$5001,_xlfn.MAXIFS(BD!$A$3:$A$5001,BD!$B$3:$B$5001,K$243,BD!$A$3:$A$5001,"&gt;="&amp;$C$7,BD!$A$3:$A$5001,"&lt;="&amp;$B254,BD!$Z$3:$Z$5001,"&lt;&gt;"))))</f>
        <v/>
      </c>
    </row>
    <row r="255">
      <c r="A255" s="40">
        <v>12</v>
      </c>
      <c r="B255" s="41">
        <f>$B$23</f>
        <v>46307</v>
      </c>
      <c r="C255" s="42" t="str">
        <f>IF(OR($B255="",$A255&gt;$B$9),"",IF(COUNTIFS(BD!$B$3:$B$5001,C$243,BD!$A$3:$A$5001,"&gt;="&amp;$C$7,BD!$A$3:$A$5001,"&lt;="&amp;$B255,BD!$Z$3:$Z$5001,"&lt;&gt;")=0,"",SUMIFS(BD!$Z$3:$Z$5001,BD!$B$3:$B$5001,C$243,BD!$A$3:$A$5001,_xlfn.MAXIFS(BD!$A$3:$A$5001,BD!$B$3:$B$5001,C$243,BD!$A$3:$A$5001,"&gt;="&amp;$C$7,BD!$A$3:$A$5001,"&lt;="&amp;$B255,BD!$Z$3:$Z$5001,"&lt;&gt;"))))</f>
        <v/>
      </c>
      <c r="D255" s="42" t="str">
        <f>IF(OR($B255="",$A255&gt;$B$9),"",IF(COUNTIFS(BD!$B$3:$B$5001,D$243,BD!$A$3:$A$5001,"&gt;="&amp;$C$7,BD!$A$3:$A$5001,"&lt;="&amp;$B255,BD!$Z$3:$Z$5001,"&lt;&gt;")=0,"",SUMIFS(BD!$Z$3:$Z$5001,BD!$B$3:$B$5001,D$243,BD!$A$3:$A$5001,_xlfn.MAXIFS(BD!$A$3:$A$5001,BD!$B$3:$B$5001,D$243,BD!$A$3:$A$5001,"&gt;="&amp;$C$7,BD!$A$3:$A$5001,"&lt;="&amp;$B255,BD!$Z$3:$Z$5001,"&lt;&gt;"))))</f>
        <v/>
      </c>
      <c r="E255" s="42" t="str">
        <f>IF(OR($B255="",$A255&gt;$B$9),"",IF(COUNTIFS(BD!$B$3:$B$5001,E$243,BD!$A$3:$A$5001,"&gt;="&amp;$C$7,BD!$A$3:$A$5001,"&lt;="&amp;$B255,BD!$Z$3:$Z$5001,"&lt;&gt;")=0,"",SUMIFS(BD!$Z$3:$Z$5001,BD!$B$3:$B$5001,E$243,BD!$A$3:$A$5001,_xlfn.MAXIFS(BD!$A$3:$A$5001,BD!$B$3:$B$5001,E$243,BD!$A$3:$A$5001,"&gt;="&amp;$C$7,BD!$A$3:$A$5001,"&lt;="&amp;$B255,BD!$Z$3:$Z$5001,"&lt;&gt;"))))</f>
        <v/>
      </c>
      <c r="F255" s="42" t="str">
        <f>IF(OR($B255="",$A255&gt;$B$9),"",IF(COUNTIFS(BD!$B$3:$B$5001,F$243,BD!$A$3:$A$5001,"&gt;="&amp;$C$7,BD!$A$3:$A$5001,"&lt;="&amp;$B255,BD!$Z$3:$Z$5001,"&lt;&gt;")=0,"",SUMIFS(BD!$Z$3:$Z$5001,BD!$B$3:$B$5001,F$243,BD!$A$3:$A$5001,_xlfn.MAXIFS(BD!$A$3:$A$5001,BD!$B$3:$B$5001,F$243,BD!$A$3:$A$5001,"&gt;="&amp;$C$7,BD!$A$3:$A$5001,"&lt;="&amp;$B255,BD!$Z$3:$Z$5001,"&lt;&gt;"))))</f>
        <v/>
      </c>
      <c r="G255" s="42" t="str">
        <f>IF(OR($B255="",$A255&gt;$B$9),"",IF(COUNTIFS(BD!$B$3:$B$5001,G$243,BD!$A$3:$A$5001,"&gt;="&amp;$C$7,BD!$A$3:$A$5001,"&lt;="&amp;$B255,BD!$Z$3:$Z$5001,"&lt;&gt;")=0,"",SUMIFS(BD!$Z$3:$Z$5001,BD!$B$3:$B$5001,G$243,BD!$A$3:$A$5001,_xlfn.MAXIFS(BD!$A$3:$A$5001,BD!$B$3:$B$5001,G$243,BD!$A$3:$A$5001,"&gt;="&amp;$C$7,BD!$A$3:$A$5001,"&lt;="&amp;$B255,BD!$Z$3:$Z$5001,"&lt;&gt;"))))</f>
        <v/>
      </c>
      <c r="H255" s="42" t="str">
        <f>IF(OR($B255="",$A255&gt;$B$9),"",IF(COUNTIFS(BD!$B$3:$B$5001,H$243,BD!$A$3:$A$5001,"&gt;="&amp;$C$7,BD!$A$3:$A$5001,"&lt;="&amp;$B255,BD!$Z$3:$Z$5001,"&lt;&gt;")=0,"",SUMIFS(BD!$Z$3:$Z$5001,BD!$B$3:$B$5001,H$243,BD!$A$3:$A$5001,_xlfn.MAXIFS(BD!$A$3:$A$5001,BD!$B$3:$B$5001,H$243,BD!$A$3:$A$5001,"&gt;="&amp;$C$7,BD!$A$3:$A$5001,"&lt;="&amp;$B255,BD!$Z$3:$Z$5001,"&lt;&gt;"))))</f>
        <v/>
      </c>
      <c r="I255" s="42" t="str">
        <f>IF(OR($B255="",$A255&gt;$B$9),"",IF(COUNTIFS(BD!$B$3:$B$5001,I$243,BD!$A$3:$A$5001,"&gt;="&amp;$C$7,BD!$A$3:$A$5001,"&lt;="&amp;$B255,BD!$Z$3:$Z$5001,"&lt;&gt;")=0,"",SUMIFS(BD!$Z$3:$Z$5001,BD!$B$3:$B$5001,I$243,BD!$A$3:$A$5001,_xlfn.MAXIFS(BD!$A$3:$A$5001,BD!$B$3:$B$5001,I$243,BD!$A$3:$A$5001,"&gt;="&amp;$C$7,BD!$A$3:$A$5001,"&lt;="&amp;$B255,BD!$Z$3:$Z$5001,"&lt;&gt;"))))</f>
        <v/>
      </c>
      <c r="J255" s="42" t="str">
        <f>IF(OR($B255="",$A255&gt;$B$9),"",IF(COUNTIFS(BD!$B$3:$B$5001,J$243,BD!$A$3:$A$5001,"&gt;="&amp;$C$7,BD!$A$3:$A$5001,"&lt;="&amp;$B255,BD!$Z$3:$Z$5001,"&lt;&gt;")=0,"",SUMIFS(BD!$Z$3:$Z$5001,BD!$B$3:$B$5001,J$243,BD!$A$3:$A$5001,_xlfn.MAXIFS(BD!$A$3:$A$5001,BD!$B$3:$B$5001,J$243,BD!$A$3:$A$5001,"&gt;="&amp;$C$7,BD!$A$3:$A$5001,"&lt;="&amp;$B255,BD!$Z$3:$Z$5001,"&lt;&gt;"))))</f>
        <v/>
      </c>
      <c r="K255" s="42" t="str">
        <f>IF(OR($B255="",$A255&gt;$B$9),"",IF(COUNTIFS(BD!$B$3:$B$5001,K$243,BD!$A$3:$A$5001,"&gt;="&amp;$C$7,BD!$A$3:$A$5001,"&lt;="&amp;$B255,BD!$Z$3:$Z$5001,"&lt;&gt;")=0,"",SUMIFS(BD!$Z$3:$Z$5001,BD!$B$3:$B$5001,K$243,BD!$A$3:$A$5001,_xlfn.MAXIFS(BD!$A$3:$A$5001,BD!$B$3:$B$5001,K$243,BD!$A$3:$A$5001,"&gt;="&amp;$C$7,BD!$A$3:$A$5001,"&lt;="&amp;$B255,BD!$Z$3:$Z$5001,"&lt;&gt;"))))</f>
        <v/>
      </c>
    </row>
    <row r="256">
      <c r="A256" s="40">
        <v>13</v>
      </c>
      <c r="B256" s="41">
        <f>$B$24</f>
        <v>46308</v>
      </c>
      <c r="C256" s="42" t="str">
        <f>IF(OR($B256="",$A256&gt;$B$9),"",IF(COUNTIFS(BD!$B$3:$B$5001,C$243,BD!$A$3:$A$5001,"&gt;="&amp;$C$7,BD!$A$3:$A$5001,"&lt;="&amp;$B256,BD!$Z$3:$Z$5001,"&lt;&gt;")=0,"",SUMIFS(BD!$Z$3:$Z$5001,BD!$B$3:$B$5001,C$243,BD!$A$3:$A$5001,_xlfn.MAXIFS(BD!$A$3:$A$5001,BD!$B$3:$B$5001,C$243,BD!$A$3:$A$5001,"&gt;="&amp;$C$7,BD!$A$3:$A$5001,"&lt;="&amp;$B256,BD!$Z$3:$Z$5001,"&lt;&gt;"))))</f>
        <v/>
      </c>
      <c r="D256" s="42" t="str">
        <f>IF(OR($B256="",$A256&gt;$B$9),"",IF(COUNTIFS(BD!$B$3:$B$5001,D$243,BD!$A$3:$A$5001,"&gt;="&amp;$C$7,BD!$A$3:$A$5001,"&lt;="&amp;$B256,BD!$Z$3:$Z$5001,"&lt;&gt;")=0,"",SUMIFS(BD!$Z$3:$Z$5001,BD!$B$3:$B$5001,D$243,BD!$A$3:$A$5001,_xlfn.MAXIFS(BD!$A$3:$A$5001,BD!$B$3:$B$5001,D$243,BD!$A$3:$A$5001,"&gt;="&amp;$C$7,BD!$A$3:$A$5001,"&lt;="&amp;$B256,BD!$Z$3:$Z$5001,"&lt;&gt;"))))</f>
        <v/>
      </c>
      <c r="E256" s="42" t="str">
        <f>IF(OR($B256="",$A256&gt;$B$9),"",IF(COUNTIFS(BD!$B$3:$B$5001,E$243,BD!$A$3:$A$5001,"&gt;="&amp;$C$7,BD!$A$3:$A$5001,"&lt;="&amp;$B256,BD!$Z$3:$Z$5001,"&lt;&gt;")=0,"",SUMIFS(BD!$Z$3:$Z$5001,BD!$B$3:$B$5001,E$243,BD!$A$3:$A$5001,_xlfn.MAXIFS(BD!$A$3:$A$5001,BD!$B$3:$B$5001,E$243,BD!$A$3:$A$5001,"&gt;="&amp;$C$7,BD!$A$3:$A$5001,"&lt;="&amp;$B256,BD!$Z$3:$Z$5001,"&lt;&gt;"))))</f>
        <v/>
      </c>
      <c r="F256" s="42" t="str">
        <f>IF(OR($B256="",$A256&gt;$B$9),"",IF(COUNTIFS(BD!$B$3:$B$5001,F$243,BD!$A$3:$A$5001,"&gt;="&amp;$C$7,BD!$A$3:$A$5001,"&lt;="&amp;$B256,BD!$Z$3:$Z$5001,"&lt;&gt;")=0,"",SUMIFS(BD!$Z$3:$Z$5001,BD!$B$3:$B$5001,F$243,BD!$A$3:$A$5001,_xlfn.MAXIFS(BD!$A$3:$A$5001,BD!$B$3:$B$5001,F$243,BD!$A$3:$A$5001,"&gt;="&amp;$C$7,BD!$A$3:$A$5001,"&lt;="&amp;$B256,BD!$Z$3:$Z$5001,"&lt;&gt;"))))</f>
        <v/>
      </c>
      <c r="G256" s="42" t="str">
        <f>IF(OR($B256="",$A256&gt;$B$9),"",IF(COUNTIFS(BD!$B$3:$B$5001,G$243,BD!$A$3:$A$5001,"&gt;="&amp;$C$7,BD!$A$3:$A$5001,"&lt;="&amp;$B256,BD!$Z$3:$Z$5001,"&lt;&gt;")=0,"",SUMIFS(BD!$Z$3:$Z$5001,BD!$B$3:$B$5001,G$243,BD!$A$3:$A$5001,_xlfn.MAXIFS(BD!$A$3:$A$5001,BD!$B$3:$B$5001,G$243,BD!$A$3:$A$5001,"&gt;="&amp;$C$7,BD!$A$3:$A$5001,"&lt;="&amp;$B256,BD!$Z$3:$Z$5001,"&lt;&gt;"))))</f>
        <v/>
      </c>
      <c r="H256" s="42" t="str">
        <f>IF(OR($B256="",$A256&gt;$B$9),"",IF(COUNTIFS(BD!$B$3:$B$5001,H$243,BD!$A$3:$A$5001,"&gt;="&amp;$C$7,BD!$A$3:$A$5001,"&lt;="&amp;$B256,BD!$Z$3:$Z$5001,"&lt;&gt;")=0,"",SUMIFS(BD!$Z$3:$Z$5001,BD!$B$3:$B$5001,H$243,BD!$A$3:$A$5001,_xlfn.MAXIFS(BD!$A$3:$A$5001,BD!$B$3:$B$5001,H$243,BD!$A$3:$A$5001,"&gt;="&amp;$C$7,BD!$A$3:$A$5001,"&lt;="&amp;$B256,BD!$Z$3:$Z$5001,"&lt;&gt;"))))</f>
        <v/>
      </c>
      <c r="I256" s="42" t="str">
        <f>IF(OR($B256="",$A256&gt;$B$9),"",IF(COUNTIFS(BD!$B$3:$B$5001,I$243,BD!$A$3:$A$5001,"&gt;="&amp;$C$7,BD!$A$3:$A$5001,"&lt;="&amp;$B256,BD!$Z$3:$Z$5001,"&lt;&gt;")=0,"",SUMIFS(BD!$Z$3:$Z$5001,BD!$B$3:$B$5001,I$243,BD!$A$3:$A$5001,_xlfn.MAXIFS(BD!$A$3:$A$5001,BD!$B$3:$B$5001,I$243,BD!$A$3:$A$5001,"&gt;="&amp;$C$7,BD!$A$3:$A$5001,"&lt;="&amp;$B256,BD!$Z$3:$Z$5001,"&lt;&gt;"))))</f>
        <v/>
      </c>
      <c r="J256" s="42" t="str">
        <f>IF(OR($B256="",$A256&gt;$B$9),"",IF(COUNTIFS(BD!$B$3:$B$5001,J$243,BD!$A$3:$A$5001,"&gt;="&amp;$C$7,BD!$A$3:$A$5001,"&lt;="&amp;$B256,BD!$Z$3:$Z$5001,"&lt;&gt;")=0,"",SUMIFS(BD!$Z$3:$Z$5001,BD!$B$3:$B$5001,J$243,BD!$A$3:$A$5001,_xlfn.MAXIFS(BD!$A$3:$A$5001,BD!$B$3:$B$5001,J$243,BD!$A$3:$A$5001,"&gt;="&amp;$C$7,BD!$A$3:$A$5001,"&lt;="&amp;$B256,BD!$Z$3:$Z$5001,"&lt;&gt;"))))</f>
        <v/>
      </c>
      <c r="K256" s="42" t="str">
        <f>IF(OR($B256="",$A256&gt;$B$9),"",IF(COUNTIFS(BD!$B$3:$B$5001,K$243,BD!$A$3:$A$5001,"&gt;="&amp;$C$7,BD!$A$3:$A$5001,"&lt;="&amp;$B256,BD!$Z$3:$Z$5001,"&lt;&gt;")=0,"",SUMIFS(BD!$Z$3:$Z$5001,BD!$B$3:$B$5001,K$243,BD!$A$3:$A$5001,_xlfn.MAXIFS(BD!$A$3:$A$5001,BD!$B$3:$B$5001,K$243,BD!$A$3:$A$5001,"&gt;="&amp;$C$7,BD!$A$3:$A$5001,"&lt;="&amp;$B256,BD!$Z$3:$Z$5001,"&lt;&gt;"))))</f>
        <v/>
      </c>
    </row>
    <row r="257">
      <c r="A257" s="40">
        <v>14</v>
      </c>
      <c r="B257" s="41">
        <f>$B$25</f>
        <v>46309</v>
      </c>
      <c r="C257" s="42" t="str">
        <f>IF(OR($B257="",$A257&gt;$B$9),"",IF(COUNTIFS(BD!$B$3:$B$5001,C$243,BD!$A$3:$A$5001,"&gt;="&amp;$C$7,BD!$A$3:$A$5001,"&lt;="&amp;$B257,BD!$Z$3:$Z$5001,"&lt;&gt;")=0,"",SUMIFS(BD!$Z$3:$Z$5001,BD!$B$3:$B$5001,C$243,BD!$A$3:$A$5001,_xlfn.MAXIFS(BD!$A$3:$A$5001,BD!$B$3:$B$5001,C$243,BD!$A$3:$A$5001,"&gt;="&amp;$C$7,BD!$A$3:$A$5001,"&lt;="&amp;$B257,BD!$Z$3:$Z$5001,"&lt;&gt;"))))</f>
        <v/>
      </c>
      <c r="D257" s="42" t="str">
        <f>IF(OR($B257="",$A257&gt;$B$9),"",IF(COUNTIFS(BD!$B$3:$B$5001,D$243,BD!$A$3:$A$5001,"&gt;="&amp;$C$7,BD!$A$3:$A$5001,"&lt;="&amp;$B257,BD!$Z$3:$Z$5001,"&lt;&gt;")=0,"",SUMIFS(BD!$Z$3:$Z$5001,BD!$B$3:$B$5001,D$243,BD!$A$3:$A$5001,_xlfn.MAXIFS(BD!$A$3:$A$5001,BD!$B$3:$B$5001,D$243,BD!$A$3:$A$5001,"&gt;="&amp;$C$7,BD!$A$3:$A$5001,"&lt;="&amp;$B257,BD!$Z$3:$Z$5001,"&lt;&gt;"))))</f>
        <v/>
      </c>
      <c r="E257" s="42" t="str">
        <f>IF(OR($B257="",$A257&gt;$B$9),"",IF(COUNTIFS(BD!$B$3:$B$5001,E$243,BD!$A$3:$A$5001,"&gt;="&amp;$C$7,BD!$A$3:$A$5001,"&lt;="&amp;$B257,BD!$Z$3:$Z$5001,"&lt;&gt;")=0,"",SUMIFS(BD!$Z$3:$Z$5001,BD!$B$3:$B$5001,E$243,BD!$A$3:$A$5001,_xlfn.MAXIFS(BD!$A$3:$A$5001,BD!$B$3:$B$5001,E$243,BD!$A$3:$A$5001,"&gt;="&amp;$C$7,BD!$A$3:$A$5001,"&lt;="&amp;$B257,BD!$Z$3:$Z$5001,"&lt;&gt;"))))</f>
        <v/>
      </c>
      <c r="F257" s="42" t="str">
        <f>IF(OR($B257="",$A257&gt;$B$9),"",IF(COUNTIFS(BD!$B$3:$B$5001,F$243,BD!$A$3:$A$5001,"&gt;="&amp;$C$7,BD!$A$3:$A$5001,"&lt;="&amp;$B257,BD!$Z$3:$Z$5001,"&lt;&gt;")=0,"",SUMIFS(BD!$Z$3:$Z$5001,BD!$B$3:$B$5001,F$243,BD!$A$3:$A$5001,_xlfn.MAXIFS(BD!$A$3:$A$5001,BD!$B$3:$B$5001,F$243,BD!$A$3:$A$5001,"&gt;="&amp;$C$7,BD!$A$3:$A$5001,"&lt;="&amp;$B257,BD!$Z$3:$Z$5001,"&lt;&gt;"))))</f>
        <v/>
      </c>
      <c r="G257" s="42" t="str">
        <f>IF(OR($B257="",$A257&gt;$B$9),"",IF(COUNTIFS(BD!$B$3:$B$5001,G$243,BD!$A$3:$A$5001,"&gt;="&amp;$C$7,BD!$A$3:$A$5001,"&lt;="&amp;$B257,BD!$Z$3:$Z$5001,"&lt;&gt;")=0,"",SUMIFS(BD!$Z$3:$Z$5001,BD!$B$3:$B$5001,G$243,BD!$A$3:$A$5001,_xlfn.MAXIFS(BD!$A$3:$A$5001,BD!$B$3:$B$5001,G$243,BD!$A$3:$A$5001,"&gt;="&amp;$C$7,BD!$A$3:$A$5001,"&lt;="&amp;$B257,BD!$Z$3:$Z$5001,"&lt;&gt;"))))</f>
        <v/>
      </c>
      <c r="H257" s="42" t="str">
        <f>IF(OR($B257="",$A257&gt;$B$9),"",IF(COUNTIFS(BD!$B$3:$B$5001,H$243,BD!$A$3:$A$5001,"&gt;="&amp;$C$7,BD!$A$3:$A$5001,"&lt;="&amp;$B257,BD!$Z$3:$Z$5001,"&lt;&gt;")=0,"",SUMIFS(BD!$Z$3:$Z$5001,BD!$B$3:$B$5001,H$243,BD!$A$3:$A$5001,_xlfn.MAXIFS(BD!$A$3:$A$5001,BD!$B$3:$B$5001,H$243,BD!$A$3:$A$5001,"&gt;="&amp;$C$7,BD!$A$3:$A$5001,"&lt;="&amp;$B257,BD!$Z$3:$Z$5001,"&lt;&gt;"))))</f>
        <v/>
      </c>
      <c r="I257" s="42" t="str">
        <f>IF(OR($B257="",$A257&gt;$B$9),"",IF(COUNTIFS(BD!$B$3:$B$5001,I$243,BD!$A$3:$A$5001,"&gt;="&amp;$C$7,BD!$A$3:$A$5001,"&lt;="&amp;$B257,BD!$Z$3:$Z$5001,"&lt;&gt;")=0,"",SUMIFS(BD!$Z$3:$Z$5001,BD!$B$3:$B$5001,I$243,BD!$A$3:$A$5001,_xlfn.MAXIFS(BD!$A$3:$A$5001,BD!$B$3:$B$5001,I$243,BD!$A$3:$A$5001,"&gt;="&amp;$C$7,BD!$A$3:$A$5001,"&lt;="&amp;$B257,BD!$Z$3:$Z$5001,"&lt;&gt;"))))</f>
        <v/>
      </c>
      <c r="J257" s="42" t="str">
        <f>IF(OR($B257="",$A257&gt;$B$9),"",IF(COUNTIFS(BD!$B$3:$B$5001,J$243,BD!$A$3:$A$5001,"&gt;="&amp;$C$7,BD!$A$3:$A$5001,"&lt;="&amp;$B257,BD!$Z$3:$Z$5001,"&lt;&gt;")=0,"",SUMIFS(BD!$Z$3:$Z$5001,BD!$B$3:$B$5001,J$243,BD!$A$3:$A$5001,_xlfn.MAXIFS(BD!$A$3:$A$5001,BD!$B$3:$B$5001,J$243,BD!$A$3:$A$5001,"&gt;="&amp;$C$7,BD!$A$3:$A$5001,"&lt;="&amp;$B257,BD!$Z$3:$Z$5001,"&lt;&gt;"))))</f>
        <v/>
      </c>
      <c r="K257" s="42" t="str">
        <f>IF(OR($B257="",$A257&gt;$B$9),"",IF(COUNTIFS(BD!$B$3:$B$5001,K$243,BD!$A$3:$A$5001,"&gt;="&amp;$C$7,BD!$A$3:$A$5001,"&lt;="&amp;$B257,BD!$Z$3:$Z$5001,"&lt;&gt;")=0,"",SUMIFS(BD!$Z$3:$Z$5001,BD!$B$3:$B$5001,K$243,BD!$A$3:$A$5001,_xlfn.MAXIFS(BD!$A$3:$A$5001,BD!$B$3:$B$5001,K$243,BD!$A$3:$A$5001,"&gt;="&amp;$C$7,BD!$A$3:$A$5001,"&lt;="&amp;$B257,BD!$Z$3:$Z$5001,"&lt;&gt;"))))</f>
        <v/>
      </c>
    </row>
    <row r="258">
      <c r="A258" s="40">
        <v>15</v>
      </c>
      <c r="B258" s="41">
        <f>$B$26</f>
        <v>46310</v>
      </c>
      <c r="C258" s="42" t="str">
        <f>IF(OR($B258="",$A258&gt;$B$9),"",IF(COUNTIFS(BD!$B$3:$B$5001,C$243,BD!$A$3:$A$5001,"&gt;="&amp;$C$7,BD!$A$3:$A$5001,"&lt;="&amp;$B258,BD!$Z$3:$Z$5001,"&lt;&gt;")=0,"",SUMIFS(BD!$Z$3:$Z$5001,BD!$B$3:$B$5001,C$243,BD!$A$3:$A$5001,_xlfn.MAXIFS(BD!$A$3:$A$5001,BD!$B$3:$B$5001,C$243,BD!$A$3:$A$5001,"&gt;="&amp;$C$7,BD!$A$3:$A$5001,"&lt;="&amp;$B258,BD!$Z$3:$Z$5001,"&lt;&gt;"))))</f>
        <v/>
      </c>
      <c r="D258" s="42" t="str">
        <f>IF(OR($B258="",$A258&gt;$B$9),"",IF(COUNTIFS(BD!$B$3:$B$5001,D$243,BD!$A$3:$A$5001,"&gt;="&amp;$C$7,BD!$A$3:$A$5001,"&lt;="&amp;$B258,BD!$Z$3:$Z$5001,"&lt;&gt;")=0,"",SUMIFS(BD!$Z$3:$Z$5001,BD!$B$3:$B$5001,D$243,BD!$A$3:$A$5001,_xlfn.MAXIFS(BD!$A$3:$A$5001,BD!$B$3:$B$5001,D$243,BD!$A$3:$A$5001,"&gt;="&amp;$C$7,BD!$A$3:$A$5001,"&lt;="&amp;$B258,BD!$Z$3:$Z$5001,"&lt;&gt;"))))</f>
        <v/>
      </c>
      <c r="E258" s="42" t="str">
        <f>IF(OR($B258="",$A258&gt;$B$9),"",IF(COUNTIFS(BD!$B$3:$B$5001,E$243,BD!$A$3:$A$5001,"&gt;="&amp;$C$7,BD!$A$3:$A$5001,"&lt;="&amp;$B258,BD!$Z$3:$Z$5001,"&lt;&gt;")=0,"",SUMIFS(BD!$Z$3:$Z$5001,BD!$B$3:$B$5001,E$243,BD!$A$3:$A$5001,_xlfn.MAXIFS(BD!$A$3:$A$5001,BD!$B$3:$B$5001,E$243,BD!$A$3:$A$5001,"&gt;="&amp;$C$7,BD!$A$3:$A$5001,"&lt;="&amp;$B258,BD!$Z$3:$Z$5001,"&lt;&gt;"))))</f>
        <v/>
      </c>
      <c r="F258" s="42" t="str">
        <f>IF(OR($B258="",$A258&gt;$B$9),"",IF(COUNTIFS(BD!$B$3:$B$5001,F$243,BD!$A$3:$A$5001,"&gt;="&amp;$C$7,BD!$A$3:$A$5001,"&lt;="&amp;$B258,BD!$Z$3:$Z$5001,"&lt;&gt;")=0,"",SUMIFS(BD!$Z$3:$Z$5001,BD!$B$3:$B$5001,F$243,BD!$A$3:$A$5001,_xlfn.MAXIFS(BD!$A$3:$A$5001,BD!$B$3:$B$5001,F$243,BD!$A$3:$A$5001,"&gt;="&amp;$C$7,BD!$A$3:$A$5001,"&lt;="&amp;$B258,BD!$Z$3:$Z$5001,"&lt;&gt;"))))</f>
        <v/>
      </c>
      <c r="G258" s="42" t="str">
        <f>IF(OR($B258="",$A258&gt;$B$9),"",IF(COUNTIFS(BD!$B$3:$B$5001,G$243,BD!$A$3:$A$5001,"&gt;="&amp;$C$7,BD!$A$3:$A$5001,"&lt;="&amp;$B258,BD!$Z$3:$Z$5001,"&lt;&gt;")=0,"",SUMIFS(BD!$Z$3:$Z$5001,BD!$B$3:$B$5001,G$243,BD!$A$3:$A$5001,_xlfn.MAXIFS(BD!$A$3:$A$5001,BD!$B$3:$B$5001,G$243,BD!$A$3:$A$5001,"&gt;="&amp;$C$7,BD!$A$3:$A$5001,"&lt;="&amp;$B258,BD!$Z$3:$Z$5001,"&lt;&gt;"))))</f>
        <v/>
      </c>
      <c r="H258" s="42" t="str">
        <f>IF(OR($B258="",$A258&gt;$B$9),"",IF(COUNTIFS(BD!$B$3:$B$5001,H$243,BD!$A$3:$A$5001,"&gt;="&amp;$C$7,BD!$A$3:$A$5001,"&lt;="&amp;$B258,BD!$Z$3:$Z$5001,"&lt;&gt;")=0,"",SUMIFS(BD!$Z$3:$Z$5001,BD!$B$3:$B$5001,H$243,BD!$A$3:$A$5001,_xlfn.MAXIFS(BD!$A$3:$A$5001,BD!$B$3:$B$5001,H$243,BD!$A$3:$A$5001,"&gt;="&amp;$C$7,BD!$A$3:$A$5001,"&lt;="&amp;$B258,BD!$Z$3:$Z$5001,"&lt;&gt;"))))</f>
        <v/>
      </c>
      <c r="I258" s="42" t="str">
        <f>IF(OR($B258="",$A258&gt;$B$9),"",IF(COUNTIFS(BD!$B$3:$B$5001,I$243,BD!$A$3:$A$5001,"&gt;="&amp;$C$7,BD!$A$3:$A$5001,"&lt;="&amp;$B258,BD!$Z$3:$Z$5001,"&lt;&gt;")=0,"",SUMIFS(BD!$Z$3:$Z$5001,BD!$B$3:$B$5001,I$243,BD!$A$3:$A$5001,_xlfn.MAXIFS(BD!$A$3:$A$5001,BD!$B$3:$B$5001,I$243,BD!$A$3:$A$5001,"&gt;="&amp;$C$7,BD!$A$3:$A$5001,"&lt;="&amp;$B258,BD!$Z$3:$Z$5001,"&lt;&gt;"))))</f>
        <v/>
      </c>
      <c r="J258" s="42" t="str">
        <f>IF(OR($B258="",$A258&gt;$B$9),"",IF(COUNTIFS(BD!$B$3:$B$5001,J$243,BD!$A$3:$A$5001,"&gt;="&amp;$C$7,BD!$A$3:$A$5001,"&lt;="&amp;$B258,BD!$Z$3:$Z$5001,"&lt;&gt;")=0,"",SUMIFS(BD!$Z$3:$Z$5001,BD!$B$3:$B$5001,J$243,BD!$A$3:$A$5001,_xlfn.MAXIFS(BD!$A$3:$A$5001,BD!$B$3:$B$5001,J$243,BD!$A$3:$A$5001,"&gt;="&amp;$C$7,BD!$A$3:$A$5001,"&lt;="&amp;$B258,BD!$Z$3:$Z$5001,"&lt;&gt;"))))</f>
        <v/>
      </c>
      <c r="K258" s="42" t="str">
        <f>IF(OR($B258="",$A258&gt;$B$9),"",IF(COUNTIFS(BD!$B$3:$B$5001,K$243,BD!$A$3:$A$5001,"&gt;="&amp;$C$7,BD!$A$3:$A$5001,"&lt;="&amp;$B258,BD!$Z$3:$Z$5001,"&lt;&gt;")=0,"",SUMIFS(BD!$Z$3:$Z$5001,BD!$B$3:$B$5001,K$243,BD!$A$3:$A$5001,_xlfn.MAXIFS(BD!$A$3:$A$5001,BD!$B$3:$B$5001,K$243,BD!$A$3:$A$5001,"&gt;="&amp;$C$7,BD!$A$3:$A$5001,"&lt;="&amp;$B258,BD!$Z$3:$Z$5001,"&lt;&gt;"))))</f>
        <v/>
      </c>
    </row>
    <row r="259">
      <c r="A259" s="40">
        <v>16</v>
      </c>
      <c r="B259" s="41">
        <f>$B$27</f>
        <v>46311</v>
      </c>
      <c r="C259" s="42" t="str">
        <f>IF(OR($B259="",$A259&gt;$B$9),"",IF(COUNTIFS(BD!$B$3:$B$5001,C$243,BD!$A$3:$A$5001,"&gt;="&amp;$C$7,BD!$A$3:$A$5001,"&lt;="&amp;$B259,BD!$Z$3:$Z$5001,"&lt;&gt;")=0,"",SUMIFS(BD!$Z$3:$Z$5001,BD!$B$3:$B$5001,C$243,BD!$A$3:$A$5001,_xlfn.MAXIFS(BD!$A$3:$A$5001,BD!$B$3:$B$5001,C$243,BD!$A$3:$A$5001,"&gt;="&amp;$C$7,BD!$A$3:$A$5001,"&lt;="&amp;$B259,BD!$Z$3:$Z$5001,"&lt;&gt;"))))</f>
        <v/>
      </c>
      <c r="D259" s="42" t="str">
        <f>IF(OR($B259="",$A259&gt;$B$9),"",IF(COUNTIFS(BD!$B$3:$B$5001,D$243,BD!$A$3:$A$5001,"&gt;="&amp;$C$7,BD!$A$3:$A$5001,"&lt;="&amp;$B259,BD!$Z$3:$Z$5001,"&lt;&gt;")=0,"",SUMIFS(BD!$Z$3:$Z$5001,BD!$B$3:$B$5001,D$243,BD!$A$3:$A$5001,_xlfn.MAXIFS(BD!$A$3:$A$5001,BD!$B$3:$B$5001,D$243,BD!$A$3:$A$5001,"&gt;="&amp;$C$7,BD!$A$3:$A$5001,"&lt;="&amp;$B259,BD!$Z$3:$Z$5001,"&lt;&gt;"))))</f>
        <v/>
      </c>
      <c r="E259" s="42" t="str">
        <f>IF(OR($B259="",$A259&gt;$B$9),"",IF(COUNTIFS(BD!$B$3:$B$5001,E$243,BD!$A$3:$A$5001,"&gt;="&amp;$C$7,BD!$A$3:$A$5001,"&lt;="&amp;$B259,BD!$Z$3:$Z$5001,"&lt;&gt;")=0,"",SUMIFS(BD!$Z$3:$Z$5001,BD!$B$3:$B$5001,E$243,BD!$A$3:$A$5001,_xlfn.MAXIFS(BD!$A$3:$A$5001,BD!$B$3:$B$5001,E$243,BD!$A$3:$A$5001,"&gt;="&amp;$C$7,BD!$A$3:$A$5001,"&lt;="&amp;$B259,BD!$Z$3:$Z$5001,"&lt;&gt;"))))</f>
        <v/>
      </c>
      <c r="F259" s="42" t="str">
        <f>IF(OR($B259="",$A259&gt;$B$9),"",IF(COUNTIFS(BD!$B$3:$B$5001,F$243,BD!$A$3:$A$5001,"&gt;="&amp;$C$7,BD!$A$3:$A$5001,"&lt;="&amp;$B259,BD!$Z$3:$Z$5001,"&lt;&gt;")=0,"",SUMIFS(BD!$Z$3:$Z$5001,BD!$B$3:$B$5001,F$243,BD!$A$3:$A$5001,_xlfn.MAXIFS(BD!$A$3:$A$5001,BD!$B$3:$B$5001,F$243,BD!$A$3:$A$5001,"&gt;="&amp;$C$7,BD!$A$3:$A$5001,"&lt;="&amp;$B259,BD!$Z$3:$Z$5001,"&lt;&gt;"))))</f>
        <v/>
      </c>
      <c r="G259" s="42" t="str">
        <f>IF(OR($B259="",$A259&gt;$B$9),"",IF(COUNTIFS(BD!$B$3:$B$5001,G$243,BD!$A$3:$A$5001,"&gt;="&amp;$C$7,BD!$A$3:$A$5001,"&lt;="&amp;$B259,BD!$Z$3:$Z$5001,"&lt;&gt;")=0,"",SUMIFS(BD!$Z$3:$Z$5001,BD!$B$3:$B$5001,G$243,BD!$A$3:$A$5001,_xlfn.MAXIFS(BD!$A$3:$A$5001,BD!$B$3:$B$5001,G$243,BD!$A$3:$A$5001,"&gt;="&amp;$C$7,BD!$A$3:$A$5001,"&lt;="&amp;$B259,BD!$Z$3:$Z$5001,"&lt;&gt;"))))</f>
        <v/>
      </c>
      <c r="H259" s="42" t="str">
        <f>IF(OR($B259="",$A259&gt;$B$9),"",IF(COUNTIFS(BD!$B$3:$B$5001,H$243,BD!$A$3:$A$5001,"&gt;="&amp;$C$7,BD!$A$3:$A$5001,"&lt;="&amp;$B259,BD!$Z$3:$Z$5001,"&lt;&gt;")=0,"",SUMIFS(BD!$Z$3:$Z$5001,BD!$B$3:$B$5001,H$243,BD!$A$3:$A$5001,_xlfn.MAXIFS(BD!$A$3:$A$5001,BD!$B$3:$B$5001,H$243,BD!$A$3:$A$5001,"&gt;="&amp;$C$7,BD!$A$3:$A$5001,"&lt;="&amp;$B259,BD!$Z$3:$Z$5001,"&lt;&gt;"))))</f>
        <v/>
      </c>
      <c r="I259" s="42" t="str">
        <f>IF(OR($B259="",$A259&gt;$B$9),"",IF(COUNTIFS(BD!$B$3:$B$5001,I$243,BD!$A$3:$A$5001,"&gt;="&amp;$C$7,BD!$A$3:$A$5001,"&lt;="&amp;$B259,BD!$Z$3:$Z$5001,"&lt;&gt;")=0,"",SUMIFS(BD!$Z$3:$Z$5001,BD!$B$3:$B$5001,I$243,BD!$A$3:$A$5001,_xlfn.MAXIFS(BD!$A$3:$A$5001,BD!$B$3:$B$5001,I$243,BD!$A$3:$A$5001,"&gt;="&amp;$C$7,BD!$A$3:$A$5001,"&lt;="&amp;$B259,BD!$Z$3:$Z$5001,"&lt;&gt;"))))</f>
        <v/>
      </c>
      <c r="J259" s="42" t="str">
        <f>IF(OR($B259="",$A259&gt;$B$9),"",IF(COUNTIFS(BD!$B$3:$B$5001,J$243,BD!$A$3:$A$5001,"&gt;="&amp;$C$7,BD!$A$3:$A$5001,"&lt;="&amp;$B259,BD!$Z$3:$Z$5001,"&lt;&gt;")=0,"",SUMIFS(BD!$Z$3:$Z$5001,BD!$B$3:$B$5001,J$243,BD!$A$3:$A$5001,_xlfn.MAXIFS(BD!$A$3:$A$5001,BD!$B$3:$B$5001,J$243,BD!$A$3:$A$5001,"&gt;="&amp;$C$7,BD!$A$3:$A$5001,"&lt;="&amp;$B259,BD!$Z$3:$Z$5001,"&lt;&gt;"))))</f>
        <v/>
      </c>
      <c r="K259" s="42" t="str">
        <f>IF(OR($B259="",$A259&gt;$B$9),"",IF(COUNTIFS(BD!$B$3:$B$5001,K$243,BD!$A$3:$A$5001,"&gt;="&amp;$C$7,BD!$A$3:$A$5001,"&lt;="&amp;$B259,BD!$Z$3:$Z$5001,"&lt;&gt;")=0,"",SUMIFS(BD!$Z$3:$Z$5001,BD!$B$3:$B$5001,K$243,BD!$A$3:$A$5001,_xlfn.MAXIFS(BD!$A$3:$A$5001,BD!$B$3:$B$5001,K$243,BD!$A$3:$A$5001,"&gt;="&amp;$C$7,BD!$A$3:$A$5001,"&lt;="&amp;$B259,BD!$Z$3:$Z$5001,"&lt;&gt;"))))</f>
        <v/>
      </c>
    </row>
    <row r="260">
      <c r="A260" s="40">
        <v>17</v>
      </c>
      <c r="B260" s="41">
        <f>$B$28</f>
        <v>46312</v>
      </c>
      <c r="C260" s="42" t="str">
        <f>IF(OR($B260="",$A260&gt;$B$9),"",IF(COUNTIFS(BD!$B$3:$B$5001,C$243,BD!$A$3:$A$5001,"&gt;="&amp;$C$7,BD!$A$3:$A$5001,"&lt;="&amp;$B260,BD!$Z$3:$Z$5001,"&lt;&gt;")=0,"",SUMIFS(BD!$Z$3:$Z$5001,BD!$B$3:$B$5001,C$243,BD!$A$3:$A$5001,_xlfn.MAXIFS(BD!$A$3:$A$5001,BD!$B$3:$B$5001,C$243,BD!$A$3:$A$5001,"&gt;="&amp;$C$7,BD!$A$3:$A$5001,"&lt;="&amp;$B260,BD!$Z$3:$Z$5001,"&lt;&gt;"))))</f>
        <v/>
      </c>
      <c r="D260" s="42" t="str">
        <f>IF(OR($B260="",$A260&gt;$B$9),"",IF(COUNTIFS(BD!$B$3:$B$5001,D$243,BD!$A$3:$A$5001,"&gt;="&amp;$C$7,BD!$A$3:$A$5001,"&lt;="&amp;$B260,BD!$Z$3:$Z$5001,"&lt;&gt;")=0,"",SUMIFS(BD!$Z$3:$Z$5001,BD!$B$3:$B$5001,D$243,BD!$A$3:$A$5001,_xlfn.MAXIFS(BD!$A$3:$A$5001,BD!$B$3:$B$5001,D$243,BD!$A$3:$A$5001,"&gt;="&amp;$C$7,BD!$A$3:$A$5001,"&lt;="&amp;$B260,BD!$Z$3:$Z$5001,"&lt;&gt;"))))</f>
        <v/>
      </c>
      <c r="E260" s="42" t="str">
        <f>IF(OR($B260="",$A260&gt;$B$9),"",IF(COUNTIFS(BD!$B$3:$B$5001,E$243,BD!$A$3:$A$5001,"&gt;="&amp;$C$7,BD!$A$3:$A$5001,"&lt;="&amp;$B260,BD!$Z$3:$Z$5001,"&lt;&gt;")=0,"",SUMIFS(BD!$Z$3:$Z$5001,BD!$B$3:$B$5001,E$243,BD!$A$3:$A$5001,_xlfn.MAXIFS(BD!$A$3:$A$5001,BD!$B$3:$B$5001,E$243,BD!$A$3:$A$5001,"&gt;="&amp;$C$7,BD!$A$3:$A$5001,"&lt;="&amp;$B260,BD!$Z$3:$Z$5001,"&lt;&gt;"))))</f>
        <v/>
      </c>
      <c r="F260" s="42" t="str">
        <f>IF(OR($B260="",$A260&gt;$B$9),"",IF(COUNTIFS(BD!$B$3:$B$5001,F$243,BD!$A$3:$A$5001,"&gt;="&amp;$C$7,BD!$A$3:$A$5001,"&lt;="&amp;$B260,BD!$Z$3:$Z$5001,"&lt;&gt;")=0,"",SUMIFS(BD!$Z$3:$Z$5001,BD!$B$3:$B$5001,F$243,BD!$A$3:$A$5001,_xlfn.MAXIFS(BD!$A$3:$A$5001,BD!$B$3:$B$5001,F$243,BD!$A$3:$A$5001,"&gt;="&amp;$C$7,BD!$A$3:$A$5001,"&lt;="&amp;$B260,BD!$Z$3:$Z$5001,"&lt;&gt;"))))</f>
        <v/>
      </c>
      <c r="G260" s="42" t="str">
        <f>IF(OR($B260="",$A260&gt;$B$9),"",IF(COUNTIFS(BD!$B$3:$B$5001,G$243,BD!$A$3:$A$5001,"&gt;="&amp;$C$7,BD!$A$3:$A$5001,"&lt;="&amp;$B260,BD!$Z$3:$Z$5001,"&lt;&gt;")=0,"",SUMIFS(BD!$Z$3:$Z$5001,BD!$B$3:$B$5001,G$243,BD!$A$3:$A$5001,_xlfn.MAXIFS(BD!$A$3:$A$5001,BD!$B$3:$B$5001,G$243,BD!$A$3:$A$5001,"&gt;="&amp;$C$7,BD!$A$3:$A$5001,"&lt;="&amp;$B260,BD!$Z$3:$Z$5001,"&lt;&gt;"))))</f>
        <v/>
      </c>
      <c r="H260" s="42" t="str">
        <f>IF(OR($B260="",$A260&gt;$B$9),"",IF(COUNTIFS(BD!$B$3:$B$5001,H$243,BD!$A$3:$A$5001,"&gt;="&amp;$C$7,BD!$A$3:$A$5001,"&lt;="&amp;$B260,BD!$Z$3:$Z$5001,"&lt;&gt;")=0,"",SUMIFS(BD!$Z$3:$Z$5001,BD!$B$3:$B$5001,H$243,BD!$A$3:$A$5001,_xlfn.MAXIFS(BD!$A$3:$A$5001,BD!$B$3:$B$5001,H$243,BD!$A$3:$A$5001,"&gt;="&amp;$C$7,BD!$A$3:$A$5001,"&lt;="&amp;$B260,BD!$Z$3:$Z$5001,"&lt;&gt;"))))</f>
        <v/>
      </c>
      <c r="I260" s="42" t="str">
        <f>IF(OR($B260="",$A260&gt;$B$9),"",IF(COUNTIFS(BD!$B$3:$B$5001,I$243,BD!$A$3:$A$5001,"&gt;="&amp;$C$7,BD!$A$3:$A$5001,"&lt;="&amp;$B260,BD!$Z$3:$Z$5001,"&lt;&gt;")=0,"",SUMIFS(BD!$Z$3:$Z$5001,BD!$B$3:$B$5001,I$243,BD!$A$3:$A$5001,_xlfn.MAXIFS(BD!$A$3:$A$5001,BD!$B$3:$B$5001,I$243,BD!$A$3:$A$5001,"&gt;="&amp;$C$7,BD!$A$3:$A$5001,"&lt;="&amp;$B260,BD!$Z$3:$Z$5001,"&lt;&gt;"))))</f>
        <v/>
      </c>
      <c r="J260" s="42" t="str">
        <f>IF(OR($B260="",$A260&gt;$B$9),"",IF(COUNTIFS(BD!$B$3:$B$5001,J$243,BD!$A$3:$A$5001,"&gt;="&amp;$C$7,BD!$A$3:$A$5001,"&lt;="&amp;$B260,BD!$Z$3:$Z$5001,"&lt;&gt;")=0,"",SUMIFS(BD!$Z$3:$Z$5001,BD!$B$3:$B$5001,J$243,BD!$A$3:$A$5001,_xlfn.MAXIFS(BD!$A$3:$A$5001,BD!$B$3:$B$5001,J$243,BD!$A$3:$A$5001,"&gt;="&amp;$C$7,BD!$A$3:$A$5001,"&lt;="&amp;$B260,BD!$Z$3:$Z$5001,"&lt;&gt;"))))</f>
        <v/>
      </c>
      <c r="K260" s="42" t="str">
        <f>IF(OR($B260="",$A260&gt;$B$9),"",IF(COUNTIFS(BD!$B$3:$B$5001,K$243,BD!$A$3:$A$5001,"&gt;="&amp;$C$7,BD!$A$3:$A$5001,"&lt;="&amp;$B260,BD!$Z$3:$Z$5001,"&lt;&gt;")=0,"",SUMIFS(BD!$Z$3:$Z$5001,BD!$B$3:$B$5001,K$243,BD!$A$3:$A$5001,_xlfn.MAXIFS(BD!$A$3:$A$5001,BD!$B$3:$B$5001,K$243,BD!$A$3:$A$5001,"&gt;="&amp;$C$7,BD!$A$3:$A$5001,"&lt;="&amp;$B260,BD!$Z$3:$Z$5001,"&lt;&gt;"))))</f>
        <v/>
      </c>
    </row>
    <row r="261">
      <c r="A261" s="40">
        <v>18</v>
      </c>
      <c r="B261" s="41">
        <f>$B$29</f>
        <v>46313</v>
      </c>
      <c r="C261" s="42" t="str">
        <f>IF(OR($B261="",$A261&gt;$B$9),"",IF(COUNTIFS(BD!$B$3:$B$5001,C$243,BD!$A$3:$A$5001,"&gt;="&amp;$C$7,BD!$A$3:$A$5001,"&lt;="&amp;$B261,BD!$Z$3:$Z$5001,"&lt;&gt;")=0,"",SUMIFS(BD!$Z$3:$Z$5001,BD!$B$3:$B$5001,C$243,BD!$A$3:$A$5001,_xlfn.MAXIFS(BD!$A$3:$A$5001,BD!$B$3:$B$5001,C$243,BD!$A$3:$A$5001,"&gt;="&amp;$C$7,BD!$A$3:$A$5001,"&lt;="&amp;$B261,BD!$Z$3:$Z$5001,"&lt;&gt;"))))</f>
        <v/>
      </c>
      <c r="D261" s="42" t="str">
        <f>IF(OR($B261="",$A261&gt;$B$9),"",IF(COUNTIFS(BD!$B$3:$B$5001,D$243,BD!$A$3:$A$5001,"&gt;="&amp;$C$7,BD!$A$3:$A$5001,"&lt;="&amp;$B261,BD!$Z$3:$Z$5001,"&lt;&gt;")=0,"",SUMIFS(BD!$Z$3:$Z$5001,BD!$B$3:$B$5001,D$243,BD!$A$3:$A$5001,_xlfn.MAXIFS(BD!$A$3:$A$5001,BD!$B$3:$B$5001,D$243,BD!$A$3:$A$5001,"&gt;="&amp;$C$7,BD!$A$3:$A$5001,"&lt;="&amp;$B261,BD!$Z$3:$Z$5001,"&lt;&gt;"))))</f>
        <v/>
      </c>
      <c r="E261" s="42" t="str">
        <f>IF(OR($B261="",$A261&gt;$B$9),"",IF(COUNTIFS(BD!$B$3:$B$5001,E$243,BD!$A$3:$A$5001,"&gt;="&amp;$C$7,BD!$A$3:$A$5001,"&lt;="&amp;$B261,BD!$Z$3:$Z$5001,"&lt;&gt;")=0,"",SUMIFS(BD!$Z$3:$Z$5001,BD!$B$3:$B$5001,E$243,BD!$A$3:$A$5001,_xlfn.MAXIFS(BD!$A$3:$A$5001,BD!$B$3:$B$5001,E$243,BD!$A$3:$A$5001,"&gt;="&amp;$C$7,BD!$A$3:$A$5001,"&lt;="&amp;$B261,BD!$Z$3:$Z$5001,"&lt;&gt;"))))</f>
        <v/>
      </c>
      <c r="F261" s="42" t="str">
        <f>IF(OR($B261="",$A261&gt;$B$9),"",IF(COUNTIFS(BD!$B$3:$B$5001,F$243,BD!$A$3:$A$5001,"&gt;="&amp;$C$7,BD!$A$3:$A$5001,"&lt;="&amp;$B261,BD!$Z$3:$Z$5001,"&lt;&gt;")=0,"",SUMIFS(BD!$Z$3:$Z$5001,BD!$B$3:$B$5001,F$243,BD!$A$3:$A$5001,_xlfn.MAXIFS(BD!$A$3:$A$5001,BD!$B$3:$B$5001,F$243,BD!$A$3:$A$5001,"&gt;="&amp;$C$7,BD!$A$3:$A$5001,"&lt;="&amp;$B261,BD!$Z$3:$Z$5001,"&lt;&gt;"))))</f>
        <v/>
      </c>
      <c r="G261" s="42" t="str">
        <f>IF(OR($B261="",$A261&gt;$B$9),"",IF(COUNTIFS(BD!$B$3:$B$5001,G$243,BD!$A$3:$A$5001,"&gt;="&amp;$C$7,BD!$A$3:$A$5001,"&lt;="&amp;$B261,BD!$Z$3:$Z$5001,"&lt;&gt;")=0,"",SUMIFS(BD!$Z$3:$Z$5001,BD!$B$3:$B$5001,G$243,BD!$A$3:$A$5001,_xlfn.MAXIFS(BD!$A$3:$A$5001,BD!$B$3:$B$5001,G$243,BD!$A$3:$A$5001,"&gt;="&amp;$C$7,BD!$A$3:$A$5001,"&lt;="&amp;$B261,BD!$Z$3:$Z$5001,"&lt;&gt;"))))</f>
        <v/>
      </c>
      <c r="H261" s="42" t="str">
        <f>IF(OR($B261="",$A261&gt;$B$9),"",IF(COUNTIFS(BD!$B$3:$B$5001,H$243,BD!$A$3:$A$5001,"&gt;="&amp;$C$7,BD!$A$3:$A$5001,"&lt;="&amp;$B261,BD!$Z$3:$Z$5001,"&lt;&gt;")=0,"",SUMIFS(BD!$Z$3:$Z$5001,BD!$B$3:$B$5001,H$243,BD!$A$3:$A$5001,_xlfn.MAXIFS(BD!$A$3:$A$5001,BD!$B$3:$B$5001,H$243,BD!$A$3:$A$5001,"&gt;="&amp;$C$7,BD!$A$3:$A$5001,"&lt;="&amp;$B261,BD!$Z$3:$Z$5001,"&lt;&gt;"))))</f>
        <v/>
      </c>
      <c r="I261" s="42" t="str">
        <f>IF(OR($B261="",$A261&gt;$B$9),"",IF(COUNTIFS(BD!$B$3:$B$5001,I$243,BD!$A$3:$A$5001,"&gt;="&amp;$C$7,BD!$A$3:$A$5001,"&lt;="&amp;$B261,BD!$Z$3:$Z$5001,"&lt;&gt;")=0,"",SUMIFS(BD!$Z$3:$Z$5001,BD!$B$3:$B$5001,I$243,BD!$A$3:$A$5001,_xlfn.MAXIFS(BD!$A$3:$A$5001,BD!$B$3:$B$5001,I$243,BD!$A$3:$A$5001,"&gt;="&amp;$C$7,BD!$A$3:$A$5001,"&lt;="&amp;$B261,BD!$Z$3:$Z$5001,"&lt;&gt;"))))</f>
        <v/>
      </c>
      <c r="J261" s="42" t="str">
        <f>IF(OR($B261="",$A261&gt;$B$9),"",IF(COUNTIFS(BD!$B$3:$B$5001,J$243,BD!$A$3:$A$5001,"&gt;="&amp;$C$7,BD!$A$3:$A$5001,"&lt;="&amp;$B261,BD!$Z$3:$Z$5001,"&lt;&gt;")=0,"",SUMIFS(BD!$Z$3:$Z$5001,BD!$B$3:$B$5001,J$243,BD!$A$3:$A$5001,_xlfn.MAXIFS(BD!$A$3:$A$5001,BD!$B$3:$B$5001,J$243,BD!$A$3:$A$5001,"&gt;="&amp;$C$7,BD!$A$3:$A$5001,"&lt;="&amp;$B261,BD!$Z$3:$Z$5001,"&lt;&gt;"))))</f>
        <v/>
      </c>
      <c r="K261" s="42" t="str">
        <f>IF(OR($B261="",$A261&gt;$B$9),"",IF(COUNTIFS(BD!$B$3:$B$5001,K$243,BD!$A$3:$A$5001,"&gt;="&amp;$C$7,BD!$A$3:$A$5001,"&lt;="&amp;$B261,BD!$Z$3:$Z$5001,"&lt;&gt;")=0,"",SUMIFS(BD!$Z$3:$Z$5001,BD!$B$3:$B$5001,K$243,BD!$A$3:$A$5001,_xlfn.MAXIFS(BD!$A$3:$A$5001,BD!$B$3:$B$5001,K$243,BD!$A$3:$A$5001,"&gt;="&amp;$C$7,BD!$A$3:$A$5001,"&lt;="&amp;$B261,BD!$Z$3:$Z$5001,"&lt;&gt;"))))</f>
        <v/>
      </c>
    </row>
    <row r="262">
      <c r="A262" s="40">
        <v>19</v>
      </c>
      <c r="B262" s="41">
        <f>$B$30</f>
        <v>46314</v>
      </c>
      <c r="C262" s="42" t="str">
        <f>IF(OR($B262="",$A262&gt;$B$9),"",IF(COUNTIFS(BD!$B$3:$B$5001,C$243,BD!$A$3:$A$5001,"&gt;="&amp;$C$7,BD!$A$3:$A$5001,"&lt;="&amp;$B262,BD!$Z$3:$Z$5001,"&lt;&gt;")=0,"",SUMIFS(BD!$Z$3:$Z$5001,BD!$B$3:$B$5001,C$243,BD!$A$3:$A$5001,_xlfn.MAXIFS(BD!$A$3:$A$5001,BD!$B$3:$B$5001,C$243,BD!$A$3:$A$5001,"&gt;="&amp;$C$7,BD!$A$3:$A$5001,"&lt;="&amp;$B262,BD!$Z$3:$Z$5001,"&lt;&gt;"))))</f>
        <v/>
      </c>
      <c r="D262" s="42" t="str">
        <f>IF(OR($B262="",$A262&gt;$B$9),"",IF(COUNTIFS(BD!$B$3:$B$5001,D$243,BD!$A$3:$A$5001,"&gt;="&amp;$C$7,BD!$A$3:$A$5001,"&lt;="&amp;$B262,BD!$Z$3:$Z$5001,"&lt;&gt;")=0,"",SUMIFS(BD!$Z$3:$Z$5001,BD!$B$3:$B$5001,D$243,BD!$A$3:$A$5001,_xlfn.MAXIFS(BD!$A$3:$A$5001,BD!$B$3:$B$5001,D$243,BD!$A$3:$A$5001,"&gt;="&amp;$C$7,BD!$A$3:$A$5001,"&lt;="&amp;$B262,BD!$Z$3:$Z$5001,"&lt;&gt;"))))</f>
        <v/>
      </c>
      <c r="E262" s="42" t="str">
        <f>IF(OR($B262="",$A262&gt;$B$9),"",IF(COUNTIFS(BD!$B$3:$B$5001,E$243,BD!$A$3:$A$5001,"&gt;="&amp;$C$7,BD!$A$3:$A$5001,"&lt;="&amp;$B262,BD!$Z$3:$Z$5001,"&lt;&gt;")=0,"",SUMIFS(BD!$Z$3:$Z$5001,BD!$B$3:$B$5001,E$243,BD!$A$3:$A$5001,_xlfn.MAXIFS(BD!$A$3:$A$5001,BD!$B$3:$B$5001,E$243,BD!$A$3:$A$5001,"&gt;="&amp;$C$7,BD!$A$3:$A$5001,"&lt;="&amp;$B262,BD!$Z$3:$Z$5001,"&lt;&gt;"))))</f>
        <v/>
      </c>
      <c r="F262" s="42" t="str">
        <f>IF(OR($B262="",$A262&gt;$B$9),"",IF(COUNTIFS(BD!$B$3:$B$5001,F$243,BD!$A$3:$A$5001,"&gt;="&amp;$C$7,BD!$A$3:$A$5001,"&lt;="&amp;$B262,BD!$Z$3:$Z$5001,"&lt;&gt;")=0,"",SUMIFS(BD!$Z$3:$Z$5001,BD!$B$3:$B$5001,F$243,BD!$A$3:$A$5001,_xlfn.MAXIFS(BD!$A$3:$A$5001,BD!$B$3:$B$5001,F$243,BD!$A$3:$A$5001,"&gt;="&amp;$C$7,BD!$A$3:$A$5001,"&lt;="&amp;$B262,BD!$Z$3:$Z$5001,"&lt;&gt;"))))</f>
        <v/>
      </c>
      <c r="G262" s="42" t="str">
        <f>IF(OR($B262="",$A262&gt;$B$9),"",IF(COUNTIFS(BD!$B$3:$B$5001,G$243,BD!$A$3:$A$5001,"&gt;="&amp;$C$7,BD!$A$3:$A$5001,"&lt;="&amp;$B262,BD!$Z$3:$Z$5001,"&lt;&gt;")=0,"",SUMIFS(BD!$Z$3:$Z$5001,BD!$B$3:$B$5001,G$243,BD!$A$3:$A$5001,_xlfn.MAXIFS(BD!$A$3:$A$5001,BD!$B$3:$B$5001,G$243,BD!$A$3:$A$5001,"&gt;="&amp;$C$7,BD!$A$3:$A$5001,"&lt;="&amp;$B262,BD!$Z$3:$Z$5001,"&lt;&gt;"))))</f>
        <v/>
      </c>
      <c r="H262" s="42" t="str">
        <f>IF(OR($B262="",$A262&gt;$B$9),"",IF(COUNTIFS(BD!$B$3:$B$5001,H$243,BD!$A$3:$A$5001,"&gt;="&amp;$C$7,BD!$A$3:$A$5001,"&lt;="&amp;$B262,BD!$Z$3:$Z$5001,"&lt;&gt;")=0,"",SUMIFS(BD!$Z$3:$Z$5001,BD!$B$3:$B$5001,H$243,BD!$A$3:$A$5001,_xlfn.MAXIFS(BD!$A$3:$A$5001,BD!$B$3:$B$5001,H$243,BD!$A$3:$A$5001,"&gt;="&amp;$C$7,BD!$A$3:$A$5001,"&lt;="&amp;$B262,BD!$Z$3:$Z$5001,"&lt;&gt;"))))</f>
        <v/>
      </c>
      <c r="I262" s="42" t="str">
        <f>IF(OR($B262="",$A262&gt;$B$9),"",IF(COUNTIFS(BD!$B$3:$B$5001,I$243,BD!$A$3:$A$5001,"&gt;="&amp;$C$7,BD!$A$3:$A$5001,"&lt;="&amp;$B262,BD!$Z$3:$Z$5001,"&lt;&gt;")=0,"",SUMIFS(BD!$Z$3:$Z$5001,BD!$B$3:$B$5001,I$243,BD!$A$3:$A$5001,_xlfn.MAXIFS(BD!$A$3:$A$5001,BD!$B$3:$B$5001,I$243,BD!$A$3:$A$5001,"&gt;="&amp;$C$7,BD!$A$3:$A$5001,"&lt;="&amp;$B262,BD!$Z$3:$Z$5001,"&lt;&gt;"))))</f>
        <v/>
      </c>
      <c r="J262" s="42" t="str">
        <f>IF(OR($B262="",$A262&gt;$B$9),"",IF(COUNTIFS(BD!$B$3:$B$5001,J$243,BD!$A$3:$A$5001,"&gt;="&amp;$C$7,BD!$A$3:$A$5001,"&lt;="&amp;$B262,BD!$Z$3:$Z$5001,"&lt;&gt;")=0,"",SUMIFS(BD!$Z$3:$Z$5001,BD!$B$3:$B$5001,J$243,BD!$A$3:$A$5001,_xlfn.MAXIFS(BD!$A$3:$A$5001,BD!$B$3:$B$5001,J$243,BD!$A$3:$A$5001,"&gt;="&amp;$C$7,BD!$A$3:$A$5001,"&lt;="&amp;$B262,BD!$Z$3:$Z$5001,"&lt;&gt;"))))</f>
        <v/>
      </c>
      <c r="K262" s="42" t="str">
        <f>IF(OR($B262="",$A262&gt;$B$9),"",IF(COUNTIFS(BD!$B$3:$B$5001,K$243,BD!$A$3:$A$5001,"&gt;="&amp;$C$7,BD!$A$3:$A$5001,"&lt;="&amp;$B262,BD!$Z$3:$Z$5001,"&lt;&gt;")=0,"",SUMIFS(BD!$Z$3:$Z$5001,BD!$B$3:$B$5001,K$243,BD!$A$3:$A$5001,_xlfn.MAXIFS(BD!$A$3:$A$5001,BD!$B$3:$B$5001,K$243,BD!$A$3:$A$5001,"&gt;="&amp;$C$7,BD!$A$3:$A$5001,"&lt;="&amp;$B262,BD!$Z$3:$Z$5001,"&lt;&gt;"))))</f>
        <v/>
      </c>
    </row>
    <row r="263">
      <c r="A263" s="40">
        <v>20</v>
      </c>
      <c r="B263" s="41">
        <f>$B$31</f>
        <v>46315</v>
      </c>
      <c r="C263" s="42" t="str">
        <f>IF(OR($B263="",$A263&gt;$B$9),"",IF(COUNTIFS(BD!$B$3:$B$5001,C$243,BD!$A$3:$A$5001,"&gt;="&amp;$C$7,BD!$A$3:$A$5001,"&lt;="&amp;$B263,BD!$Z$3:$Z$5001,"&lt;&gt;")=0,"",SUMIFS(BD!$Z$3:$Z$5001,BD!$B$3:$B$5001,C$243,BD!$A$3:$A$5001,_xlfn.MAXIFS(BD!$A$3:$A$5001,BD!$B$3:$B$5001,C$243,BD!$A$3:$A$5001,"&gt;="&amp;$C$7,BD!$A$3:$A$5001,"&lt;="&amp;$B263,BD!$Z$3:$Z$5001,"&lt;&gt;"))))</f>
        <v/>
      </c>
      <c r="D263" s="42" t="str">
        <f>IF(OR($B263="",$A263&gt;$B$9),"",IF(COUNTIFS(BD!$B$3:$B$5001,D$243,BD!$A$3:$A$5001,"&gt;="&amp;$C$7,BD!$A$3:$A$5001,"&lt;="&amp;$B263,BD!$Z$3:$Z$5001,"&lt;&gt;")=0,"",SUMIFS(BD!$Z$3:$Z$5001,BD!$B$3:$B$5001,D$243,BD!$A$3:$A$5001,_xlfn.MAXIFS(BD!$A$3:$A$5001,BD!$B$3:$B$5001,D$243,BD!$A$3:$A$5001,"&gt;="&amp;$C$7,BD!$A$3:$A$5001,"&lt;="&amp;$B263,BD!$Z$3:$Z$5001,"&lt;&gt;"))))</f>
        <v/>
      </c>
      <c r="E263" s="42" t="str">
        <f>IF(OR($B263="",$A263&gt;$B$9),"",IF(COUNTIFS(BD!$B$3:$B$5001,E$243,BD!$A$3:$A$5001,"&gt;="&amp;$C$7,BD!$A$3:$A$5001,"&lt;="&amp;$B263,BD!$Z$3:$Z$5001,"&lt;&gt;")=0,"",SUMIFS(BD!$Z$3:$Z$5001,BD!$B$3:$B$5001,E$243,BD!$A$3:$A$5001,_xlfn.MAXIFS(BD!$A$3:$A$5001,BD!$B$3:$B$5001,E$243,BD!$A$3:$A$5001,"&gt;="&amp;$C$7,BD!$A$3:$A$5001,"&lt;="&amp;$B263,BD!$Z$3:$Z$5001,"&lt;&gt;"))))</f>
        <v/>
      </c>
      <c r="F263" s="42" t="str">
        <f>IF(OR($B263="",$A263&gt;$B$9),"",IF(COUNTIFS(BD!$B$3:$B$5001,F$243,BD!$A$3:$A$5001,"&gt;="&amp;$C$7,BD!$A$3:$A$5001,"&lt;="&amp;$B263,BD!$Z$3:$Z$5001,"&lt;&gt;")=0,"",SUMIFS(BD!$Z$3:$Z$5001,BD!$B$3:$B$5001,F$243,BD!$A$3:$A$5001,_xlfn.MAXIFS(BD!$A$3:$A$5001,BD!$B$3:$B$5001,F$243,BD!$A$3:$A$5001,"&gt;="&amp;$C$7,BD!$A$3:$A$5001,"&lt;="&amp;$B263,BD!$Z$3:$Z$5001,"&lt;&gt;"))))</f>
        <v/>
      </c>
      <c r="G263" s="42" t="str">
        <f>IF(OR($B263="",$A263&gt;$B$9),"",IF(COUNTIFS(BD!$B$3:$B$5001,G$243,BD!$A$3:$A$5001,"&gt;="&amp;$C$7,BD!$A$3:$A$5001,"&lt;="&amp;$B263,BD!$Z$3:$Z$5001,"&lt;&gt;")=0,"",SUMIFS(BD!$Z$3:$Z$5001,BD!$B$3:$B$5001,G$243,BD!$A$3:$A$5001,_xlfn.MAXIFS(BD!$A$3:$A$5001,BD!$B$3:$B$5001,G$243,BD!$A$3:$A$5001,"&gt;="&amp;$C$7,BD!$A$3:$A$5001,"&lt;="&amp;$B263,BD!$Z$3:$Z$5001,"&lt;&gt;"))))</f>
        <v/>
      </c>
      <c r="H263" s="42" t="str">
        <f>IF(OR($B263="",$A263&gt;$B$9),"",IF(COUNTIFS(BD!$B$3:$B$5001,H$243,BD!$A$3:$A$5001,"&gt;="&amp;$C$7,BD!$A$3:$A$5001,"&lt;="&amp;$B263,BD!$Z$3:$Z$5001,"&lt;&gt;")=0,"",SUMIFS(BD!$Z$3:$Z$5001,BD!$B$3:$B$5001,H$243,BD!$A$3:$A$5001,_xlfn.MAXIFS(BD!$A$3:$A$5001,BD!$B$3:$B$5001,H$243,BD!$A$3:$A$5001,"&gt;="&amp;$C$7,BD!$A$3:$A$5001,"&lt;="&amp;$B263,BD!$Z$3:$Z$5001,"&lt;&gt;"))))</f>
        <v/>
      </c>
      <c r="I263" s="42" t="str">
        <f>IF(OR($B263="",$A263&gt;$B$9),"",IF(COUNTIFS(BD!$B$3:$B$5001,I$243,BD!$A$3:$A$5001,"&gt;="&amp;$C$7,BD!$A$3:$A$5001,"&lt;="&amp;$B263,BD!$Z$3:$Z$5001,"&lt;&gt;")=0,"",SUMIFS(BD!$Z$3:$Z$5001,BD!$B$3:$B$5001,I$243,BD!$A$3:$A$5001,_xlfn.MAXIFS(BD!$A$3:$A$5001,BD!$B$3:$B$5001,I$243,BD!$A$3:$A$5001,"&gt;="&amp;$C$7,BD!$A$3:$A$5001,"&lt;="&amp;$B263,BD!$Z$3:$Z$5001,"&lt;&gt;"))))</f>
        <v/>
      </c>
      <c r="J263" s="42" t="str">
        <f>IF(OR($B263="",$A263&gt;$B$9),"",IF(COUNTIFS(BD!$B$3:$B$5001,J$243,BD!$A$3:$A$5001,"&gt;="&amp;$C$7,BD!$A$3:$A$5001,"&lt;="&amp;$B263,BD!$Z$3:$Z$5001,"&lt;&gt;")=0,"",SUMIFS(BD!$Z$3:$Z$5001,BD!$B$3:$B$5001,J$243,BD!$A$3:$A$5001,_xlfn.MAXIFS(BD!$A$3:$A$5001,BD!$B$3:$B$5001,J$243,BD!$A$3:$A$5001,"&gt;="&amp;$C$7,BD!$A$3:$A$5001,"&lt;="&amp;$B263,BD!$Z$3:$Z$5001,"&lt;&gt;"))))</f>
        <v/>
      </c>
      <c r="K263" s="42" t="str">
        <f>IF(OR($B263="",$A263&gt;$B$9),"",IF(COUNTIFS(BD!$B$3:$B$5001,K$243,BD!$A$3:$A$5001,"&gt;="&amp;$C$7,BD!$A$3:$A$5001,"&lt;="&amp;$B263,BD!$Z$3:$Z$5001,"&lt;&gt;")=0,"",SUMIFS(BD!$Z$3:$Z$5001,BD!$B$3:$B$5001,K$243,BD!$A$3:$A$5001,_xlfn.MAXIFS(BD!$A$3:$A$5001,BD!$B$3:$B$5001,K$243,BD!$A$3:$A$5001,"&gt;="&amp;$C$7,BD!$A$3:$A$5001,"&lt;="&amp;$B263,BD!$Z$3:$Z$5001,"&lt;&gt;"))))</f>
        <v/>
      </c>
    </row>
    <row r="264">
      <c r="A264" s="40">
        <v>21</v>
      </c>
      <c r="B264" s="41">
        <f>$B$32</f>
        <v>46316</v>
      </c>
      <c r="C264" s="42" t="str">
        <f>IF(OR($B264="",$A264&gt;$B$9),"",IF(COUNTIFS(BD!$B$3:$B$5001,C$243,BD!$A$3:$A$5001,"&gt;="&amp;$C$7,BD!$A$3:$A$5001,"&lt;="&amp;$B264,BD!$Z$3:$Z$5001,"&lt;&gt;")=0,"",SUMIFS(BD!$Z$3:$Z$5001,BD!$B$3:$B$5001,C$243,BD!$A$3:$A$5001,_xlfn.MAXIFS(BD!$A$3:$A$5001,BD!$B$3:$B$5001,C$243,BD!$A$3:$A$5001,"&gt;="&amp;$C$7,BD!$A$3:$A$5001,"&lt;="&amp;$B264,BD!$Z$3:$Z$5001,"&lt;&gt;"))))</f>
        <v/>
      </c>
      <c r="D264" s="42" t="str">
        <f>IF(OR($B264="",$A264&gt;$B$9),"",IF(COUNTIFS(BD!$B$3:$B$5001,D$243,BD!$A$3:$A$5001,"&gt;="&amp;$C$7,BD!$A$3:$A$5001,"&lt;="&amp;$B264,BD!$Z$3:$Z$5001,"&lt;&gt;")=0,"",SUMIFS(BD!$Z$3:$Z$5001,BD!$B$3:$B$5001,D$243,BD!$A$3:$A$5001,_xlfn.MAXIFS(BD!$A$3:$A$5001,BD!$B$3:$B$5001,D$243,BD!$A$3:$A$5001,"&gt;="&amp;$C$7,BD!$A$3:$A$5001,"&lt;="&amp;$B264,BD!$Z$3:$Z$5001,"&lt;&gt;"))))</f>
        <v/>
      </c>
      <c r="E264" s="42" t="str">
        <f>IF(OR($B264="",$A264&gt;$B$9),"",IF(COUNTIFS(BD!$B$3:$B$5001,E$243,BD!$A$3:$A$5001,"&gt;="&amp;$C$7,BD!$A$3:$A$5001,"&lt;="&amp;$B264,BD!$Z$3:$Z$5001,"&lt;&gt;")=0,"",SUMIFS(BD!$Z$3:$Z$5001,BD!$B$3:$B$5001,E$243,BD!$A$3:$A$5001,_xlfn.MAXIFS(BD!$A$3:$A$5001,BD!$B$3:$B$5001,E$243,BD!$A$3:$A$5001,"&gt;="&amp;$C$7,BD!$A$3:$A$5001,"&lt;="&amp;$B264,BD!$Z$3:$Z$5001,"&lt;&gt;"))))</f>
        <v/>
      </c>
      <c r="F264" s="42" t="str">
        <f>IF(OR($B264="",$A264&gt;$B$9),"",IF(COUNTIFS(BD!$B$3:$B$5001,F$243,BD!$A$3:$A$5001,"&gt;="&amp;$C$7,BD!$A$3:$A$5001,"&lt;="&amp;$B264,BD!$Z$3:$Z$5001,"&lt;&gt;")=0,"",SUMIFS(BD!$Z$3:$Z$5001,BD!$B$3:$B$5001,F$243,BD!$A$3:$A$5001,_xlfn.MAXIFS(BD!$A$3:$A$5001,BD!$B$3:$B$5001,F$243,BD!$A$3:$A$5001,"&gt;="&amp;$C$7,BD!$A$3:$A$5001,"&lt;="&amp;$B264,BD!$Z$3:$Z$5001,"&lt;&gt;"))))</f>
        <v/>
      </c>
      <c r="G264" s="42" t="str">
        <f>IF(OR($B264="",$A264&gt;$B$9),"",IF(COUNTIFS(BD!$B$3:$B$5001,G$243,BD!$A$3:$A$5001,"&gt;="&amp;$C$7,BD!$A$3:$A$5001,"&lt;="&amp;$B264,BD!$Z$3:$Z$5001,"&lt;&gt;")=0,"",SUMIFS(BD!$Z$3:$Z$5001,BD!$B$3:$B$5001,G$243,BD!$A$3:$A$5001,_xlfn.MAXIFS(BD!$A$3:$A$5001,BD!$B$3:$B$5001,G$243,BD!$A$3:$A$5001,"&gt;="&amp;$C$7,BD!$A$3:$A$5001,"&lt;="&amp;$B264,BD!$Z$3:$Z$5001,"&lt;&gt;"))))</f>
        <v/>
      </c>
      <c r="H264" s="42" t="str">
        <f>IF(OR($B264="",$A264&gt;$B$9),"",IF(COUNTIFS(BD!$B$3:$B$5001,H$243,BD!$A$3:$A$5001,"&gt;="&amp;$C$7,BD!$A$3:$A$5001,"&lt;="&amp;$B264,BD!$Z$3:$Z$5001,"&lt;&gt;")=0,"",SUMIFS(BD!$Z$3:$Z$5001,BD!$B$3:$B$5001,H$243,BD!$A$3:$A$5001,_xlfn.MAXIFS(BD!$A$3:$A$5001,BD!$B$3:$B$5001,H$243,BD!$A$3:$A$5001,"&gt;="&amp;$C$7,BD!$A$3:$A$5001,"&lt;="&amp;$B264,BD!$Z$3:$Z$5001,"&lt;&gt;"))))</f>
        <v/>
      </c>
      <c r="I264" s="42" t="str">
        <f>IF(OR($B264="",$A264&gt;$B$9),"",IF(COUNTIFS(BD!$B$3:$B$5001,I$243,BD!$A$3:$A$5001,"&gt;="&amp;$C$7,BD!$A$3:$A$5001,"&lt;="&amp;$B264,BD!$Z$3:$Z$5001,"&lt;&gt;")=0,"",SUMIFS(BD!$Z$3:$Z$5001,BD!$B$3:$B$5001,I$243,BD!$A$3:$A$5001,_xlfn.MAXIFS(BD!$A$3:$A$5001,BD!$B$3:$B$5001,I$243,BD!$A$3:$A$5001,"&gt;="&amp;$C$7,BD!$A$3:$A$5001,"&lt;="&amp;$B264,BD!$Z$3:$Z$5001,"&lt;&gt;"))))</f>
        <v/>
      </c>
      <c r="J264" s="42" t="str">
        <f>IF(OR($B264="",$A264&gt;$B$9),"",IF(COUNTIFS(BD!$B$3:$B$5001,J$243,BD!$A$3:$A$5001,"&gt;="&amp;$C$7,BD!$A$3:$A$5001,"&lt;="&amp;$B264,BD!$Z$3:$Z$5001,"&lt;&gt;")=0,"",SUMIFS(BD!$Z$3:$Z$5001,BD!$B$3:$B$5001,J$243,BD!$A$3:$A$5001,_xlfn.MAXIFS(BD!$A$3:$A$5001,BD!$B$3:$B$5001,J$243,BD!$A$3:$A$5001,"&gt;="&amp;$C$7,BD!$A$3:$A$5001,"&lt;="&amp;$B264,BD!$Z$3:$Z$5001,"&lt;&gt;"))))</f>
        <v/>
      </c>
      <c r="K264" s="42" t="str">
        <f>IF(OR($B264="",$A264&gt;$B$9),"",IF(COUNTIFS(BD!$B$3:$B$5001,K$243,BD!$A$3:$A$5001,"&gt;="&amp;$C$7,BD!$A$3:$A$5001,"&lt;="&amp;$B264,BD!$Z$3:$Z$5001,"&lt;&gt;")=0,"",SUMIFS(BD!$Z$3:$Z$5001,BD!$B$3:$B$5001,K$243,BD!$A$3:$A$5001,_xlfn.MAXIFS(BD!$A$3:$A$5001,BD!$B$3:$B$5001,K$243,BD!$A$3:$A$5001,"&gt;="&amp;$C$7,BD!$A$3:$A$5001,"&lt;="&amp;$B264,BD!$Z$3:$Z$5001,"&lt;&gt;"))))</f>
        <v/>
      </c>
    </row>
    <row r="265">
      <c r="A265" s="40">
        <v>22</v>
      </c>
      <c r="B265" s="41">
        <f>$B$33</f>
        <v>46317</v>
      </c>
      <c r="C265" s="42" t="str">
        <f>IF(OR($B265="",$A265&gt;$B$9),"",IF(COUNTIFS(BD!$B$3:$B$5001,C$243,BD!$A$3:$A$5001,"&gt;="&amp;$C$7,BD!$A$3:$A$5001,"&lt;="&amp;$B265,BD!$Z$3:$Z$5001,"&lt;&gt;")=0,"",SUMIFS(BD!$Z$3:$Z$5001,BD!$B$3:$B$5001,C$243,BD!$A$3:$A$5001,_xlfn.MAXIFS(BD!$A$3:$A$5001,BD!$B$3:$B$5001,C$243,BD!$A$3:$A$5001,"&gt;="&amp;$C$7,BD!$A$3:$A$5001,"&lt;="&amp;$B265,BD!$Z$3:$Z$5001,"&lt;&gt;"))))</f>
        <v/>
      </c>
      <c r="D265" s="42" t="str">
        <f>IF(OR($B265="",$A265&gt;$B$9),"",IF(COUNTIFS(BD!$B$3:$B$5001,D$243,BD!$A$3:$A$5001,"&gt;="&amp;$C$7,BD!$A$3:$A$5001,"&lt;="&amp;$B265,BD!$Z$3:$Z$5001,"&lt;&gt;")=0,"",SUMIFS(BD!$Z$3:$Z$5001,BD!$B$3:$B$5001,D$243,BD!$A$3:$A$5001,_xlfn.MAXIFS(BD!$A$3:$A$5001,BD!$B$3:$B$5001,D$243,BD!$A$3:$A$5001,"&gt;="&amp;$C$7,BD!$A$3:$A$5001,"&lt;="&amp;$B265,BD!$Z$3:$Z$5001,"&lt;&gt;"))))</f>
        <v/>
      </c>
      <c r="E265" s="42" t="str">
        <f>IF(OR($B265="",$A265&gt;$B$9),"",IF(COUNTIFS(BD!$B$3:$B$5001,E$243,BD!$A$3:$A$5001,"&gt;="&amp;$C$7,BD!$A$3:$A$5001,"&lt;="&amp;$B265,BD!$Z$3:$Z$5001,"&lt;&gt;")=0,"",SUMIFS(BD!$Z$3:$Z$5001,BD!$B$3:$B$5001,E$243,BD!$A$3:$A$5001,_xlfn.MAXIFS(BD!$A$3:$A$5001,BD!$B$3:$B$5001,E$243,BD!$A$3:$A$5001,"&gt;="&amp;$C$7,BD!$A$3:$A$5001,"&lt;="&amp;$B265,BD!$Z$3:$Z$5001,"&lt;&gt;"))))</f>
        <v/>
      </c>
      <c r="F265" s="42" t="str">
        <f>IF(OR($B265="",$A265&gt;$B$9),"",IF(COUNTIFS(BD!$B$3:$B$5001,F$243,BD!$A$3:$A$5001,"&gt;="&amp;$C$7,BD!$A$3:$A$5001,"&lt;="&amp;$B265,BD!$Z$3:$Z$5001,"&lt;&gt;")=0,"",SUMIFS(BD!$Z$3:$Z$5001,BD!$B$3:$B$5001,F$243,BD!$A$3:$A$5001,_xlfn.MAXIFS(BD!$A$3:$A$5001,BD!$B$3:$B$5001,F$243,BD!$A$3:$A$5001,"&gt;="&amp;$C$7,BD!$A$3:$A$5001,"&lt;="&amp;$B265,BD!$Z$3:$Z$5001,"&lt;&gt;"))))</f>
        <v/>
      </c>
      <c r="G265" s="42" t="str">
        <f>IF(OR($B265="",$A265&gt;$B$9),"",IF(COUNTIFS(BD!$B$3:$B$5001,G$243,BD!$A$3:$A$5001,"&gt;="&amp;$C$7,BD!$A$3:$A$5001,"&lt;="&amp;$B265,BD!$Z$3:$Z$5001,"&lt;&gt;")=0,"",SUMIFS(BD!$Z$3:$Z$5001,BD!$B$3:$B$5001,G$243,BD!$A$3:$A$5001,_xlfn.MAXIFS(BD!$A$3:$A$5001,BD!$B$3:$B$5001,G$243,BD!$A$3:$A$5001,"&gt;="&amp;$C$7,BD!$A$3:$A$5001,"&lt;="&amp;$B265,BD!$Z$3:$Z$5001,"&lt;&gt;"))))</f>
        <v/>
      </c>
      <c r="H265" s="42" t="str">
        <f>IF(OR($B265="",$A265&gt;$B$9),"",IF(COUNTIFS(BD!$B$3:$B$5001,H$243,BD!$A$3:$A$5001,"&gt;="&amp;$C$7,BD!$A$3:$A$5001,"&lt;="&amp;$B265,BD!$Z$3:$Z$5001,"&lt;&gt;")=0,"",SUMIFS(BD!$Z$3:$Z$5001,BD!$B$3:$B$5001,H$243,BD!$A$3:$A$5001,_xlfn.MAXIFS(BD!$A$3:$A$5001,BD!$B$3:$B$5001,H$243,BD!$A$3:$A$5001,"&gt;="&amp;$C$7,BD!$A$3:$A$5001,"&lt;="&amp;$B265,BD!$Z$3:$Z$5001,"&lt;&gt;"))))</f>
        <v/>
      </c>
      <c r="I265" s="42" t="str">
        <f>IF(OR($B265="",$A265&gt;$B$9),"",IF(COUNTIFS(BD!$B$3:$B$5001,I$243,BD!$A$3:$A$5001,"&gt;="&amp;$C$7,BD!$A$3:$A$5001,"&lt;="&amp;$B265,BD!$Z$3:$Z$5001,"&lt;&gt;")=0,"",SUMIFS(BD!$Z$3:$Z$5001,BD!$B$3:$B$5001,I$243,BD!$A$3:$A$5001,_xlfn.MAXIFS(BD!$A$3:$A$5001,BD!$B$3:$B$5001,I$243,BD!$A$3:$A$5001,"&gt;="&amp;$C$7,BD!$A$3:$A$5001,"&lt;="&amp;$B265,BD!$Z$3:$Z$5001,"&lt;&gt;"))))</f>
        <v/>
      </c>
      <c r="J265" s="42" t="str">
        <f>IF(OR($B265="",$A265&gt;$B$9),"",IF(COUNTIFS(BD!$B$3:$B$5001,J$243,BD!$A$3:$A$5001,"&gt;="&amp;$C$7,BD!$A$3:$A$5001,"&lt;="&amp;$B265,BD!$Z$3:$Z$5001,"&lt;&gt;")=0,"",SUMIFS(BD!$Z$3:$Z$5001,BD!$B$3:$B$5001,J$243,BD!$A$3:$A$5001,_xlfn.MAXIFS(BD!$A$3:$A$5001,BD!$B$3:$B$5001,J$243,BD!$A$3:$A$5001,"&gt;="&amp;$C$7,BD!$A$3:$A$5001,"&lt;="&amp;$B265,BD!$Z$3:$Z$5001,"&lt;&gt;"))))</f>
        <v/>
      </c>
      <c r="K265" s="42" t="str">
        <f>IF(OR($B265="",$A265&gt;$B$9),"",IF(COUNTIFS(BD!$B$3:$B$5001,K$243,BD!$A$3:$A$5001,"&gt;="&amp;$C$7,BD!$A$3:$A$5001,"&lt;="&amp;$B265,BD!$Z$3:$Z$5001,"&lt;&gt;")=0,"",SUMIFS(BD!$Z$3:$Z$5001,BD!$B$3:$B$5001,K$243,BD!$A$3:$A$5001,_xlfn.MAXIFS(BD!$A$3:$A$5001,BD!$B$3:$B$5001,K$243,BD!$A$3:$A$5001,"&gt;="&amp;$C$7,BD!$A$3:$A$5001,"&lt;="&amp;$B265,BD!$Z$3:$Z$5001,"&lt;&gt;"))))</f>
        <v/>
      </c>
    </row>
    <row r="266">
      <c r="A266" s="40">
        <v>23</v>
      </c>
      <c r="B266" s="41">
        <f>$B$34</f>
        <v>46318</v>
      </c>
      <c r="C266" s="42" t="str">
        <f>IF(OR($B266="",$A266&gt;$B$9),"",IF(COUNTIFS(BD!$B$3:$B$5001,C$243,BD!$A$3:$A$5001,"&gt;="&amp;$C$7,BD!$A$3:$A$5001,"&lt;="&amp;$B266,BD!$Z$3:$Z$5001,"&lt;&gt;")=0,"",SUMIFS(BD!$Z$3:$Z$5001,BD!$B$3:$B$5001,C$243,BD!$A$3:$A$5001,_xlfn.MAXIFS(BD!$A$3:$A$5001,BD!$B$3:$B$5001,C$243,BD!$A$3:$A$5001,"&gt;="&amp;$C$7,BD!$A$3:$A$5001,"&lt;="&amp;$B266,BD!$Z$3:$Z$5001,"&lt;&gt;"))))</f>
        <v/>
      </c>
      <c r="D266" s="42" t="str">
        <f>IF(OR($B266="",$A266&gt;$B$9),"",IF(COUNTIFS(BD!$B$3:$B$5001,D$243,BD!$A$3:$A$5001,"&gt;="&amp;$C$7,BD!$A$3:$A$5001,"&lt;="&amp;$B266,BD!$Z$3:$Z$5001,"&lt;&gt;")=0,"",SUMIFS(BD!$Z$3:$Z$5001,BD!$B$3:$B$5001,D$243,BD!$A$3:$A$5001,_xlfn.MAXIFS(BD!$A$3:$A$5001,BD!$B$3:$B$5001,D$243,BD!$A$3:$A$5001,"&gt;="&amp;$C$7,BD!$A$3:$A$5001,"&lt;="&amp;$B266,BD!$Z$3:$Z$5001,"&lt;&gt;"))))</f>
        <v/>
      </c>
      <c r="E266" s="42" t="str">
        <f>IF(OR($B266="",$A266&gt;$B$9),"",IF(COUNTIFS(BD!$B$3:$B$5001,E$243,BD!$A$3:$A$5001,"&gt;="&amp;$C$7,BD!$A$3:$A$5001,"&lt;="&amp;$B266,BD!$Z$3:$Z$5001,"&lt;&gt;")=0,"",SUMIFS(BD!$Z$3:$Z$5001,BD!$B$3:$B$5001,E$243,BD!$A$3:$A$5001,_xlfn.MAXIFS(BD!$A$3:$A$5001,BD!$B$3:$B$5001,E$243,BD!$A$3:$A$5001,"&gt;="&amp;$C$7,BD!$A$3:$A$5001,"&lt;="&amp;$B266,BD!$Z$3:$Z$5001,"&lt;&gt;"))))</f>
        <v/>
      </c>
      <c r="F266" s="42" t="str">
        <f>IF(OR($B266="",$A266&gt;$B$9),"",IF(COUNTIFS(BD!$B$3:$B$5001,F$243,BD!$A$3:$A$5001,"&gt;="&amp;$C$7,BD!$A$3:$A$5001,"&lt;="&amp;$B266,BD!$Z$3:$Z$5001,"&lt;&gt;")=0,"",SUMIFS(BD!$Z$3:$Z$5001,BD!$B$3:$B$5001,F$243,BD!$A$3:$A$5001,_xlfn.MAXIFS(BD!$A$3:$A$5001,BD!$B$3:$B$5001,F$243,BD!$A$3:$A$5001,"&gt;="&amp;$C$7,BD!$A$3:$A$5001,"&lt;="&amp;$B266,BD!$Z$3:$Z$5001,"&lt;&gt;"))))</f>
        <v/>
      </c>
      <c r="G266" s="42" t="str">
        <f>IF(OR($B266="",$A266&gt;$B$9),"",IF(COUNTIFS(BD!$B$3:$B$5001,G$243,BD!$A$3:$A$5001,"&gt;="&amp;$C$7,BD!$A$3:$A$5001,"&lt;="&amp;$B266,BD!$Z$3:$Z$5001,"&lt;&gt;")=0,"",SUMIFS(BD!$Z$3:$Z$5001,BD!$B$3:$B$5001,G$243,BD!$A$3:$A$5001,_xlfn.MAXIFS(BD!$A$3:$A$5001,BD!$B$3:$B$5001,G$243,BD!$A$3:$A$5001,"&gt;="&amp;$C$7,BD!$A$3:$A$5001,"&lt;="&amp;$B266,BD!$Z$3:$Z$5001,"&lt;&gt;"))))</f>
        <v/>
      </c>
      <c r="H266" s="42" t="str">
        <f>IF(OR($B266="",$A266&gt;$B$9),"",IF(COUNTIFS(BD!$B$3:$B$5001,H$243,BD!$A$3:$A$5001,"&gt;="&amp;$C$7,BD!$A$3:$A$5001,"&lt;="&amp;$B266,BD!$Z$3:$Z$5001,"&lt;&gt;")=0,"",SUMIFS(BD!$Z$3:$Z$5001,BD!$B$3:$B$5001,H$243,BD!$A$3:$A$5001,_xlfn.MAXIFS(BD!$A$3:$A$5001,BD!$B$3:$B$5001,H$243,BD!$A$3:$A$5001,"&gt;="&amp;$C$7,BD!$A$3:$A$5001,"&lt;="&amp;$B266,BD!$Z$3:$Z$5001,"&lt;&gt;"))))</f>
        <v/>
      </c>
      <c r="I266" s="42" t="str">
        <f>IF(OR($B266="",$A266&gt;$B$9),"",IF(COUNTIFS(BD!$B$3:$B$5001,I$243,BD!$A$3:$A$5001,"&gt;="&amp;$C$7,BD!$A$3:$A$5001,"&lt;="&amp;$B266,BD!$Z$3:$Z$5001,"&lt;&gt;")=0,"",SUMIFS(BD!$Z$3:$Z$5001,BD!$B$3:$B$5001,I$243,BD!$A$3:$A$5001,_xlfn.MAXIFS(BD!$A$3:$A$5001,BD!$B$3:$B$5001,I$243,BD!$A$3:$A$5001,"&gt;="&amp;$C$7,BD!$A$3:$A$5001,"&lt;="&amp;$B266,BD!$Z$3:$Z$5001,"&lt;&gt;"))))</f>
        <v/>
      </c>
      <c r="J266" s="42" t="str">
        <f>IF(OR($B266="",$A266&gt;$B$9),"",IF(COUNTIFS(BD!$B$3:$B$5001,J$243,BD!$A$3:$A$5001,"&gt;="&amp;$C$7,BD!$A$3:$A$5001,"&lt;="&amp;$B266,BD!$Z$3:$Z$5001,"&lt;&gt;")=0,"",SUMIFS(BD!$Z$3:$Z$5001,BD!$B$3:$B$5001,J$243,BD!$A$3:$A$5001,_xlfn.MAXIFS(BD!$A$3:$A$5001,BD!$B$3:$B$5001,J$243,BD!$A$3:$A$5001,"&gt;="&amp;$C$7,BD!$A$3:$A$5001,"&lt;="&amp;$B266,BD!$Z$3:$Z$5001,"&lt;&gt;"))))</f>
        <v/>
      </c>
      <c r="K266" s="42" t="str">
        <f>IF(OR($B266="",$A266&gt;$B$9),"",IF(COUNTIFS(BD!$B$3:$B$5001,K$243,BD!$A$3:$A$5001,"&gt;="&amp;$C$7,BD!$A$3:$A$5001,"&lt;="&amp;$B266,BD!$Z$3:$Z$5001,"&lt;&gt;")=0,"",SUMIFS(BD!$Z$3:$Z$5001,BD!$B$3:$B$5001,K$243,BD!$A$3:$A$5001,_xlfn.MAXIFS(BD!$A$3:$A$5001,BD!$B$3:$B$5001,K$243,BD!$A$3:$A$5001,"&gt;="&amp;$C$7,BD!$A$3:$A$5001,"&lt;="&amp;$B266,BD!$Z$3:$Z$5001,"&lt;&gt;"))))</f>
        <v/>
      </c>
    </row>
    <row r="267">
      <c r="A267" s="40">
        <v>24</v>
      </c>
      <c r="B267" s="41">
        <f>$B$35</f>
        <v>46319</v>
      </c>
      <c r="C267" s="42" t="str">
        <f>IF(OR($B267="",$A267&gt;$B$9),"",IF(COUNTIFS(BD!$B$3:$B$5001,C$243,BD!$A$3:$A$5001,"&gt;="&amp;$C$7,BD!$A$3:$A$5001,"&lt;="&amp;$B267,BD!$Z$3:$Z$5001,"&lt;&gt;")=0,"",SUMIFS(BD!$Z$3:$Z$5001,BD!$B$3:$B$5001,C$243,BD!$A$3:$A$5001,_xlfn.MAXIFS(BD!$A$3:$A$5001,BD!$B$3:$B$5001,C$243,BD!$A$3:$A$5001,"&gt;="&amp;$C$7,BD!$A$3:$A$5001,"&lt;="&amp;$B267,BD!$Z$3:$Z$5001,"&lt;&gt;"))))</f>
        <v/>
      </c>
      <c r="D267" s="42" t="str">
        <f>IF(OR($B267="",$A267&gt;$B$9),"",IF(COUNTIFS(BD!$B$3:$B$5001,D$243,BD!$A$3:$A$5001,"&gt;="&amp;$C$7,BD!$A$3:$A$5001,"&lt;="&amp;$B267,BD!$Z$3:$Z$5001,"&lt;&gt;")=0,"",SUMIFS(BD!$Z$3:$Z$5001,BD!$B$3:$B$5001,D$243,BD!$A$3:$A$5001,_xlfn.MAXIFS(BD!$A$3:$A$5001,BD!$B$3:$B$5001,D$243,BD!$A$3:$A$5001,"&gt;="&amp;$C$7,BD!$A$3:$A$5001,"&lt;="&amp;$B267,BD!$Z$3:$Z$5001,"&lt;&gt;"))))</f>
        <v/>
      </c>
      <c r="E267" s="42" t="str">
        <f>IF(OR($B267="",$A267&gt;$B$9),"",IF(COUNTIFS(BD!$B$3:$B$5001,E$243,BD!$A$3:$A$5001,"&gt;="&amp;$C$7,BD!$A$3:$A$5001,"&lt;="&amp;$B267,BD!$Z$3:$Z$5001,"&lt;&gt;")=0,"",SUMIFS(BD!$Z$3:$Z$5001,BD!$B$3:$B$5001,E$243,BD!$A$3:$A$5001,_xlfn.MAXIFS(BD!$A$3:$A$5001,BD!$B$3:$B$5001,E$243,BD!$A$3:$A$5001,"&gt;="&amp;$C$7,BD!$A$3:$A$5001,"&lt;="&amp;$B267,BD!$Z$3:$Z$5001,"&lt;&gt;"))))</f>
        <v/>
      </c>
      <c r="F267" s="42" t="str">
        <f>IF(OR($B267="",$A267&gt;$B$9),"",IF(COUNTIFS(BD!$B$3:$B$5001,F$243,BD!$A$3:$A$5001,"&gt;="&amp;$C$7,BD!$A$3:$A$5001,"&lt;="&amp;$B267,BD!$Z$3:$Z$5001,"&lt;&gt;")=0,"",SUMIFS(BD!$Z$3:$Z$5001,BD!$B$3:$B$5001,F$243,BD!$A$3:$A$5001,_xlfn.MAXIFS(BD!$A$3:$A$5001,BD!$B$3:$B$5001,F$243,BD!$A$3:$A$5001,"&gt;="&amp;$C$7,BD!$A$3:$A$5001,"&lt;="&amp;$B267,BD!$Z$3:$Z$5001,"&lt;&gt;"))))</f>
        <v/>
      </c>
      <c r="G267" s="42" t="str">
        <f>IF(OR($B267="",$A267&gt;$B$9),"",IF(COUNTIFS(BD!$B$3:$B$5001,G$243,BD!$A$3:$A$5001,"&gt;="&amp;$C$7,BD!$A$3:$A$5001,"&lt;="&amp;$B267,BD!$Z$3:$Z$5001,"&lt;&gt;")=0,"",SUMIFS(BD!$Z$3:$Z$5001,BD!$B$3:$B$5001,G$243,BD!$A$3:$A$5001,_xlfn.MAXIFS(BD!$A$3:$A$5001,BD!$B$3:$B$5001,G$243,BD!$A$3:$A$5001,"&gt;="&amp;$C$7,BD!$A$3:$A$5001,"&lt;="&amp;$B267,BD!$Z$3:$Z$5001,"&lt;&gt;"))))</f>
        <v/>
      </c>
      <c r="H267" s="42" t="str">
        <f>IF(OR($B267="",$A267&gt;$B$9),"",IF(COUNTIFS(BD!$B$3:$B$5001,H$243,BD!$A$3:$A$5001,"&gt;="&amp;$C$7,BD!$A$3:$A$5001,"&lt;="&amp;$B267,BD!$Z$3:$Z$5001,"&lt;&gt;")=0,"",SUMIFS(BD!$Z$3:$Z$5001,BD!$B$3:$B$5001,H$243,BD!$A$3:$A$5001,_xlfn.MAXIFS(BD!$A$3:$A$5001,BD!$B$3:$B$5001,H$243,BD!$A$3:$A$5001,"&gt;="&amp;$C$7,BD!$A$3:$A$5001,"&lt;="&amp;$B267,BD!$Z$3:$Z$5001,"&lt;&gt;"))))</f>
        <v/>
      </c>
      <c r="I267" s="42" t="str">
        <f>IF(OR($B267="",$A267&gt;$B$9),"",IF(COUNTIFS(BD!$B$3:$B$5001,I$243,BD!$A$3:$A$5001,"&gt;="&amp;$C$7,BD!$A$3:$A$5001,"&lt;="&amp;$B267,BD!$Z$3:$Z$5001,"&lt;&gt;")=0,"",SUMIFS(BD!$Z$3:$Z$5001,BD!$B$3:$B$5001,I$243,BD!$A$3:$A$5001,_xlfn.MAXIFS(BD!$A$3:$A$5001,BD!$B$3:$B$5001,I$243,BD!$A$3:$A$5001,"&gt;="&amp;$C$7,BD!$A$3:$A$5001,"&lt;="&amp;$B267,BD!$Z$3:$Z$5001,"&lt;&gt;"))))</f>
        <v/>
      </c>
      <c r="J267" s="42" t="str">
        <f>IF(OR($B267="",$A267&gt;$B$9),"",IF(COUNTIFS(BD!$B$3:$B$5001,J$243,BD!$A$3:$A$5001,"&gt;="&amp;$C$7,BD!$A$3:$A$5001,"&lt;="&amp;$B267,BD!$Z$3:$Z$5001,"&lt;&gt;")=0,"",SUMIFS(BD!$Z$3:$Z$5001,BD!$B$3:$B$5001,J$243,BD!$A$3:$A$5001,_xlfn.MAXIFS(BD!$A$3:$A$5001,BD!$B$3:$B$5001,J$243,BD!$A$3:$A$5001,"&gt;="&amp;$C$7,BD!$A$3:$A$5001,"&lt;="&amp;$B267,BD!$Z$3:$Z$5001,"&lt;&gt;"))))</f>
        <v/>
      </c>
      <c r="K267" s="42" t="str">
        <f>IF(OR($B267="",$A267&gt;$B$9),"",IF(COUNTIFS(BD!$B$3:$B$5001,K$243,BD!$A$3:$A$5001,"&gt;="&amp;$C$7,BD!$A$3:$A$5001,"&lt;="&amp;$B267,BD!$Z$3:$Z$5001,"&lt;&gt;")=0,"",SUMIFS(BD!$Z$3:$Z$5001,BD!$B$3:$B$5001,K$243,BD!$A$3:$A$5001,_xlfn.MAXIFS(BD!$A$3:$A$5001,BD!$B$3:$B$5001,K$243,BD!$A$3:$A$5001,"&gt;="&amp;$C$7,BD!$A$3:$A$5001,"&lt;="&amp;$B267,BD!$Z$3:$Z$5001,"&lt;&gt;"))))</f>
        <v/>
      </c>
    </row>
    <row r="268">
      <c r="A268" s="40">
        <v>25</v>
      </c>
      <c r="B268" s="41">
        <f>$B$36</f>
        <v>46320</v>
      </c>
      <c r="C268" s="42" t="str">
        <f>IF(OR($B268="",$A268&gt;$B$9),"",IF(COUNTIFS(BD!$B$3:$B$5001,C$243,BD!$A$3:$A$5001,"&gt;="&amp;$C$7,BD!$A$3:$A$5001,"&lt;="&amp;$B268,BD!$Z$3:$Z$5001,"&lt;&gt;")=0,"",SUMIFS(BD!$Z$3:$Z$5001,BD!$B$3:$B$5001,C$243,BD!$A$3:$A$5001,_xlfn.MAXIFS(BD!$A$3:$A$5001,BD!$B$3:$B$5001,C$243,BD!$A$3:$A$5001,"&gt;="&amp;$C$7,BD!$A$3:$A$5001,"&lt;="&amp;$B268,BD!$Z$3:$Z$5001,"&lt;&gt;"))))</f>
        <v/>
      </c>
      <c r="D268" s="42" t="str">
        <f>IF(OR($B268="",$A268&gt;$B$9),"",IF(COUNTIFS(BD!$B$3:$B$5001,D$243,BD!$A$3:$A$5001,"&gt;="&amp;$C$7,BD!$A$3:$A$5001,"&lt;="&amp;$B268,BD!$Z$3:$Z$5001,"&lt;&gt;")=0,"",SUMIFS(BD!$Z$3:$Z$5001,BD!$B$3:$B$5001,D$243,BD!$A$3:$A$5001,_xlfn.MAXIFS(BD!$A$3:$A$5001,BD!$B$3:$B$5001,D$243,BD!$A$3:$A$5001,"&gt;="&amp;$C$7,BD!$A$3:$A$5001,"&lt;="&amp;$B268,BD!$Z$3:$Z$5001,"&lt;&gt;"))))</f>
        <v/>
      </c>
      <c r="E268" s="42" t="str">
        <f>IF(OR($B268="",$A268&gt;$B$9),"",IF(COUNTIFS(BD!$B$3:$B$5001,E$243,BD!$A$3:$A$5001,"&gt;="&amp;$C$7,BD!$A$3:$A$5001,"&lt;="&amp;$B268,BD!$Z$3:$Z$5001,"&lt;&gt;")=0,"",SUMIFS(BD!$Z$3:$Z$5001,BD!$B$3:$B$5001,E$243,BD!$A$3:$A$5001,_xlfn.MAXIFS(BD!$A$3:$A$5001,BD!$B$3:$B$5001,E$243,BD!$A$3:$A$5001,"&gt;="&amp;$C$7,BD!$A$3:$A$5001,"&lt;="&amp;$B268,BD!$Z$3:$Z$5001,"&lt;&gt;"))))</f>
        <v/>
      </c>
      <c r="F268" s="42" t="str">
        <f>IF(OR($B268="",$A268&gt;$B$9),"",IF(COUNTIFS(BD!$B$3:$B$5001,F$243,BD!$A$3:$A$5001,"&gt;="&amp;$C$7,BD!$A$3:$A$5001,"&lt;="&amp;$B268,BD!$Z$3:$Z$5001,"&lt;&gt;")=0,"",SUMIFS(BD!$Z$3:$Z$5001,BD!$B$3:$B$5001,F$243,BD!$A$3:$A$5001,_xlfn.MAXIFS(BD!$A$3:$A$5001,BD!$B$3:$B$5001,F$243,BD!$A$3:$A$5001,"&gt;="&amp;$C$7,BD!$A$3:$A$5001,"&lt;="&amp;$B268,BD!$Z$3:$Z$5001,"&lt;&gt;"))))</f>
        <v/>
      </c>
      <c r="G268" s="42" t="str">
        <f>IF(OR($B268="",$A268&gt;$B$9),"",IF(COUNTIFS(BD!$B$3:$B$5001,G$243,BD!$A$3:$A$5001,"&gt;="&amp;$C$7,BD!$A$3:$A$5001,"&lt;="&amp;$B268,BD!$Z$3:$Z$5001,"&lt;&gt;")=0,"",SUMIFS(BD!$Z$3:$Z$5001,BD!$B$3:$B$5001,G$243,BD!$A$3:$A$5001,_xlfn.MAXIFS(BD!$A$3:$A$5001,BD!$B$3:$B$5001,G$243,BD!$A$3:$A$5001,"&gt;="&amp;$C$7,BD!$A$3:$A$5001,"&lt;="&amp;$B268,BD!$Z$3:$Z$5001,"&lt;&gt;"))))</f>
        <v/>
      </c>
      <c r="H268" s="42" t="str">
        <f>IF(OR($B268="",$A268&gt;$B$9),"",IF(COUNTIFS(BD!$B$3:$B$5001,H$243,BD!$A$3:$A$5001,"&gt;="&amp;$C$7,BD!$A$3:$A$5001,"&lt;="&amp;$B268,BD!$Z$3:$Z$5001,"&lt;&gt;")=0,"",SUMIFS(BD!$Z$3:$Z$5001,BD!$B$3:$B$5001,H$243,BD!$A$3:$A$5001,_xlfn.MAXIFS(BD!$A$3:$A$5001,BD!$B$3:$B$5001,H$243,BD!$A$3:$A$5001,"&gt;="&amp;$C$7,BD!$A$3:$A$5001,"&lt;="&amp;$B268,BD!$Z$3:$Z$5001,"&lt;&gt;"))))</f>
        <v/>
      </c>
      <c r="I268" s="42" t="str">
        <f>IF(OR($B268="",$A268&gt;$B$9),"",IF(COUNTIFS(BD!$B$3:$B$5001,I$243,BD!$A$3:$A$5001,"&gt;="&amp;$C$7,BD!$A$3:$A$5001,"&lt;="&amp;$B268,BD!$Z$3:$Z$5001,"&lt;&gt;")=0,"",SUMIFS(BD!$Z$3:$Z$5001,BD!$B$3:$B$5001,I$243,BD!$A$3:$A$5001,_xlfn.MAXIFS(BD!$A$3:$A$5001,BD!$B$3:$B$5001,I$243,BD!$A$3:$A$5001,"&gt;="&amp;$C$7,BD!$A$3:$A$5001,"&lt;="&amp;$B268,BD!$Z$3:$Z$5001,"&lt;&gt;"))))</f>
        <v/>
      </c>
      <c r="J268" s="42" t="str">
        <f>IF(OR($B268="",$A268&gt;$B$9),"",IF(COUNTIFS(BD!$B$3:$B$5001,J$243,BD!$A$3:$A$5001,"&gt;="&amp;$C$7,BD!$A$3:$A$5001,"&lt;="&amp;$B268,BD!$Z$3:$Z$5001,"&lt;&gt;")=0,"",SUMIFS(BD!$Z$3:$Z$5001,BD!$B$3:$B$5001,J$243,BD!$A$3:$A$5001,_xlfn.MAXIFS(BD!$A$3:$A$5001,BD!$B$3:$B$5001,J$243,BD!$A$3:$A$5001,"&gt;="&amp;$C$7,BD!$A$3:$A$5001,"&lt;="&amp;$B268,BD!$Z$3:$Z$5001,"&lt;&gt;"))))</f>
        <v/>
      </c>
      <c r="K268" s="42" t="str">
        <f>IF(OR($B268="",$A268&gt;$B$9),"",IF(COUNTIFS(BD!$B$3:$B$5001,K$243,BD!$A$3:$A$5001,"&gt;="&amp;$C$7,BD!$A$3:$A$5001,"&lt;="&amp;$B268,BD!$Z$3:$Z$5001,"&lt;&gt;")=0,"",SUMIFS(BD!$Z$3:$Z$5001,BD!$B$3:$B$5001,K$243,BD!$A$3:$A$5001,_xlfn.MAXIFS(BD!$A$3:$A$5001,BD!$B$3:$B$5001,K$243,BD!$A$3:$A$5001,"&gt;="&amp;$C$7,BD!$A$3:$A$5001,"&lt;="&amp;$B268,BD!$Z$3:$Z$5001,"&lt;&gt;"))))</f>
        <v/>
      </c>
    </row>
    <row r="269">
      <c r="A269" s="40">
        <v>26</v>
      </c>
      <c r="B269" s="41">
        <f>$B$37</f>
        <v>46321</v>
      </c>
      <c r="C269" s="42" t="str">
        <f>IF(OR($B269="",$A269&gt;$B$9),"",IF(COUNTIFS(BD!$B$3:$B$5001,C$243,BD!$A$3:$A$5001,"&gt;="&amp;$C$7,BD!$A$3:$A$5001,"&lt;="&amp;$B269,BD!$Z$3:$Z$5001,"&lt;&gt;")=0,"",SUMIFS(BD!$Z$3:$Z$5001,BD!$B$3:$B$5001,C$243,BD!$A$3:$A$5001,_xlfn.MAXIFS(BD!$A$3:$A$5001,BD!$B$3:$B$5001,C$243,BD!$A$3:$A$5001,"&gt;="&amp;$C$7,BD!$A$3:$A$5001,"&lt;="&amp;$B269,BD!$Z$3:$Z$5001,"&lt;&gt;"))))</f>
        <v/>
      </c>
      <c r="D269" s="42" t="str">
        <f>IF(OR($B269="",$A269&gt;$B$9),"",IF(COUNTIFS(BD!$B$3:$B$5001,D$243,BD!$A$3:$A$5001,"&gt;="&amp;$C$7,BD!$A$3:$A$5001,"&lt;="&amp;$B269,BD!$Z$3:$Z$5001,"&lt;&gt;")=0,"",SUMIFS(BD!$Z$3:$Z$5001,BD!$B$3:$B$5001,D$243,BD!$A$3:$A$5001,_xlfn.MAXIFS(BD!$A$3:$A$5001,BD!$B$3:$B$5001,D$243,BD!$A$3:$A$5001,"&gt;="&amp;$C$7,BD!$A$3:$A$5001,"&lt;="&amp;$B269,BD!$Z$3:$Z$5001,"&lt;&gt;"))))</f>
        <v/>
      </c>
      <c r="E269" s="42" t="str">
        <f>IF(OR($B269="",$A269&gt;$B$9),"",IF(COUNTIFS(BD!$B$3:$B$5001,E$243,BD!$A$3:$A$5001,"&gt;="&amp;$C$7,BD!$A$3:$A$5001,"&lt;="&amp;$B269,BD!$Z$3:$Z$5001,"&lt;&gt;")=0,"",SUMIFS(BD!$Z$3:$Z$5001,BD!$B$3:$B$5001,E$243,BD!$A$3:$A$5001,_xlfn.MAXIFS(BD!$A$3:$A$5001,BD!$B$3:$B$5001,E$243,BD!$A$3:$A$5001,"&gt;="&amp;$C$7,BD!$A$3:$A$5001,"&lt;="&amp;$B269,BD!$Z$3:$Z$5001,"&lt;&gt;"))))</f>
        <v/>
      </c>
      <c r="F269" s="42" t="str">
        <f>IF(OR($B269="",$A269&gt;$B$9),"",IF(COUNTIFS(BD!$B$3:$B$5001,F$243,BD!$A$3:$A$5001,"&gt;="&amp;$C$7,BD!$A$3:$A$5001,"&lt;="&amp;$B269,BD!$Z$3:$Z$5001,"&lt;&gt;")=0,"",SUMIFS(BD!$Z$3:$Z$5001,BD!$B$3:$B$5001,F$243,BD!$A$3:$A$5001,_xlfn.MAXIFS(BD!$A$3:$A$5001,BD!$B$3:$B$5001,F$243,BD!$A$3:$A$5001,"&gt;="&amp;$C$7,BD!$A$3:$A$5001,"&lt;="&amp;$B269,BD!$Z$3:$Z$5001,"&lt;&gt;"))))</f>
        <v/>
      </c>
      <c r="G269" s="42" t="str">
        <f>IF(OR($B269="",$A269&gt;$B$9),"",IF(COUNTIFS(BD!$B$3:$B$5001,G$243,BD!$A$3:$A$5001,"&gt;="&amp;$C$7,BD!$A$3:$A$5001,"&lt;="&amp;$B269,BD!$Z$3:$Z$5001,"&lt;&gt;")=0,"",SUMIFS(BD!$Z$3:$Z$5001,BD!$B$3:$B$5001,G$243,BD!$A$3:$A$5001,_xlfn.MAXIFS(BD!$A$3:$A$5001,BD!$B$3:$B$5001,G$243,BD!$A$3:$A$5001,"&gt;="&amp;$C$7,BD!$A$3:$A$5001,"&lt;="&amp;$B269,BD!$Z$3:$Z$5001,"&lt;&gt;"))))</f>
        <v/>
      </c>
      <c r="H269" s="42" t="str">
        <f>IF(OR($B269="",$A269&gt;$B$9),"",IF(COUNTIFS(BD!$B$3:$B$5001,H$243,BD!$A$3:$A$5001,"&gt;="&amp;$C$7,BD!$A$3:$A$5001,"&lt;="&amp;$B269,BD!$Z$3:$Z$5001,"&lt;&gt;")=0,"",SUMIFS(BD!$Z$3:$Z$5001,BD!$B$3:$B$5001,H$243,BD!$A$3:$A$5001,_xlfn.MAXIFS(BD!$A$3:$A$5001,BD!$B$3:$B$5001,H$243,BD!$A$3:$A$5001,"&gt;="&amp;$C$7,BD!$A$3:$A$5001,"&lt;="&amp;$B269,BD!$Z$3:$Z$5001,"&lt;&gt;"))))</f>
        <v/>
      </c>
      <c r="I269" s="42" t="str">
        <f>IF(OR($B269="",$A269&gt;$B$9),"",IF(COUNTIFS(BD!$B$3:$B$5001,I$243,BD!$A$3:$A$5001,"&gt;="&amp;$C$7,BD!$A$3:$A$5001,"&lt;="&amp;$B269,BD!$Z$3:$Z$5001,"&lt;&gt;")=0,"",SUMIFS(BD!$Z$3:$Z$5001,BD!$B$3:$B$5001,I$243,BD!$A$3:$A$5001,_xlfn.MAXIFS(BD!$A$3:$A$5001,BD!$B$3:$B$5001,I$243,BD!$A$3:$A$5001,"&gt;="&amp;$C$7,BD!$A$3:$A$5001,"&lt;="&amp;$B269,BD!$Z$3:$Z$5001,"&lt;&gt;"))))</f>
        <v/>
      </c>
      <c r="J269" s="42" t="str">
        <f>IF(OR($B269="",$A269&gt;$B$9),"",IF(COUNTIFS(BD!$B$3:$B$5001,J$243,BD!$A$3:$A$5001,"&gt;="&amp;$C$7,BD!$A$3:$A$5001,"&lt;="&amp;$B269,BD!$Z$3:$Z$5001,"&lt;&gt;")=0,"",SUMIFS(BD!$Z$3:$Z$5001,BD!$B$3:$B$5001,J$243,BD!$A$3:$A$5001,_xlfn.MAXIFS(BD!$A$3:$A$5001,BD!$B$3:$B$5001,J$243,BD!$A$3:$A$5001,"&gt;="&amp;$C$7,BD!$A$3:$A$5001,"&lt;="&amp;$B269,BD!$Z$3:$Z$5001,"&lt;&gt;"))))</f>
        <v/>
      </c>
      <c r="K269" s="42" t="str">
        <f>IF(OR($B269="",$A269&gt;$B$9),"",IF(COUNTIFS(BD!$B$3:$B$5001,K$243,BD!$A$3:$A$5001,"&gt;="&amp;$C$7,BD!$A$3:$A$5001,"&lt;="&amp;$B269,BD!$Z$3:$Z$5001,"&lt;&gt;")=0,"",SUMIFS(BD!$Z$3:$Z$5001,BD!$B$3:$B$5001,K$243,BD!$A$3:$A$5001,_xlfn.MAXIFS(BD!$A$3:$A$5001,BD!$B$3:$B$5001,K$243,BD!$A$3:$A$5001,"&gt;="&amp;$C$7,BD!$A$3:$A$5001,"&lt;="&amp;$B269,BD!$Z$3:$Z$5001,"&lt;&gt;"))))</f>
        <v/>
      </c>
    </row>
    <row r="270">
      <c r="A270" s="40">
        <v>27</v>
      </c>
      <c r="B270" s="41">
        <f>$B$38</f>
        <v>46322</v>
      </c>
      <c r="C270" s="42" t="str">
        <f>IF(OR($B270="",$A270&gt;$B$9),"",IF(COUNTIFS(BD!$B$3:$B$5001,C$243,BD!$A$3:$A$5001,"&gt;="&amp;$C$7,BD!$A$3:$A$5001,"&lt;="&amp;$B270,BD!$Z$3:$Z$5001,"&lt;&gt;")=0,"",SUMIFS(BD!$Z$3:$Z$5001,BD!$B$3:$B$5001,C$243,BD!$A$3:$A$5001,_xlfn.MAXIFS(BD!$A$3:$A$5001,BD!$B$3:$B$5001,C$243,BD!$A$3:$A$5001,"&gt;="&amp;$C$7,BD!$A$3:$A$5001,"&lt;="&amp;$B270,BD!$Z$3:$Z$5001,"&lt;&gt;"))))</f>
        <v/>
      </c>
      <c r="D270" s="42" t="str">
        <f>IF(OR($B270="",$A270&gt;$B$9),"",IF(COUNTIFS(BD!$B$3:$B$5001,D$243,BD!$A$3:$A$5001,"&gt;="&amp;$C$7,BD!$A$3:$A$5001,"&lt;="&amp;$B270,BD!$Z$3:$Z$5001,"&lt;&gt;")=0,"",SUMIFS(BD!$Z$3:$Z$5001,BD!$B$3:$B$5001,D$243,BD!$A$3:$A$5001,_xlfn.MAXIFS(BD!$A$3:$A$5001,BD!$B$3:$B$5001,D$243,BD!$A$3:$A$5001,"&gt;="&amp;$C$7,BD!$A$3:$A$5001,"&lt;="&amp;$B270,BD!$Z$3:$Z$5001,"&lt;&gt;"))))</f>
        <v/>
      </c>
      <c r="E270" s="42" t="str">
        <f>IF(OR($B270="",$A270&gt;$B$9),"",IF(COUNTIFS(BD!$B$3:$B$5001,E$243,BD!$A$3:$A$5001,"&gt;="&amp;$C$7,BD!$A$3:$A$5001,"&lt;="&amp;$B270,BD!$Z$3:$Z$5001,"&lt;&gt;")=0,"",SUMIFS(BD!$Z$3:$Z$5001,BD!$B$3:$B$5001,E$243,BD!$A$3:$A$5001,_xlfn.MAXIFS(BD!$A$3:$A$5001,BD!$B$3:$B$5001,E$243,BD!$A$3:$A$5001,"&gt;="&amp;$C$7,BD!$A$3:$A$5001,"&lt;="&amp;$B270,BD!$Z$3:$Z$5001,"&lt;&gt;"))))</f>
        <v/>
      </c>
      <c r="F270" s="42" t="str">
        <f>IF(OR($B270="",$A270&gt;$B$9),"",IF(COUNTIFS(BD!$B$3:$B$5001,F$243,BD!$A$3:$A$5001,"&gt;="&amp;$C$7,BD!$A$3:$A$5001,"&lt;="&amp;$B270,BD!$Z$3:$Z$5001,"&lt;&gt;")=0,"",SUMIFS(BD!$Z$3:$Z$5001,BD!$B$3:$B$5001,F$243,BD!$A$3:$A$5001,_xlfn.MAXIFS(BD!$A$3:$A$5001,BD!$B$3:$B$5001,F$243,BD!$A$3:$A$5001,"&gt;="&amp;$C$7,BD!$A$3:$A$5001,"&lt;="&amp;$B270,BD!$Z$3:$Z$5001,"&lt;&gt;"))))</f>
        <v/>
      </c>
      <c r="G270" s="42" t="str">
        <f>IF(OR($B270="",$A270&gt;$B$9),"",IF(COUNTIFS(BD!$B$3:$B$5001,G$243,BD!$A$3:$A$5001,"&gt;="&amp;$C$7,BD!$A$3:$A$5001,"&lt;="&amp;$B270,BD!$Z$3:$Z$5001,"&lt;&gt;")=0,"",SUMIFS(BD!$Z$3:$Z$5001,BD!$B$3:$B$5001,G$243,BD!$A$3:$A$5001,_xlfn.MAXIFS(BD!$A$3:$A$5001,BD!$B$3:$B$5001,G$243,BD!$A$3:$A$5001,"&gt;="&amp;$C$7,BD!$A$3:$A$5001,"&lt;="&amp;$B270,BD!$Z$3:$Z$5001,"&lt;&gt;"))))</f>
        <v/>
      </c>
      <c r="H270" s="42" t="str">
        <f>IF(OR($B270="",$A270&gt;$B$9),"",IF(COUNTIFS(BD!$B$3:$B$5001,H$243,BD!$A$3:$A$5001,"&gt;="&amp;$C$7,BD!$A$3:$A$5001,"&lt;="&amp;$B270,BD!$Z$3:$Z$5001,"&lt;&gt;")=0,"",SUMIFS(BD!$Z$3:$Z$5001,BD!$B$3:$B$5001,H$243,BD!$A$3:$A$5001,_xlfn.MAXIFS(BD!$A$3:$A$5001,BD!$B$3:$B$5001,H$243,BD!$A$3:$A$5001,"&gt;="&amp;$C$7,BD!$A$3:$A$5001,"&lt;="&amp;$B270,BD!$Z$3:$Z$5001,"&lt;&gt;"))))</f>
        <v/>
      </c>
      <c r="I270" s="42" t="str">
        <f>IF(OR($B270="",$A270&gt;$B$9),"",IF(COUNTIFS(BD!$B$3:$B$5001,I$243,BD!$A$3:$A$5001,"&gt;="&amp;$C$7,BD!$A$3:$A$5001,"&lt;="&amp;$B270,BD!$Z$3:$Z$5001,"&lt;&gt;")=0,"",SUMIFS(BD!$Z$3:$Z$5001,BD!$B$3:$B$5001,I$243,BD!$A$3:$A$5001,_xlfn.MAXIFS(BD!$A$3:$A$5001,BD!$B$3:$B$5001,I$243,BD!$A$3:$A$5001,"&gt;="&amp;$C$7,BD!$A$3:$A$5001,"&lt;="&amp;$B270,BD!$Z$3:$Z$5001,"&lt;&gt;"))))</f>
        <v/>
      </c>
      <c r="J270" s="42" t="str">
        <f>IF(OR($B270="",$A270&gt;$B$9),"",IF(COUNTIFS(BD!$B$3:$B$5001,J$243,BD!$A$3:$A$5001,"&gt;="&amp;$C$7,BD!$A$3:$A$5001,"&lt;="&amp;$B270,BD!$Z$3:$Z$5001,"&lt;&gt;")=0,"",SUMIFS(BD!$Z$3:$Z$5001,BD!$B$3:$B$5001,J$243,BD!$A$3:$A$5001,_xlfn.MAXIFS(BD!$A$3:$A$5001,BD!$B$3:$B$5001,J$243,BD!$A$3:$A$5001,"&gt;="&amp;$C$7,BD!$A$3:$A$5001,"&lt;="&amp;$B270,BD!$Z$3:$Z$5001,"&lt;&gt;"))))</f>
        <v/>
      </c>
      <c r="K270" s="42" t="str">
        <f>IF(OR($B270="",$A270&gt;$B$9),"",IF(COUNTIFS(BD!$B$3:$B$5001,K$243,BD!$A$3:$A$5001,"&gt;="&amp;$C$7,BD!$A$3:$A$5001,"&lt;="&amp;$B270,BD!$Z$3:$Z$5001,"&lt;&gt;")=0,"",SUMIFS(BD!$Z$3:$Z$5001,BD!$B$3:$B$5001,K$243,BD!$A$3:$A$5001,_xlfn.MAXIFS(BD!$A$3:$A$5001,BD!$B$3:$B$5001,K$243,BD!$A$3:$A$5001,"&gt;="&amp;$C$7,BD!$A$3:$A$5001,"&lt;="&amp;$B270,BD!$Z$3:$Z$5001,"&lt;&gt;"))))</f>
        <v/>
      </c>
    </row>
    <row r="271">
      <c r="A271" s="40">
        <v>28</v>
      </c>
      <c r="B271" s="41">
        <f>$B$39</f>
        <v>46323</v>
      </c>
      <c r="C271" s="42" t="str">
        <f>IF(OR($B271="",$A271&gt;$B$9),"",IF(COUNTIFS(BD!$B$3:$B$5001,C$243,BD!$A$3:$A$5001,"&gt;="&amp;$C$7,BD!$A$3:$A$5001,"&lt;="&amp;$B271,BD!$Z$3:$Z$5001,"&lt;&gt;")=0,"",SUMIFS(BD!$Z$3:$Z$5001,BD!$B$3:$B$5001,C$243,BD!$A$3:$A$5001,_xlfn.MAXIFS(BD!$A$3:$A$5001,BD!$B$3:$B$5001,C$243,BD!$A$3:$A$5001,"&gt;="&amp;$C$7,BD!$A$3:$A$5001,"&lt;="&amp;$B271,BD!$Z$3:$Z$5001,"&lt;&gt;"))))</f>
        <v/>
      </c>
      <c r="D271" s="42" t="str">
        <f>IF(OR($B271="",$A271&gt;$B$9),"",IF(COUNTIFS(BD!$B$3:$B$5001,D$243,BD!$A$3:$A$5001,"&gt;="&amp;$C$7,BD!$A$3:$A$5001,"&lt;="&amp;$B271,BD!$Z$3:$Z$5001,"&lt;&gt;")=0,"",SUMIFS(BD!$Z$3:$Z$5001,BD!$B$3:$B$5001,D$243,BD!$A$3:$A$5001,_xlfn.MAXIFS(BD!$A$3:$A$5001,BD!$B$3:$B$5001,D$243,BD!$A$3:$A$5001,"&gt;="&amp;$C$7,BD!$A$3:$A$5001,"&lt;="&amp;$B271,BD!$Z$3:$Z$5001,"&lt;&gt;"))))</f>
        <v/>
      </c>
      <c r="E271" s="42" t="str">
        <f>IF(OR($B271="",$A271&gt;$B$9),"",IF(COUNTIFS(BD!$B$3:$B$5001,E$243,BD!$A$3:$A$5001,"&gt;="&amp;$C$7,BD!$A$3:$A$5001,"&lt;="&amp;$B271,BD!$Z$3:$Z$5001,"&lt;&gt;")=0,"",SUMIFS(BD!$Z$3:$Z$5001,BD!$B$3:$B$5001,E$243,BD!$A$3:$A$5001,_xlfn.MAXIFS(BD!$A$3:$A$5001,BD!$B$3:$B$5001,E$243,BD!$A$3:$A$5001,"&gt;="&amp;$C$7,BD!$A$3:$A$5001,"&lt;="&amp;$B271,BD!$Z$3:$Z$5001,"&lt;&gt;"))))</f>
        <v/>
      </c>
      <c r="F271" s="42" t="str">
        <f>IF(OR($B271="",$A271&gt;$B$9),"",IF(COUNTIFS(BD!$B$3:$B$5001,F$243,BD!$A$3:$A$5001,"&gt;="&amp;$C$7,BD!$A$3:$A$5001,"&lt;="&amp;$B271,BD!$Z$3:$Z$5001,"&lt;&gt;")=0,"",SUMIFS(BD!$Z$3:$Z$5001,BD!$B$3:$B$5001,F$243,BD!$A$3:$A$5001,_xlfn.MAXIFS(BD!$A$3:$A$5001,BD!$B$3:$B$5001,F$243,BD!$A$3:$A$5001,"&gt;="&amp;$C$7,BD!$A$3:$A$5001,"&lt;="&amp;$B271,BD!$Z$3:$Z$5001,"&lt;&gt;"))))</f>
        <v/>
      </c>
      <c r="G271" s="42" t="str">
        <f>IF(OR($B271="",$A271&gt;$B$9),"",IF(COUNTIFS(BD!$B$3:$B$5001,G$243,BD!$A$3:$A$5001,"&gt;="&amp;$C$7,BD!$A$3:$A$5001,"&lt;="&amp;$B271,BD!$Z$3:$Z$5001,"&lt;&gt;")=0,"",SUMIFS(BD!$Z$3:$Z$5001,BD!$B$3:$B$5001,G$243,BD!$A$3:$A$5001,_xlfn.MAXIFS(BD!$A$3:$A$5001,BD!$B$3:$B$5001,G$243,BD!$A$3:$A$5001,"&gt;="&amp;$C$7,BD!$A$3:$A$5001,"&lt;="&amp;$B271,BD!$Z$3:$Z$5001,"&lt;&gt;"))))</f>
        <v/>
      </c>
      <c r="H271" s="42" t="str">
        <f>IF(OR($B271="",$A271&gt;$B$9),"",IF(COUNTIFS(BD!$B$3:$B$5001,H$243,BD!$A$3:$A$5001,"&gt;="&amp;$C$7,BD!$A$3:$A$5001,"&lt;="&amp;$B271,BD!$Z$3:$Z$5001,"&lt;&gt;")=0,"",SUMIFS(BD!$Z$3:$Z$5001,BD!$B$3:$B$5001,H$243,BD!$A$3:$A$5001,_xlfn.MAXIFS(BD!$A$3:$A$5001,BD!$B$3:$B$5001,H$243,BD!$A$3:$A$5001,"&gt;="&amp;$C$7,BD!$A$3:$A$5001,"&lt;="&amp;$B271,BD!$Z$3:$Z$5001,"&lt;&gt;"))))</f>
        <v/>
      </c>
      <c r="I271" s="42" t="str">
        <f>IF(OR($B271="",$A271&gt;$B$9),"",IF(COUNTIFS(BD!$B$3:$B$5001,I$243,BD!$A$3:$A$5001,"&gt;="&amp;$C$7,BD!$A$3:$A$5001,"&lt;="&amp;$B271,BD!$Z$3:$Z$5001,"&lt;&gt;")=0,"",SUMIFS(BD!$Z$3:$Z$5001,BD!$B$3:$B$5001,I$243,BD!$A$3:$A$5001,_xlfn.MAXIFS(BD!$A$3:$A$5001,BD!$B$3:$B$5001,I$243,BD!$A$3:$A$5001,"&gt;="&amp;$C$7,BD!$A$3:$A$5001,"&lt;="&amp;$B271,BD!$Z$3:$Z$5001,"&lt;&gt;"))))</f>
        <v/>
      </c>
      <c r="J271" s="42" t="str">
        <f>IF(OR($B271="",$A271&gt;$B$9),"",IF(COUNTIFS(BD!$B$3:$B$5001,J$243,BD!$A$3:$A$5001,"&gt;="&amp;$C$7,BD!$A$3:$A$5001,"&lt;="&amp;$B271,BD!$Z$3:$Z$5001,"&lt;&gt;")=0,"",SUMIFS(BD!$Z$3:$Z$5001,BD!$B$3:$B$5001,J$243,BD!$A$3:$A$5001,_xlfn.MAXIFS(BD!$A$3:$A$5001,BD!$B$3:$B$5001,J$243,BD!$A$3:$A$5001,"&gt;="&amp;$C$7,BD!$A$3:$A$5001,"&lt;="&amp;$B271,BD!$Z$3:$Z$5001,"&lt;&gt;"))))</f>
        <v/>
      </c>
      <c r="K271" s="42" t="str">
        <f>IF(OR($B271="",$A271&gt;$B$9),"",IF(COUNTIFS(BD!$B$3:$B$5001,K$243,BD!$A$3:$A$5001,"&gt;="&amp;$C$7,BD!$A$3:$A$5001,"&lt;="&amp;$B271,BD!$Z$3:$Z$5001,"&lt;&gt;")=0,"",SUMIFS(BD!$Z$3:$Z$5001,BD!$B$3:$B$5001,K$243,BD!$A$3:$A$5001,_xlfn.MAXIFS(BD!$A$3:$A$5001,BD!$B$3:$B$5001,K$243,BD!$A$3:$A$5001,"&gt;="&amp;$C$7,BD!$A$3:$A$5001,"&lt;="&amp;$B271,BD!$Z$3:$Z$5001,"&lt;&gt;"))))</f>
        <v/>
      </c>
    </row>
    <row r="272">
      <c r="A272" s="40">
        <v>29</v>
      </c>
      <c r="B272" s="41">
        <f>$B$40</f>
        <v>46324</v>
      </c>
      <c r="C272" s="42" t="str">
        <f>IF(OR($B272="",$A272&gt;$B$9),"",IF(COUNTIFS(BD!$B$3:$B$5001,C$243,BD!$A$3:$A$5001,"&gt;="&amp;$C$7,BD!$A$3:$A$5001,"&lt;="&amp;$B272,BD!$Z$3:$Z$5001,"&lt;&gt;")=0,"",SUMIFS(BD!$Z$3:$Z$5001,BD!$B$3:$B$5001,C$243,BD!$A$3:$A$5001,_xlfn.MAXIFS(BD!$A$3:$A$5001,BD!$B$3:$B$5001,C$243,BD!$A$3:$A$5001,"&gt;="&amp;$C$7,BD!$A$3:$A$5001,"&lt;="&amp;$B272,BD!$Z$3:$Z$5001,"&lt;&gt;"))))</f>
        <v/>
      </c>
      <c r="D272" s="42" t="str">
        <f>IF(OR($B272="",$A272&gt;$B$9),"",IF(COUNTIFS(BD!$B$3:$B$5001,D$243,BD!$A$3:$A$5001,"&gt;="&amp;$C$7,BD!$A$3:$A$5001,"&lt;="&amp;$B272,BD!$Z$3:$Z$5001,"&lt;&gt;")=0,"",SUMIFS(BD!$Z$3:$Z$5001,BD!$B$3:$B$5001,D$243,BD!$A$3:$A$5001,_xlfn.MAXIFS(BD!$A$3:$A$5001,BD!$B$3:$B$5001,D$243,BD!$A$3:$A$5001,"&gt;="&amp;$C$7,BD!$A$3:$A$5001,"&lt;="&amp;$B272,BD!$Z$3:$Z$5001,"&lt;&gt;"))))</f>
        <v/>
      </c>
      <c r="E272" s="42" t="str">
        <f>IF(OR($B272="",$A272&gt;$B$9),"",IF(COUNTIFS(BD!$B$3:$B$5001,E$243,BD!$A$3:$A$5001,"&gt;="&amp;$C$7,BD!$A$3:$A$5001,"&lt;="&amp;$B272,BD!$Z$3:$Z$5001,"&lt;&gt;")=0,"",SUMIFS(BD!$Z$3:$Z$5001,BD!$B$3:$B$5001,E$243,BD!$A$3:$A$5001,_xlfn.MAXIFS(BD!$A$3:$A$5001,BD!$B$3:$B$5001,E$243,BD!$A$3:$A$5001,"&gt;="&amp;$C$7,BD!$A$3:$A$5001,"&lt;="&amp;$B272,BD!$Z$3:$Z$5001,"&lt;&gt;"))))</f>
        <v/>
      </c>
      <c r="F272" s="42" t="str">
        <f>IF(OR($B272="",$A272&gt;$B$9),"",IF(COUNTIFS(BD!$B$3:$B$5001,F$243,BD!$A$3:$A$5001,"&gt;="&amp;$C$7,BD!$A$3:$A$5001,"&lt;="&amp;$B272,BD!$Z$3:$Z$5001,"&lt;&gt;")=0,"",SUMIFS(BD!$Z$3:$Z$5001,BD!$B$3:$B$5001,F$243,BD!$A$3:$A$5001,_xlfn.MAXIFS(BD!$A$3:$A$5001,BD!$B$3:$B$5001,F$243,BD!$A$3:$A$5001,"&gt;="&amp;$C$7,BD!$A$3:$A$5001,"&lt;="&amp;$B272,BD!$Z$3:$Z$5001,"&lt;&gt;"))))</f>
        <v/>
      </c>
      <c r="G272" s="42" t="str">
        <f>IF(OR($B272="",$A272&gt;$B$9),"",IF(COUNTIFS(BD!$B$3:$B$5001,G$243,BD!$A$3:$A$5001,"&gt;="&amp;$C$7,BD!$A$3:$A$5001,"&lt;="&amp;$B272,BD!$Z$3:$Z$5001,"&lt;&gt;")=0,"",SUMIFS(BD!$Z$3:$Z$5001,BD!$B$3:$B$5001,G$243,BD!$A$3:$A$5001,_xlfn.MAXIFS(BD!$A$3:$A$5001,BD!$B$3:$B$5001,G$243,BD!$A$3:$A$5001,"&gt;="&amp;$C$7,BD!$A$3:$A$5001,"&lt;="&amp;$B272,BD!$Z$3:$Z$5001,"&lt;&gt;"))))</f>
        <v/>
      </c>
      <c r="H272" s="42" t="str">
        <f>IF(OR($B272="",$A272&gt;$B$9),"",IF(COUNTIFS(BD!$B$3:$B$5001,H$243,BD!$A$3:$A$5001,"&gt;="&amp;$C$7,BD!$A$3:$A$5001,"&lt;="&amp;$B272,BD!$Z$3:$Z$5001,"&lt;&gt;")=0,"",SUMIFS(BD!$Z$3:$Z$5001,BD!$B$3:$B$5001,H$243,BD!$A$3:$A$5001,_xlfn.MAXIFS(BD!$A$3:$A$5001,BD!$B$3:$B$5001,H$243,BD!$A$3:$A$5001,"&gt;="&amp;$C$7,BD!$A$3:$A$5001,"&lt;="&amp;$B272,BD!$Z$3:$Z$5001,"&lt;&gt;"))))</f>
        <v/>
      </c>
      <c r="I272" s="42" t="str">
        <f>IF(OR($B272="",$A272&gt;$B$9),"",IF(COUNTIFS(BD!$B$3:$B$5001,I$243,BD!$A$3:$A$5001,"&gt;="&amp;$C$7,BD!$A$3:$A$5001,"&lt;="&amp;$B272,BD!$Z$3:$Z$5001,"&lt;&gt;")=0,"",SUMIFS(BD!$Z$3:$Z$5001,BD!$B$3:$B$5001,I$243,BD!$A$3:$A$5001,_xlfn.MAXIFS(BD!$A$3:$A$5001,BD!$B$3:$B$5001,I$243,BD!$A$3:$A$5001,"&gt;="&amp;$C$7,BD!$A$3:$A$5001,"&lt;="&amp;$B272,BD!$Z$3:$Z$5001,"&lt;&gt;"))))</f>
        <v/>
      </c>
      <c r="J272" s="42" t="str">
        <f>IF(OR($B272="",$A272&gt;$B$9),"",IF(COUNTIFS(BD!$B$3:$B$5001,J$243,BD!$A$3:$A$5001,"&gt;="&amp;$C$7,BD!$A$3:$A$5001,"&lt;="&amp;$B272,BD!$Z$3:$Z$5001,"&lt;&gt;")=0,"",SUMIFS(BD!$Z$3:$Z$5001,BD!$B$3:$B$5001,J$243,BD!$A$3:$A$5001,_xlfn.MAXIFS(BD!$A$3:$A$5001,BD!$B$3:$B$5001,J$243,BD!$A$3:$A$5001,"&gt;="&amp;$C$7,BD!$A$3:$A$5001,"&lt;="&amp;$B272,BD!$Z$3:$Z$5001,"&lt;&gt;"))))</f>
        <v/>
      </c>
      <c r="K272" s="42" t="str">
        <f>IF(OR($B272="",$A272&gt;$B$9),"",IF(COUNTIFS(BD!$B$3:$B$5001,K$243,BD!$A$3:$A$5001,"&gt;="&amp;$C$7,BD!$A$3:$A$5001,"&lt;="&amp;$B272,BD!$Z$3:$Z$5001,"&lt;&gt;")=0,"",SUMIFS(BD!$Z$3:$Z$5001,BD!$B$3:$B$5001,K$243,BD!$A$3:$A$5001,_xlfn.MAXIFS(BD!$A$3:$A$5001,BD!$B$3:$B$5001,K$243,BD!$A$3:$A$5001,"&gt;="&amp;$C$7,BD!$A$3:$A$5001,"&lt;="&amp;$B272,BD!$Z$3:$Z$5001,"&lt;&gt;"))))</f>
        <v/>
      </c>
    </row>
    <row r="273">
      <c r="A273" s="40">
        <v>30</v>
      </c>
      <c r="B273" s="41">
        <f>$B$41</f>
        <v>46325</v>
      </c>
      <c r="C273" s="42" t="str">
        <f>IF(OR($B273="",$A273&gt;$B$9),"",IF(COUNTIFS(BD!$B$3:$B$5001,C$243,BD!$A$3:$A$5001,"&gt;="&amp;$C$7,BD!$A$3:$A$5001,"&lt;="&amp;$B273,BD!$Z$3:$Z$5001,"&lt;&gt;")=0,"",SUMIFS(BD!$Z$3:$Z$5001,BD!$B$3:$B$5001,C$243,BD!$A$3:$A$5001,_xlfn.MAXIFS(BD!$A$3:$A$5001,BD!$B$3:$B$5001,C$243,BD!$A$3:$A$5001,"&gt;="&amp;$C$7,BD!$A$3:$A$5001,"&lt;="&amp;$B273,BD!$Z$3:$Z$5001,"&lt;&gt;"))))</f>
        <v/>
      </c>
      <c r="D273" s="42" t="str">
        <f>IF(OR($B273="",$A273&gt;$B$9),"",IF(COUNTIFS(BD!$B$3:$B$5001,D$243,BD!$A$3:$A$5001,"&gt;="&amp;$C$7,BD!$A$3:$A$5001,"&lt;="&amp;$B273,BD!$Z$3:$Z$5001,"&lt;&gt;")=0,"",SUMIFS(BD!$Z$3:$Z$5001,BD!$B$3:$B$5001,D$243,BD!$A$3:$A$5001,_xlfn.MAXIFS(BD!$A$3:$A$5001,BD!$B$3:$B$5001,D$243,BD!$A$3:$A$5001,"&gt;="&amp;$C$7,BD!$A$3:$A$5001,"&lt;="&amp;$B273,BD!$Z$3:$Z$5001,"&lt;&gt;"))))</f>
        <v/>
      </c>
      <c r="E273" s="42" t="str">
        <f>IF(OR($B273="",$A273&gt;$B$9),"",IF(COUNTIFS(BD!$B$3:$B$5001,E$243,BD!$A$3:$A$5001,"&gt;="&amp;$C$7,BD!$A$3:$A$5001,"&lt;="&amp;$B273,BD!$Z$3:$Z$5001,"&lt;&gt;")=0,"",SUMIFS(BD!$Z$3:$Z$5001,BD!$B$3:$B$5001,E$243,BD!$A$3:$A$5001,_xlfn.MAXIFS(BD!$A$3:$A$5001,BD!$B$3:$B$5001,E$243,BD!$A$3:$A$5001,"&gt;="&amp;$C$7,BD!$A$3:$A$5001,"&lt;="&amp;$B273,BD!$Z$3:$Z$5001,"&lt;&gt;"))))</f>
        <v/>
      </c>
      <c r="F273" s="42" t="str">
        <f>IF(OR($B273="",$A273&gt;$B$9),"",IF(COUNTIFS(BD!$B$3:$B$5001,F$243,BD!$A$3:$A$5001,"&gt;="&amp;$C$7,BD!$A$3:$A$5001,"&lt;="&amp;$B273,BD!$Z$3:$Z$5001,"&lt;&gt;")=0,"",SUMIFS(BD!$Z$3:$Z$5001,BD!$B$3:$B$5001,F$243,BD!$A$3:$A$5001,_xlfn.MAXIFS(BD!$A$3:$A$5001,BD!$B$3:$B$5001,F$243,BD!$A$3:$A$5001,"&gt;="&amp;$C$7,BD!$A$3:$A$5001,"&lt;="&amp;$B273,BD!$Z$3:$Z$5001,"&lt;&gt;"))))</f>
        <v/>
      </c>
      <c r="G273" s="42" t="str">
        <f>IF(OR($B273="",$A273&gt;$B$9),"",IF(COUNTIFS(BD!$B$3:$B$5001,G$243,BD!$A$3:$A$5001,"&gt;="&amp;$C$7,BD!$A$3:$A$5001,"&lt;="&amp;$B273,BD!$Z$3:$Z$5001,"&lt;&gt;")=0,"",SUMIFS(BD!$Z$3:$Z$5001,BD!$B$3:$B$5001,G$243,BD!$A$3:$A$5001,_xlfn.MAXIFS(BD!$A$3:$A$5001,BD!$B$3:$B$5001,G$243,BD!$A$3:$A$5001,"&gt;="&amp;$C$7,BD!$A$3:$A$5001,"&lt;="&amp;$B273,BD!$Z$3:$Z$5001,"&lt;&gt;"))))</f>
        <v/>
      </c>
      <c r="H273" s="42" t="str">
        <f>IF(OR($B273="",$A273&gt;$B$9),"",IF(COUNTIFS(BD!$B$3:$B$5001,H$243,BD!$A$3:$A$5001,"&gt;="&amp;$C$7,BD!$A$3:$A$5001,"&lt;="&amp;$B273,BD!$Z$3:$Z$5001,"&lt;&gt;")=0,"",SUMIFS(BD!$Z$3:$Z$5001,BD!$B$3:$B$5001,H$243,BD!$A$3:$A$5001,_xlfn.MAXIFS(BD!$A$3:$A$5001,BD!$B$3:$B$5001,H$243,BD!$A$3:$A$5001,"&gt;="&amp;$C$7,BD!$A$3:$A$5001,"&lt;="&amp;$B273,BD!$Z$3:$Z$5001,"&lt;&gt;"))))</f>
        <v/>
      </c>
      <c r="I273" s="42" t="str">
        <f>IF(OR($B273="",$A273&gt;$B$9),"",IF(COUNTIFS(BD!$B$3:$B$5001,I$243,BD!$A$3:$A$5001,"&gt;="&amp;$C$7,BD!$A$3:$A$5001,"&lt;="&amp;$B273,BD!$Z$3:$Z$5001,"&lt;&gt;")=0,"",SUMIFS(BD!$Z$3:$Z$5001,BD!$B$3:$B$5001,I$243,BD!$A$3:$A$5001,_xlfn.MAXIFS(BD!$A$3:$A$5001,BD!$B$3:$B$5001,I$243,BD!$A$3:$A$5001,"&gt;="&amp;$C$7,BD!$A$3:$A$5001,"&lt;="&amp;$B273,BD!$Z$3:$Z$5001,"&lt;&gt;"))))</f>
        <v/>
      </c>
      <c r="J273" s="42" t="str">
        <f>IF(OR($B273="",$A273&gt;$B$9),"",IF(COUNTIFS(BD!$B$3:$B$5001,J$243,BD!$A$3:$A$5001,"&gt;="&amp;$C$7,BD!$A$3:$A$5001,"&lt;="&amp;$B273,BD!$Z$3:$Z$5001,"&lt;&gt;")=0,"",SUMIFS(BD!$Z$3:$Z$5001,BD!$B$3:$B$5001,J$243,BD!$A$3:$A$5001,_xlfn.MAXIFS(BD!$A$3:$A$5001,BD!$B$3:$B$5001,J$243,BD!$A$3:$A$5001,"&gt;="&amp;$C$7,BD!$A$3:$A$5001,"&lt;="&amp;$B273,BD!$Z$3:$Z$5001,"&lt;&gt;"))))</f>
        <v/>
      </c>
      <c r="K273" s="42" t="str">
        <f>IF(OR($B273="",$A273&gt;$B$9),"",IF(COUNTIFS(BD!$B$3:$B$5001,K$243,BD!$A$3:$A$5001,"&gt;="&amp;$C$7,BD!$A$3:$A$5001,"&lt;="&amp;$B273,BD!$Z$3:$Z$5001,"&lt;&gt;")=0,"",SUMIFS(BD!$Z$3:$Z$5001,BD!$B$3:$B$5001,K$243,BD!$A$3:$A$5001,_xlfn.MAXIFS(BD!$A$3:$A$5001,BD!$B$3:$B$5001,K$243,BD!$A$3:$A$5001,"&gt;="&amp;$C$7,BD!$A$3:$A$5001,"&lt;="&amp;$B273,BD!$Z$3:$Z$5001,"&lt;&gt;"))))</f>
        <v/>
      </c>
    </row>
    <row r="274">
      <c r="A274" s="40">
        <v>31</v>
      </c>
      <c r="B274" s="41">
        <f>$B$42</f>
        <v>46326</v>
      </c>
      <c r="C274" s="42" t="str">
        <f>IF(OR($B274="",$A274&gt;$B$9),"",IF(COUNTIFS(BD!$B$3:$B$5001,C$243,BD!$A$3:$A$5001,"&gt;="&amp;$C$7,BD!$A$3:$A$5001,"&lt;="&amp;$B274,BD!$Z$3:$Z$5001,"&lt;&gt;")=0,"",SUMIFS(BD!$Z$3:$Z$5001,BD!$B$3:$B$5001,C$243,BD!$A$3:$A$5001,_xlfn.MAXIFS(BD!$A$3:$A$5001,BD!$B$3:$B$5001,C$243,BD!$A$3:$A$5001,"&gt;="&amp;$C$7,BD!$A$3:$A$5001,"&lt;="&amp;$B274,BD!$Z$3:$Z$5001,"&lt;&gt;"))))</f>
        <v/>
      </c>
      <c r="D274" s="42" t="str">
        <f>IF(OR($B274="",$A274&gt;$B$9),"",IF(COUNTIFS(BD!$B$3:$B$5001,D$243,BD!$A$3:$A$5001,"&gt;="&amp;$C$7,BD!$A$3:$A$5001,"&lt;="&amp;$B274,BD!$Z$3:$Z$5001,"&lt;&gt;")=0,"",SUMIFS(BD!$Z$3:$Z$5001,BD!$B$3:$B$5001,D$243,BD!$A$3:$A$5001,_xlfn.MAXIFS(BD!$A$3:$A$5001,BD!$B$3:$B$5001,D$243,BD!$A$3:$A$5001,"&gt;="&amp;$C$7,BD!$A$3:$A$5001,"&lt;="&amp;$B274,BD!$Z$3:$Z$5001,"&lt;&gt;"))))</f>
        <v/>
      </c>
      <c r="E274" s="42" t="str">
        <f>IF(OR($B274="",$A274&gt;$B$9),"",IF(COUNTIFS(BD!$B$3:$B$5001,E$243,BD!$A$3:$A$5001,"&gt;="&amp;$C$7,BD!$A$3:$A$5001,"&lt;="&amp;$B274,BD!$Z$3:$Z$5001,"&lt;&gt;")=0,"",SUMIFS(BD!$Z$3:$Z$5001,BD!$B$3:$B$5001,E$243,BD!$A$3:$A$5001,_xlfn.MAXIFS(BD!$A$3:$A$5001,BD!$B$3:$B$5001,E$243,BD!$A$3:$A$5001,"&gt;="&amp;$C$7,BD!$A$3:$A$5001,"&lt;="&amp;$B274,BD!$Z$3:$Z$5001,"&lt;&gt;"))))</f>
        <v/>
      </c>
      <c r="F274" s="42" t="str">
        <f>IF(OR($B274="",$A274&gt;$B$9),"",IF(COUNTIFS(BD!$B$3:$B$5001,F$243,BD!$A$3:$A$5001,"&gt;="&amp;$C$7,BD!$A$3:$A$5001,"&lt;="&amp;$B274,BD!$Z$3:$Z$5001,"&lt;&gt;")=0,"",SUMIFS(BD!$Z$3:$Z$5001,BD!$B$3:$B$5001,F$243,BD!$A$3:$A$5001,_xlfn.MAXIFS(BD!$A$3:$A$5001,BD!$B$3:$B$5001,F$243,BD!$A$3:$A$5001,"&gt;="&amp;$C$7,BD!$A$3:$A$5001,"&lt;="&amp;$B274,BD!$Z$3:$Z$5001,"&lt;&gt;"))))</f>
        <v/>
      </c>
      <c r="G274" s="42" t="str">
        <f>IF(OR($B274="",$A274&gt;$B$9),"",IF(COUNTIFS(BD!$B$3:$B$5001,G$243,BD!$A$3:$A$5001,"&gt;="&amp;$C$7,BD!$A$3:$A$5001,"&lt;="&amp;$B274,BD!$Z$3:$Z$5001,"&lt;&gt;")=0,"",SUMIFS(BD!$Z$3:$Z$5001,BD!$B$3:$B$5001,G$243,BD!$A$3:$A$5001,_xlfn.MAXIFS(BD!$A$3:$A$5001,BD!$B$3:$B$5001,G$243,BD!$A$3:$A$5001,"&gt;="&amp;$C$7,BD!$A$3:$A$5001,"&lt;="&amp;$B274,BD!$Z$3:$Z$5001,"&lt;&gt;"))))</f>
        <v/>
      </c>
      <c r="H274" s="42" t="str">
        <f>IF(OR($B274="",$A274&gt;$B$9),"",IF(COUNTIFS(BD!$B$3:$B$5001,H$243,BD!$A$3:$A$5001,"&gt;="&amp;$C$7,BD!$A$3:$A$5001,"&lt;="&amp;$B274,BD!$Z$3:$Z$5001,"&lt;&gt;")=0,"",SUMIFS(BD!$Z$3:$Z$5001,BD!$B$3:$B$5001,H$243,BD!$A$3:$A$5001,_xlfn.MAXIFS(BD!$A$3:$A$5001,BD!$B$3:$B$5001,H$243,BD!$A$3:$A$5001,"&gt;="&amp;$C$7,BD!$A$3:$A$5001,"&lt;="&amp;$B274,BD!$Z$3:$Z$5001,"&lt;&gt;"))))</f>
        <v/>
      </c>
      <c r="I274" s="42" t="str">
        <f>IF(OR($B274="",$A274&gt;$B$9),"",IF(COUNTIFS(BD!$B$3:$B$5001,I$243,BD!$A$3:$A$5001,"&gt;="&amp;$C$7,BD!$A$3:$A$5001,"&lt;="&amp;$B274,BD!$Z$3:$Z$5001,"&lt;&gt;")=0,"",SUMIFS(BD!$Z$3:$Z$5001,BD!$B$3:$B$5001,I$243,BD!$A$3:$A$5001,_xlfn.MAXIFS(BD!$A$3:$A$5001,BD!$B$3:$B$5001,I$243,BD!$A$3:$A$5001,"&gt;="&amp;$C$7,BD!$A$3:$A$5001,"&lt;="&amp;$B274,BD!$Z$3:$Z$5001,"&lt;&gt;"))))</f>
        <v/>
      </c>
      <c r="J274" s="42" t="str">
        <f>IF(OR($B274="",$A274&gt;$B$9),"",IF(COUNTIFS(BD!$B$3:$B$5001,J$243,BD!$A$3:$A$5001,"&gt;="&amp;$C$7,BD!$A$3:$A$5001,"&lt;="&amp;$B274,BD!$Z$3:$Z$5001,"&lt;&gt;")=0,"",SUMIFS(BD!$Z$3:$Z$5001,BD!$B$3:$B$5001,J$243,BD!$A$3:$A$5001,_xlfn.MAXIFS(BD!$A$3:$A$5001,BD!$B$3:$B$5001,J$243,BD!$A$3:$A$5001,"&gt;="&amp;$C$7,BD!$A$3:$A$5001,"&lt;="&amp;$B274,BD!$Z$3:$Z$5001,"&lt;&gt;"))))</f>
        <v/>
      </c>
      <c r="K274" s="42" t="str">
        <f>IF(OR($B274="",$A274&gt;$B$9),"",IF(COUNTIFS(BD!$B$3:$B$5001,K$243,BD!$A$3:$A$5001,"&gt;="&amp;$C$7,BD!$A$3:$A$5001,"&lt;="&amp;$B274,BD!$Z$3:$Z$5001,"&lt;&gt;")=0,"",SUMIFS(BD!$Z$3:$Z$5001,BD!$B$3:$B$5001,K$243,BD!$A$3:$A$5001,_xlfn.MAXIFS(BD!$A$3:$A$5001,BD!$B$3:$B$5001,K$243,BD!$A$3:$A$5001,"&gt;="&amp;$C$7,BD!$A$3:$A$5001,"&lt;="&amp;$B274,BD!$Z$3:$Z$5001,"&lt;&gt;"))))</f>
        <v/>
      </c>
    </row>
    <row r="275">
      <c r="A275" s="43" t="inlineStr">
        <is>
          <t xml:space="preserve">Mês anterior (último)</t>
        </is>
      </c>
      <c r="C275" s="44" t="str">
        <f>IF(COUNTIFS(BD!$B$3:$B$5001,C$243,BD!$A$3:$A$5001,"&gt;="&amp;$C$8,BD!$A$3:$A$5001,"&lt;="&amp;$D$8,BD!$Z$3:$Z$5001,"&lt;&gt;")=0,"",SUMIFS(BD!$Z$3:$Z$5001,BD!$B$3:$B$5001,C$243,BD!$A$3:$A$5001,_xlfn.MAXIFS(BD!$A$3:$A$5001,BD!$B$3:$B$5001,C$243,BD!$A$3:$A$5001,"&gt;="&amp;$C$8,BD!$A$3:$A$5001,"&lt;="&amp;$D$8,BD!$Z$3:$Z$5001,"&lt;&gt;")))</f>
        <v/>
      </c>
      <c r="D275" s="44" t="str">
        <f>IF(COUNTIFS(BD!$B$3:$B$5001,D$243,BD!$A$3:$A$5001,"&gt;="&amp;$C$8,BD!$A$3:$A$5001,"&lt;="&amp;$D$8,BD!$Z$3:$Z$5001,"&lt;&gt;")=0,"",SUMIFS(BD!$Z$3:$Z$5001,BD!$B$3:$B$5001,D$243,BD!$A$3:$A$5001,_xlfn.MAXIFS(BD!$A$3:$A$5001,BD!$B$3:$B$5001,D$243,BD!$A$3:$A$5001,"&gt;="&amp;$C$8,BD!$A$3:$A$5001,"&lt;="&amp;$D$8,BD!$Z$3:$Z$5001,"&lt;&gt;")))</f>
        <v/>
      </c>
      <c r="E275" s="44" t="str">
        <f>IF(COUNTIFS(BD!$B$3:$B$5001,E$243,BD!$A$3:$A$5001,"&gt;="&amp;$C$8,BD!$A$3:$A$5001,"&lt;="&amp;$D$8,BD!$Z$3:$Z$5001,"&lt;&gt;")=0,"",SUMIFS(BD!$Z$3:$Z$5001,BD!$B$3:$B$5001,E$243,BD!$A$3:$A$5001,_xlfn.MAXIFS(BD!$A$3:$A$5001,BD!$B$3:$B$5001,E$243,BD!$A$3:$A$5001,"&gt;="&amp;$C$8,BD!$A$3:$A$5001,"&lt;="&amp;$D$8,BD!$Z$3:$Z$5001,"&lt;&gt;")))</f>
        <v/>
      </c>
      <c r="F275" s="44" t="str">
        <f>IF(COUNTIFS(BD!$B$3:$B$5001,F$243,BD!$A$3:$A$5001,"&gt;="&amp;$C$8,BD!$A$3:$A$5001,"&lt;="&amp;$D$8,BD!$Z$3:$Z$5001,"&lt;&gt;")=0,"",SUMIFS(BD!$Z$3:$Z$5001,BD!$B$3:$B$5001,F$243,BD!$A$3:$A$5001,_xlfn.MAXIFS(BD!$A$3:$A$5001,BD!$B$3:$B$5001,F$243,BD!$A$3:$A$5001,"&gt;="&amp;$C$8,BD!$A$3:$A$5001,"&lt;="&amp;$D$8,BD!$Z$3:$Z$5001,"&lt;&gt;")))</f>
        <v/>
      </c>
      <c r="G275" s="44" t="str">
        <f>IF(COUNTIFS(BD!$B$3:$B$5001,G$243,BD!$A$3:$A$5001,"&gt;="&amp;$C$8,BD!$A$3:$A$5001,"&lt;="&amp;$D$8,BD!$Z$3:$Z$5001,"&lt;&gt;")=0,"",SUMIFS(BD!$Z$3:$Z$5001,BD!$B$3:$B$5001,G$243,BD!$A$3:$A$5001,_xlfn.MAXIFS(BD!$A$3:$A$5001,BD!$B$3:$B$5001,G$243,BD!$A$3:$A$5001,"&gt;="&amp;$C$8,BD!$A$3:$A$5001,"&lt;="&amp;$D$8,BD!$Z$3:$Z$5001,"&lt;&gt;")))</f>
        <v/>
      </c>
      <c r="H275" s="44" t="str">
        <f>IF(COUNTIFS(BD!$B$3:$B$5001,H$243,BD!$A$3:$A$5001,"&gt;="&amp;$C$8,BD!$A$3:$A$5001,"&lt;="&amp;$D$8,BD!$Z$3:$Z$5001,"&lt;&gt;")=0,"",SUMIFS(BD!$Z$3:$Z$5001,BD!$B$3:$B$5001,H$243,BD!$A$3:$A$5001,_xlfn.MAXIFS(BD!$A$3:$A$5001,BD!$B$3:$B$5001,H$243,BD!$A$3:$A$5001,"&gt;="&amp;$C$8,BD!$A$3:$A$5001,"&lt;="&amp;$D$8,BD!$Z$3:$Z$5001,"&lt;&gt;")))</f>
        <v/>
      </c>
      <c r="I275" s="44" t="str">
        <f>IF(COUNTIFS(BD!$B$3:$B$5001,I$243,BD!$A$3:$A$5001,"&gt;="&amp;$C$8,BD!$A$3:$A$5001,"&lt;="&amp;$D$8,BD!$Z$3:$Z$5001,"&lt;&gt;")=0,"",SUMIFS(BD!$Z$3:$Z$5001,BD!$B$3:$B$5001,I$243,BD!$A$3:$A$5001,_xlfn.MAXIFS(BD!$A$3:$A$5001,BD!$B$3:$B$5001,I$243,BD!$A$3:$A$5001,"&gt;="&amp;$C$8,BD!$A$3:$A$5001,"&lt;="&amp;$D$8,BD!$Z$3:$Z$5001,"&lt;&gt;")))</f>
        <v/>
      </c>
      <c r="J275" s="44" t="str">
        <f>IF(COUNTIFS(BD!$B$3:$B$5001,J$243,BD!$A$3:$A$5001,"&gt;="&amp;$C$8,BD!$A$3:$A$5001,"&lt;="&amp;$D$8,BD!$Z$3:$Z$5001,"&lt;&gt;")=0,"",SUMIFS(BD!$Z$3:$Z$5001,BD!$B$3:$B$5001,J$243,BD!$A$3:$A$5001,_xlfn.MAXIFS(BD!$A$3:$A$5001,BD!$B$3:$B$5001,J$243,BD!$A$3:$A$5001,"&gt;="&amp;$C$8,BD!$A$3:$A$5001,"&lt;="&amp;$D$8,BD!$Z$3:$Z$5001,"&lt;&gt;")))</f>
        <v/>
      </c>
      <c r="K275" s="44" t="str">
        <f>IF(COUNTIFS(BD!$B$3:$B$5001,K$243,BD!$A$3:$A$5001,"&gt;="&amp;$C$8,BD!$A$3:$A$5001,"&lt;="&amp;$D$8,BD!$Z$3:$Z$5001,"&lt;&gt;")=0,"",SUMIFS(BD!$Z$3:$Z$5001,BD!$B$3:$B$5001,K$243,BD!$A$3:$A$5001,_xlfn.MAXIFS(BD!$A$3:$A$5001,BD!$B$3:$B$5001,K$243,BD!$A$3:$A$5001,"&gt;="&amp;$C$8,BD!$A$3:$A$5001,"&lt;="&amp;$D$8,BD!$Z$3:$Z$5001,"&lt;&gt;")))</f>
        <v/>
      </c>
    </row>
    <row r="276">
      <c r="A276" s="43" t="inlineStr">
        <is>
          <t xml:space="preserve">Depósito</t>
        </is>
      </c>
      <c r="C276" s="40" t="inlineStr">
        <is>
          <t xml:space="preserve">TPC</t>
        </is>
      </c>
      <c r="D276" s="40" t="inlineStr">
        <is>
          <t xml:space="preserve">TPC</t>
        </is>
      </c>
      <c r="E276" s="40" t="inlineStr">
        <is>
          <t xml:space="preserve">TPC</t>
        </is>
      </c>
      <c r="F276" s="40" t="inlineStr">
        <is>
          <t xml:space="preserve">TPC</t>
        </is>
      </c>
      <c r="G276" s="40" t="inlineStr">
        <is>
          <t xml:space="preserve">TPC</t>
        </is>
      </c>
      <c r="H276" s="40" t="inlineStr">
        <is>
          <t xml:space="preserve">TPC</t>
        </is>
      </c>
      <c r="I276" s="40" t="inlineStr">
        <is>
          <t xml:space="preserve">TPC</t>
        </is>
      </c>
      <c r="J276" s="40" t="inlineStr">
        <is>
          <t xml:space="preserve">TPC</t>
        </is>
      </c>
      <c r="K276" s="40" t="inlineStr">
        <is>
          <t xml:space="preserve">TPC</t>
        </is>
      </c>
    </row>
    <row r="280">
      <c r="A280" s="19" t="inlineStr">
        <is>
          <t xml:space="preserve">PERÍODO DO DASHBOARD — último valor de cada cliente no período (backlog, posições, efetivo)</t>
        </is>
      </c>
    </row>
    <row r="281" ht="30" customHeight="1">
      <c r="A281" s="37" t="inlineStr">
        <is>
          <t xml:space="preserve">Cliente</t>
        </is>
      </c>
      <c r="B281" s="37" t="inlineStr">
        <is>
          <t xml:space="preserve">Depósito</t>
        </is>
      </c>
      <c r="C281" s="37" t="inlineStr">
        <is>
          <t xml:space="preserve">Backlog · período</t>
        </is>
      </c>
      <c r="D281" s="37" t="inlineStr">
        <is>
          <t xml:space="preserve">Backlog · anterior</t>
        </is>
      </c>
      <c r="E281" s="37" t="inlineStr">
        <is>
          <t xml:space="preserve">Posições Ocupadas · período</t>
        </is>
      </c>
      <c r="F281" s="37" t="inlineStr">
        <is>
          <t xml:space="preserve">Posições Ocupadas · anterior</t>
        </is>
      </c>
      <c r="G281" s="37" t="inlineStr">
        <is>
          <t xml:space="preserve">Posições Disponíveis · período</t>
        </is>
      </c>
      <c r="H281" s="37" t="inlineStr">
        <is>
          <t xml:space="preserve">Posições Disponíveis · anterior</t>
        </is>
      </c>
      <c r="I281" s="37" t="inlineStr">
        <is>
          <t xml:space="preserve">Efetivo Op. · período</t>
        </is>
      </c>
      <c r="J281" s="37" t="inlineStr">
        <is>
          <t xml:space="preserve">Efetivo Op. · anterior</t>
        </is>
      </c>
    </row>
    <row r="282">
      <c r="A282" s="64" t="inlineStr">
        <is>
          <t xml:space="preserve">Alpargatas</t>
        </is>
      </c>
      <c r="B282" s="40" t="inlineStr">
        <is>
          <t xml:space="preserve">TPC</t>
        </is>
      </c>
      <c r="C282" s="42" t="str">
        <f>IF(COUNTIFS(BD!$B$3:$B$5001,$A282,BD!$A$3:$A$5001,"&gt;="&amp;$F$7,BD!$A$3:$A$5001,"&lt;="&amp;$G$7,BD!$W$3:$W$5001,"&lt;&gt;")=0,"",SUMIFS(BD!$W$3:$W$5001,BD!$B$3:$B$5001,$A282,BD!$A$3:$A$5001,_xlfn.MAXIFS(BD!$A$3:$A$5001,BD!$B$3:$B$5001,$A282,BD!$A$3:$A$5001,"&gt;="&amp;$F$7,BD!$A$3:$A$5001,"&lt;="&amp;$G$7,BD!$W$3:$W$5001,"&lt;&gt;")))</f>
        <v/>
      </c>
      <c r="D282" s="42" t="str">
        <f>IF(COUNTIFS(BD!$B$3:$B$5001,$A282,BD!$A$3:$A$5001,"&gt;="&amp;$F$8,BD!$A$3:$A$5001,"&lt;="&amp;$G$8,BD!$W$3:$W$5001,"&lt;&gt;")=0,"",SUMIFS(BD!$W$3:$W$5001,BD!$B$3:$B$5001,$A282,BD!$A$3:$A$5001,_xlfn.MAXIFS(BD!$A$3:$A$5001,BD!$B$3:$B$5001,$A282,BD!$A$3:$A$5001,"&gt;="&amp;$F$8,BD!$A$3:$A$5001,"&lt;="&amp;$G$8,BD!$W$3:$W$5001,"&lt;&gt;")))</f>
        <v/>
      </c>
      <c r="E282" s="42" t="str">
        <f>IF(COUNTIFS(BD!$B$3:$B$5001,$A282,BD!$A$3:$A$5001,"&gt;="&amp;$F$7,BD!$A$3:$A$5001,"&lt;="&amp;$G$7,BD!$Y$3:$Y$5001,"&lt;&gt;")=0,"",SUMIFS(BD!$Y$3:$Y$5001,BD!$B$3:$B$5001,$A282,BD!$A$3:$A$5001,_xlfn.MAXIFS(BD!$A$3:$A$5001,BD!$B$3:$B$5001,$A282,BD!$A$3:$A$5001,"&gt;="&amp;$F$7,BD!$A$3:$A$5001,"&lt;="&amp;$G$7,BD!$Y$3:$Y$5001,"&lt;&gt;")))</f>
        <v/>
      </c>
      <c r="F282" s="42" t="str">
        <f>IF(COUNTIFS(BD!$B$3:$B$5001,$A282,BD!$A$3:$A$5001,"&gt;="&amp;$F$8,BD!$A$3:$A$5001,"&lt;="&amp;$G$8,BD!$Y$3:$Y$5001,"&lt;&gt;")=0,"",SUMIFS(BD!$Y$3:$Y$5001,BD!$B$3:$B$5001,$A282,BD!$A$3:$A$5001,_xlfn.MAXIFS(BD!$A$3:$A$5001,BD!$B$3:$B$5001,$A282,BD!$A$3:$A$5001,"&gt;="&amp;$F$8,BD!$A$3:$A$5001,"&lt;="&amp;$G$8,BD!$Y$3:$Y$5001,"&lt;&gt;")))</f>
        <v/>
      </c>
      <c r="G282" s="42" t="str">
        <f>IF(COUNTIFS(BD!$B$3:$B$5001,$A282,BD!$A$3:$A$5001,"&gt;="&amp;$F$7,BD!$A$3:$A$5001,"&lt;="&amp;$G$7,BD!$X$3:$X$5001,"&lt;&gt;")=0,"",SUMIFS(BD!$X$3:$X$5001,BD!$B$3:$B$5001,$A282,BD!$A$3:$A$5001,_xlfn.MAXIFS(BD!$A$3:$A$5001,BD!$B$3:$B$5001,$A282,BD!$A$3:$A$5001,"&gt;="&amp;$F$7,BD!$A$3:$A$5001,"&lt;="&amp;$G$7,BD!$X$3:$X$5001,"&lt;&gt;")))</f>
        <v/>
      </c>
      <c r="H282" s="42" t="str">
        <f>IF(COUNTIFS(BD!$B$3:$B$5001,$A282,BD!$A$3:$A$5001,"&gt;="&amp;$F$8,BD!$A$3:$A$5001,"&lt;="&amp;$G$8,BD!$X$3:$X$5001,"&lt;&gt;")=0,"",SUMIFS(BD!$X$3:$X$5001,BD!$B$3:$B$5001,$A282,BD!$A$3:$A$5001,_xlfn.MAXIFS(BD!$A$3:$A$5001,BD!$B$3:$B$5001,$A282,BD!$A$3:$A$5001,"&gt;="&amp;$F$8,BD!$A$3:$A$5001,"&lt;="&amp;$G$8,BD!$X$3:$X$5001,"&lt;&gt;")))</f>
        <v/>
      </c>
      <c r="I282" s="42" t="str">
        <f>IF(COUNTIFS(BD!$B$3:$B$5001,$A282,BD!$A$3:$A$5001,"&gt;="&amp;$F$7,BD!$A$3:$A$5001,"&lt;="&amp;$G$7,BD!$Z$3:$Z$5001,"&lt;&gt;")=0,"",SUMIFS(BD!$Z$3:$Z$5001,BD!$B$3:$B$5001,$A282,BD!$A$3:$A$5001,_xlfn.MAXIFS(BD!$A$3:$A$5001,BD!$B$3:$B$5001,$A282,BD!$A$3:$A$5001,"&gt;="&amp;$F$7,BD!$A$3:$A$5001,"&lt;="&amp;$G$7,BD!$Z$3:$Z$5001,"&lt;&gt;")))</f>
        <v/>
      </c>
      <c r="J282" s="42" t="str">
        <f>IF(COUNTIFS(BD!$B$3:$B$5001,$A282,BD!$A$3:$A$5001,"&gt;="&amp;$F$8,BD!$A$3:$A$5001,"&lt;="&amp;$G$8,BD!$Z$3:$Z$5001,"&lt;&gt;")=0,"",SUMIFS(BD!$Z$3:$Z$5001,BD!$B$3:$B$5001,$A282,BD!$A$3:$A$5001,_xlfn.MAXIFS(BD!$A$3:$A$5001,BD!$B$3:$B$5001,$A282,BD!$A$3:$A$5001,"&gt;="&amp;$F$8,BD!$A$3:$A$5001,"&lt;="&amp;$G$8,BD!$Z$3:$Z$5001,"&lt;&gt;")))</f>
        <v/>
      </c>
    </row>
    <row r="283">
      <c r="A283" s="64" t="inlineStr">
        <is>
          <t xml:space="preserve">Basf</t>
        </is>
      </c>
      <c r="B283" s="40" t="inlineStr">
        <is>
          <t xml:space="preserve">TPC</t>
        </is>
      </c>
      <c r="C283" s="42" t="str">
        <f>IF(COUNTIFS(BD!$B$3:$B$5001,$A283,BD!$A$3:$A$5001,"&gt;="&amp;$F$7,BD!$A$3:$A$5001,"&lt;="&amp;$G$7,BD!$W$3:$W$5001,"&lt;&gt;")=0,"",SUMIFS(BD!$W$3:$W$5001,BD!$B$3:$B$5001,$A283,BD!$A$3:$A$5001,_xlfn.MAXIFS(BD!$A$3:$A$5001,BD!$B$3:$B$5001,$A283,BD!$A$3:$A$5001,"&gt;="&amp;$F$7,BD!$A$3:$A$5001,"&lt;="&amp;$G$7,BD!$W$3:$W$5001,"&lt;&gt;")))</f>
        <v/>
      </c>
      <c r="D283" s="42" t="str">
        <f>IF(COUNTIFS(BD!$B$3:$B$5001,$A283,BD!$A$3:$A$5001,"&gt;="&amp;$F$8,BD!$A$3:$A$5001,"&lt;="&amp;$G$8,BD!$W$3:$W$5001,"&lt;&gt;")=0,"",SUMIFS(BD!$W$3:$W$5001,BD!$B$3:$B$5001,$A283,BD!$A$3:$A$5001,_xlfn.MAXIFS(BD!$A$3:$A$5001,BD!$B$3:$B$5001,$A283,BD!$A$3:$A$5001,"&gt;="&amp;$F$8,BD!$A$3:$A$5001,"&lt;="&amp;$G$8,BD!$W$3:$W$5001,"&lt;&gt;")))</f>
        <v/>
      </c>
      <c r="E283" s="42" t="str">
        <f>IF(COUNTIFS(BD!$B$3:$B$5001,$A283,BD!$A$3:$A$5001,"&gt;="&amp;$F$7,BD!$A$3:$A$5001,"&lt;="&amp;$G$7,BD!$Y$3:$Y$5001,"&lt;&gt;")=0,"",SUMIFS(BD!$Y$3:$Y$5001,BD!$B$3:$B$5001,$A283,BD!$A$3:$A$5001,_xlfn.MAXIFS(BD!$A$3:$A$5001,BD!$B$3:$B$5001,$A283,BD!$A$3:$A$5001,"&gt;="&amp;$F$7,BD!$A$3:$A$5001,"&lt;="&amp;$G$7,BD!$Y$3:$Y$5001,"&lt;&gt;")))</f>
        <v/>
      </c>
      <c r="F283" s="42" t="str">
        <f>IF(COUNTIFS(BD!$B$3:$B$5001,$A283,BD!$A$3:$A$5001,"&gt;="&amp;$F$8,BD!$A$3:$A$5001,"&lt;="&amp;$G$8,BD!$Y$3:$Y$5001,"&lt;&gt;")=0,"",SUMIFS(BD!$Y$3:$Y$5001,BD!$B$3:$B$5001,$A283,BD!$A$3:$A$5001,_xlfn.MAXIFS(BD!$A$3:$A$5001,BD!$B$3:$B$5001,$A283,BD!$A$3:$A$5001,"&gt;="&amp;$F$8,BD!$A$3:$A$5001,"&lt;="&amp;$G$8,BD!$Y$3:$Y$5001,"&lt;&gt;")))</f>
        <v/>
      </c>
      <c r="G283" s="42" t="str">
        <f>IF(COUNTIFS(BD!$B$3:$B$5001,$A283,BD!$A$3:$A$5001,"&gt;="&amp;$F$7,BD!$A$3:$A$5001,"&lt;="&amp;$G$7,BD!$X$3:$X$5001,"&lt;&gt;")=0,"",SUMIFS(BD!$X$3:$X$5001,BD!$B$3:$B$5001,$A283,BD!$A$3:$A$5001,_xlfn.MAXIFS(BD!$A$3:$A$5001,BD!$B$3:$B$5001,$A283,BD!$A$3:$A$5001,"&gt;="&amp;$F$7,BD!$A$3:$A$5001,"&lt;="&amp;$G$7,BD!$X$3:$X$5001,"&lt;&gt;")))</f>
        <v/>
      </c>
      <c r="H283" s="42" t="str">
        <f>IF(COUNTIFS(BD!$B$3:$B$5001,$A283,BD!$A$3:$A$5001,"&gt;="&amp;$F$8,BD!$A$3:$A$5001,"&lt;="&amp;$G$8,BD!$X$3:$X$5001,"&lt;&gt;")=0,"",SUMIFS(BD!$X$3:$X$5001,BD!$B$3:$B$5001,$A283,BD!$A$3:$A$5001,_xlfn.MAXIFS(BD!$A$3:$A$5001,BD!$B$3:$B$5001,$A283,BD!$A$3:$A$5001,"&gt;="&amp;$F$8,BD!$A$3:$A$5001,"&lt;="&amp;$G$8,BD!$X$3:$X$5001,"&lt;&gt;")))</f>
        <v/>
      </c>
      <c r="I283" s="42" t="str">
        <f>IF(COUNTIFS(BD!$B$3:$B$5001,$A283,BD!$A$3:$A$5001,"&gt;="&amp;$F$7,BD!$A$3:$A$5001,"&lt;="&amp;$G$7,BD!$Z$3:$Z$5001,"&lt;&gt;")=0,"",SUMIFS(BD!$Z$3:$Z$5001,BD!$B$3:$B$5001,$A283,BD!$A$3:$A$5001,_xlfn.MAXIFS(BD!$A$3:$A$5001,BD!$B$3:$B$5001,$A283,BD!$A$3:$A$5001,"&gt;="&amp;$F$7,BD!$A$3:$A$5001,"&lt;="&amp;$G$7,BD!$Z$3:$Z$5001,"&lt;&gt;")))</f>
        <v/>
      </c>
      <c r="J283" s="42" t="str">
        <f>IF(COUNTIFS(BD!$B$3:$B$5001,$A283,BD!$A$3:$A$5001,"&gt;="&amp;$F$8,BD!$A$3:$A$5001,"&lt;="&amp;$G$8,BD!$Z$3:$Z$5001,"&lt;&gt;")=0,"",SUMIFS(BD!$Z$3:$Z$5001,BD!$B$3:$B$5001,$A283,BD!$A$3:$A$5001,_xlfn.MAXIFS(BD!$A$3:$A$5001,BD!$B$3:$B$5001,$A283,BD!$A$3:$A$5001,"&gt;="&amp;$F$8,BD!$A$3:$A$5001,"&lt;="&amp;$G$8,BD!$Z$3:$Z$5001,"&lt;&gt;")))</f>
        <v/>
      </c>
    </row>
    <row r="284">
      <c r="A284" s="64" t="inlineStr">
        <is>
          <t xml:space="preserve">Beautybiz</t>
        </is>
      </c>
      <c r="B284" s="40" t="inlineStr">
        <is>
          <t xml:space="preserve">TPC</t>
        </is>
      </c>
      <c r="C284" s="42" t="str">
        <f>IF(COUNTIFS(BD!$B$3:$B$5001,$A284,BD!$A$3:$A$5001,"&gt;="&amp;$F$7,BD!$A$3:$A$5001,"&lt;="&amp;$G$7,BD!$W$3:$W$5001,"&lt;&gt;")=0,"",SUMIFS(BD!$W$3:$W$5001,BD!$B$3:$B$5001,$A284,BD!$A$3:$A$5001,_xlfn.MAXIFS(BD!$A$3:$A$5001,BD!$B$3:$B$5001,$A284,BD!$A$3:$A$5001,"&gt;="&amp;$F$7,BD!$A$3:$A$5001,"&lt;="&amp;$G$7,BD!$W$3:$W$5001,"&lt;&gt;")))</f>
        <v/>
      </c>
      <c r="D284" s="42" t="str">
        <f>IF(COUNTIFS(BD!$B$3:$B$5001,$A284,BD!$A$3:$A$5001,"&gt;="&amp;$F$8,BD!$A$3:$A$5001,"&lt;="&amp;$G$8,BD!$W$3:$W$5001,"&lt;&gt;")=0,"",SUMIFS(BD!$W$3:$W$5001,BD!$B$3:$B$5001,$A284,BD!$A$3:$A$5001,_xlfn.MAXIFS(BD!$A$3:$A$5001,BD!$B$3:$B$5001,$A284,BD!$A$3:$A$5001,"&gt;="&amp;$F$8,BD!$A$3:$A$5001,"&lt;="&amp;$G$8,BD!$W$3:$W$5001,"&lt;&gt;")))</f>
        <v/>
      </c>
      <c r="E284" s="42" t="str">
        <f>IF(COUNTIFS(BD!$B$3:$B$5001,$A284,BD!$A$3:$A$5001,"&gt;="&amp;$F$7,BD!$A$3:$A$5001,"&lt;="&amp;$G$7,BD!$Y$3:$Y$5001,"&lt;&gt;")=0,"",SUMIFS(BD!$Y$3:$Y$5001,BD!$B$3:$B$5001,$A284,BD!$A$3:$A$5001,_xlfn.MAXIFS(BD!$A$3:$A$5001,BD!$B$3:$B$5001,$A284,BD!$A$3:$A$5001,"&gt;="&amp;$F$7,BD!$A$3:$A$5001,"&lt;="&amp;$G$7,BD!$Y$3:$Y$5001,"&lt;&gt;")))</f>
        <v/>
      </c>
      <c r="F284" s="42" t="str">
        <f>IF(COUNTIFS(BD!$B$3:$B$5001,$A284,BD!$A$3:$A$5001,"&gt;="&amp;$F$8,BD!$A$3:$A$5001,"&lt;="&amp;$G$8,BD!$Y$3:$Y$5001,"&lt;&gt;")=0,"",SUMIFS(BD!$Y$3:$Y$5001,BD!$B$3:$B$5001,$A284,BD!$A$3:$A$5001,_xlfn.MAXIFS(BD!$A$3:$A$5001,BD!$B$3:$B$5001,$A284,BD!$A$3:$A$5001,"&gt;="&amp;$F$8,BD!$A$3:$A$5001,"&lt;="&amp;$G$8,BD!$Y$3:$Y$5001,"&lt;&gt;")))</f>
        <v/>
      </c>
      <c r="G284" s="42" t="str">
        <f>IF(COUNTIFS(BD!$B$3:$B$5001,$A284,BD!$A$3:$A$5001,"&gt;="&amp;$F$7,BD!$A$3:$A$5001,"&lt;="&amp;$G$7,BD!$X$3:$X$5001,"&lt;&gt;")=0,"",SUMIFS(BD!$X$3:$X$5001,BD!$B$3:$B$5001,$A284,BD!$A$3:$A$5001,_xlfn.MAXIFS(BD!$A$3:$A$5001,BD!$B$3:$B$5001,$A284,BD!$A$3:$A$5001,"&gt;="&amp;$F$7,BD!$A$3:$A$5001,"&lt;="&amp;$G$7,BD!$X$3:$X$5001,"&lt;&gt;")))</f>
        <v/>
      </c>
      <c r="H284" s="42" t="str">
        <f>IF(COUNTIFS(BD!$B$3:$B$5001,$A284,BD!$A$3:$A$5001,"&gt;="&amp;$F$8,BD!$A$3:$A$5001,"&lt;="&amp;$G$8,BD!$X$3:$X$5001,"&lt;&gt;")=0,"",SUMIFS(BD!$X$3:$X$5001,BD!$B$3:$B$5001,$A284,BD!$A$3:$A$5001,_xlfn.MAXIFS(BD!$A$3:$A$5001,BD!$B$3:$B$5001,$A284,BD!$A$3:$A$5001,"&gt;="&amp;$F$8,BD!$A$3:$A$5001,"&lt;="&amp;$G$8,BD!$X$3:$X$5001,"&lt;&gt;")))</f>
        <v/>
      </c>
      <c r="I284" s="42" t="str">
        <f>IF(COUNTIFS(BD!$B$3:$B$5001,$A284,BD!$A$3:$A$5001,"&gt;="&amp;$F$7,BD!$A$3:$A$5001,"&lt;="&amp;$G$7,BD!$Z$3:$Z$5001,"&lt;&gt;")=0,"",SUMIFS(BD!$Z$3:$Z$5001,BD!$B$3:$B$5001,$A284,BD!$A$3:$A$5001,_xlfn.MAXIFS(BD!$A$3:$A$5001,BD!$B$3:$B$5001,$A284,BD!$A$3:$A$5001,"&gt;="&amp;$F$7,BD!$A$3:$A$5001,"&lt;="&amp;$G$7,BD!$Z$3:$Z$5001,"&lt;&gt;")))</f>
        <v/>
      </c>
      <c r="J284" s="42" t="str">
        <f>IF(COUNTIFS(BD!$B$3:$B$5001,$A284,BD!$A$3:$A$5001,"&gt;="&amp;$F$8,BD!$A$3:$A$5001,"&lt;="&amp;$G$8,BD!$Z$3:$Z$5001,"&lt;&gt;")=0,"",SUMIFS(BD!$Z$3:$Z$5001,BD!$B$3:$B$5001,$A284,BD!$A$3:$A$5001,_xlfn.MAXIFS(BD!$A$3:$A$5001,BD!$B$3:$B$5001,$A284,BD!$A$3:$A$5001,"&gt;="&amp;$F$8,BD!$A$3:$A$5001,"&lt;="&amp;$G$8,BD!$Z$3:$Z$5001,"&lt;&gt;")))</f>
        <v/>
      </c>
    </row>
    <row r="285">
      <c r="A285" s="64" t="inlineStr">
        <is>
          <t xml:space="preserve">Boticário</t>
        </is>
      </c>
      <c r="B285" s="40" t="inlineStr">
        <is>
          <t xml:space="preserve">TPC</t>
        </is>
      </c>
      <c r="C285" s="42" t="str">
        <f>IF(COUNTIFS(BD!$B$3:$B$5001,$A285,BD!$A$3:$A$5001,"&gt;="&amp;$F$7,BD!$A$3:$A$5001,"&lt;="&amp;$G$7,BD!$W$3:$W$5001,"&lt;&gt;")=0,"",SUMIFS(BD!$W$3:$W$5001,BD!$B$3:$B$5001,$A285,BD!$A$3:$A$5001,_xlfn.MAXIFS(BD!$A$3:$A$5001,BD!$B$3:$B$5001,$A285,BD!$A$3:$A$5001,"&gt;="&amp;$F$7,BD!$A$3:$A$5001,"&lt;="&amp;$G$7,BD!$W$3:$W$5001,"&lt;&gt;")))</f>
        <v/>
      </c>
      <c r="D285" s="42" t="str">
        <f>IF(COUNTIFS(BD!$B$3:$B$5001,$A285,BD!$A$3:$A$5001,"&gt;="&amp;$F$8,BD!$A$3:$A$5001,"&lt;="&amp;$G$8,BD!$W$3:$W$5001,"&lt;&gt;")=0,"",SUMIFS(BD!$W$3:$W$5001,BD!$B$3:$B$5001,$A285,BD!$A$3:$A$5001,_xlfn.MAXIFS(BD!$A$3:$A$5001,BD!$B$3:$B$5001,$A285,BD!$A$3:$A$5001,"&gt;="&amp;$F$8,BD!$A$3:$A$5001,"&lt;="&amp;$G$8,BD!$W$3:$W$5001,"&lt;&gt;")))</f>
        <v/>
      </c>
      <c r="E285" s="42" t="str">
        <f>IF(COUNTIFS(BD!$B$3:$B$5001,$A285,BD!$A$3:$A$5001,"&gt;="&amp;$F$7,BD!$A$3:$A$5001,"&lt;="&amp;$G$7,BD!$Y$3:$Y$5001,"&lt;&gt;")=0,"",SUMIFS(BD!$Y$3:$Y$5001,BD!$B$3:$B$5001,$A285,BD!$A$3:$A$5001,_xlfn.MAXIFS(BD!$A$3:$A$5001,BD!$B$3:$B$5001,$A285,BD!$A$3:$A$5001,"&gt;="&amp;$F$7,BD!$A$3:$A$5001,"&lt;="&amp;$G$7,BD!$Y$3:$Y$5001,"&lt;&gt;")))</f>
        <v/>
      </c>
      <c r="F285" s="42" t="str">
        <f>IF(COUNTIFS(BD!$B$3:$B$5001,$A285,BD!$A$3:$A$5001,"&gt;="&amp;$F$8,BD!$A$3:$A$5001,"&lt;="&amp;$G$8,BD!$Y$3:$Y$5001,"&lt;&gt;")=0,"",SUMIFS(BD!$Y$3:$Y$5001,BD!$B$3:$B$5001,$A285,BD!$A$3:$A$5001,_xlfn.MAXIFS(BD!$A$3:$A$5001,BD!$B$3:$B$5001,$A285,BD!$A$3:$A$5001,"&gt;="&amp;$F$8,BD!$A$3:$A$5001,"&lt;="&amp;$G$8,BD!$Y$3:$Y$5001,"&lt;&gt;")))</f>
        <v/>
      </c>
      <c r="G285" s="42" t="str">
        <f>IF(COUNTIFS(BD!$B$3:$B$5001,$A285,BD!$A$3:$A$5001,"&gt;="&amp;$F$7,BD!$A$3:$A$5001,"&lt;="&amp;$G$7,BD!$X$3:$X$5001,"&lt;&gt;")=0,"",SUMIFS(BD!$X$3:$X$5001,BD!$B$3:$B$5001,$A285,BD!$A$3:$A$5001,_xlfn.MAXIFS(BD!$A$3:$A$5001,BD!$B$3:$B$5001,$A285,BD!$A$3:$A$5001,"&gt;="&amp;$F$7,BD!$A$3:$A$5001,"&lt;="&amp;$G$7,BD!$X$3:$X$5001,"&lt;&gt;")))</f>
        <v/>
      </c>
      <c r="H285" s="42" t="str">
        <f>IF(COUNTIFS(BD!$B$3:$B$5001,$A285,BD!$A$3:$A$5001,"&gt;="&amp;$F$8,BD!$A$3:$A$5001,"&lt;="&amp;$G$8,BD!$X$3:$X$5001,"&lt;&gt;")=0,"",SUMIFS(BD!$X$3:$X$5001,BD!$B$3:$B$5001,$A285,BD!$A$3:$A$5001,_xlfn.MAXIFS(BD!$A$3:$A$5001,BD!$B$3:$B$5001,$A285,BD!$A$3:$A$5001,"&gt;="&amp;$F$8,BD!$A$3:$A$5001,"&lt;="&amp;$G$8,BD!$X$3:$X$5001,"&lt;&gt;")))</f>
        <v/>
      </c>
      <c r="I285" s="42" t="str">
        <f>IF(COUNTIFS(BD!$B$3:$B$5001,$A285,BD!$A$3:$A$5001,"&gt;="&amp;$F$7,BD!$A$3:$A$5001,"&lt;="&amp;$G$7,BD!$Z$3:$Z$5001,"&lt;&gt;")=0,"",SUMIFS(BD!$Z$3:$Z$5001,BD!$B$3:$B$5001,$A285,BD!$A$3:$A$5001,_xlfn.MAXIFS(BD!$A$3:$A$5001,BD!$B$3:$B$5001,$A285,BD!$A$3:$A$5001,"&gt;="&amp;$F$7,BD!$A$3:$A$5001,"&lt;="&amp;$G$7,BD!$Z$3:$Z$5001,"&lt;&gt;")))</f>
        <v/>
      </c>
      <c r="J285" s="42" t="str">
        <f>IF(COUNTIFS(BD!$B$3:$B$5001,$A285,BD!$A$3:$A$5001,"&gt;="&amp;$F$8,BD!$A$3:$A$5001,"&lt;="&amp;$G$8,BD!$Z$3:$Z$5001,"&lt;&gt;")=0,"",SUMIFS(BD!$Z$3:$Z$5001,BD!$B$3:$B$5001,$A285,BD!$A$3:$A$5001,_xlfn.MAXIFS(BD!$A$3:$A$5001,BD!$B$3:$B$5001,$A285,BD!$A$3:$A$5001,"&gt;="&amp;$F$8,BD!$A$3:$A$5001,"&lt;="&amp;$G$8,BD!$Z$3:$Z$5001,"&lt;&gt;")))</f>
        <v/>
      </c>
    </row>
    <row r="286">
      <c r="A286" s="64" t="inlineStr">
        <is>
          <t xml:space="preserve">GE Vernova</t>
        </is>
      </c>
      <c r="B286" s="40" t="inlineStr">
        <is>
          <t xml:space="preserve">TPC</t>
        </is>
      </c>
      <c r="C286" s="42" t="str">
        <f>IF(COUNTIFS(BD!$B$3:$B$5001,$A286,BD!$A$3:$A$5001,"&gt;="&amp;$F$7,BD!$A$3:$A$5001,"&lt;="&amp;$G$7,BD!$W$3:$W$5001,"&lt;&gt;")=0,"",SUMIFS(BD!$W$3:$W$5001,BD!$B$3:$B$5001,$A286,BD!$A$3:$A$5001,_xlfn.MAXIFS(BD!$A$3:$A$5001,BD!$B$3:$B$5001,$A286,BD!$A$3:$A$5001,"&gt;="&amp;$F$7,BD!$A$3:$A$5001,"&lt;="&amp;$G$7,BD!$W$3:$W$5001,"&lt;&gt;")))</f>
        <v/>
      </c>
      <c r="D286" s="42" t="str">
        <f>IF(COUNTIFS(BD!$B$3:$B$5001,$A286,BD!$A$3:$A$5001,"&gt;="&amp;$F$8,BD!$A$3:$A$5001,"&lt;="&amp;$G$8,BD!$W$3:$W$5001,"&lt;&gt;")=0,"",SUMIFS(BD!$W$3:$W$5001,BD!$B$3:$B$5001,$A286,BD!$A$3:$A$5001,_xlfn.MAXIFS(BD!$A$3:$A$5001,BD!$B$3:$B$5001,$A286,BD!$A$3:$A$5001,"&gt;="&amp;$F$8,BD!$A$3:$A$5001,"&lt;="&amp;$G$8,BD!$W$3:$W$5001,"&lt;&gt;")))</f>
        <v/>
      </c>
      <c r="E286" s="42" t="str">
        <f>IF(COUNTIFS(BD!$B$3:$B$5001,$A286,BD!$A$3:$A$5001,"&gt;="&amp;$F$7,BD!$A$3:$A$5001,"&lt;="&amp;$G$7,BD!$Y$3:$Y$5001,"&lt;&gt;")=0,"",SUMIFS(BD!$Y$3:$Y$5001,BD!$B$3:$B$5001,$A286,BD!$A$3:$A$5001,_xlfn.MAXIFS(BD!$A$3:$A$5001,BD!$B$3:$B$5001,$A286,BD!$A$3:$A$5001,"&gt;="&amp;$F$7,BD!$A$3:$A$5001,"&lt;="&amp;$G$7,BD!$Y$3:$Y$5001,"&lt;&gt;")))</f>
        <v/>
      </c>
      <c r="F286" s="42" t="str">
        <f>IF(COUNTIFS(BD!$B$3:$B$5001,$A286,BD!$A$3:$A$5001,"&gt;="&amp;$F$8,BD!$A$3:$A$5001,"&lt;="&amp;$G$8,BD!$Y$3:$Y$5001,"&lt;&gt;")=0,"",SUMIFS(BD!$Y$3:$Y$5001,BD!$B$3:$B$5001,$A286,BD!$A$3:$A$5001,_xlfn.MAXIFS(BD!$A$3:$A$5001,BD!$B$3:$B$5001,$A286,BD!$A$3:$A$5001,"&gt;="&amp;$F$8,BD!$A$3:$A$5001,"&lt;="&amp;$G$8,BD!$Y$3:$Y$5001,"&lt;&gt;")))</f>
        <v/>
      </c>
      <c r="G286" s="42" t="str">
        <f>IF(COUNTIFS(BD!$B$3:$B$5001,$A286,BD!$A$3:$A$5001,"&gt;="&amp;$F$7,BD!$A$3:$A$5001,"&lt;="&amp;$G$7,BD!$X$3:$X$5001,"&lt;&gt;")=0,"",SUMIFS(BD!$X$3:$X$5001,BD!$B$3:$B$5001,$A286,BD!$A$3:$A$5001,_xlfn.MAXIFS(BD!$A$3:$A$5001,BD!$B$3:$B$5001,$A286,BD!$A$3:$A$5001,"&gt;="&amp;$F$7,BD!$A$3:$A$5001,"&lt;="&amp;$G$7,BD!$X$3:$X$5001,"&lt;&gt;")))</f>
        <v/>
      </c>
      <c r="H286" s="42" t="str">
        <f>IF(COUNTIFS(BD!$B$3:$B$5001,$A286,BD!$A$3:$A$5001,"&gt;="&amp;$F$8,BD!$A$3:$A$5001,"&lt;="&amp;$G$8,BD!$X$3:$X$5001,"&lt;&gt;")=0,"",SUMIFS(BD!$X$3:$X$5001,BD!$B$3:$B$5001,$A286,BD!$A$3:$A$5001,_xlfn.MAXIFS(BD!$A$3:$A$5001,BD!$B$3:$B$5001,$A286,BD!$A$3:$A$5001,"&gt;="&amp;$F$8,BD!$A$3:$A$5001,"&lt;="&amp;$G$8,BD!$X$3:$X$5001,"&lt;&gt;")))</f>
        <v/>
      </c>
      <c r="I286" s="42" t="str">
        <f>IF(COUNTIFS(BD!$B$3:$B$5001,$A286,BD!$A$3:$A$5001,"&gt;="&amp;$F$7,BD!$A$3:$A$5001,"&lt;="&amp;$G$7,BD!$Z$3:$Z$5001,"&lt;&gt;")=0,"",SUMIFS(BD!$Z$3:$Z$5001,BD!$B$3:$B$5001,$A286,BD!$A$3:$A$5001,_xlfn.MAXIFS(BD!$A$3:$A$5001,BD!$B$3:$B$5001,$A286,BD!$A$3:$A$5001,"&gt;="&amp;$F$7,BD!$A$3:$A$5001,"&lt;="&amp;$G$7,BD!$Z$3:$Z$5001,"&lt;&gt;")))</f>
        <v/>
      </c>
      <c r="J286" s="42" t="str">
        <f>IF(COUNTIFS(BD!$B$3:$B$5001,$A286,BD!$A$3:$A$5001,"&gt;="&amp;$F$8,BD!$A$3:$A$5001,"&lt;="&amp;$G$8,BD!$Z$3:$Z$5001,"&lt;&gt;")=0,"",SUMIFS(BD!$Z$3:$Z$5001,BD!$B$3:$B$5001,$A286,BD!$A$3:$A$5001,_xlfn.MAXIFS(BD!$A$3:$A$5001,BD!$B$3:$B$5001,$A286,BD!$A$3:$A$5001,"&gt;="&amp;$F$8,BD!$A$3:$A$5001,"&lt;="&amp;$G$8,BD!$Z$3:$Z$5001,"&lt;&gt;")))</f>
        <v/>
      </c>
    </row>
    <row r="287">
      <c r="A287" s="64" t="inlineStr">
        <is>
          <t xml:space="preserve">Omnilife</t>
        </is>
      </c>
      <c r="B287" s="40" t="inlineStr">
        <is>
          <t xml:space="preserve">TPC</t>
        </is>
      </c>
      <c r="C287" s="42" t="str">
        <f>IF(COUNTIFS(BD!$B$3:$B$5001,$A287,BD!$A$3:$A$5001,"&gt;="&amp;$F$7,BD!$A$3:$A$5001,"&lt;="&amp;$G$7,BD!$W$3:$W$5001,"&lt;&gt;")=0,"",SUMIFS(BD!$W$3:$W$5001,BD!$B$3:$B$5001,$A287,BD!$A$3:$A$5001,_xlfn.MAXIFS(BD!$A$3:$A$5001,BD!$B$3:$B$5001,$A287,BD!$A$3:$A$5001,"&gt;="&amp;$F$7,BD!$A$3:$A$5001,"&lt;="&amp;$G$7,BD!$W$3:$W$5001,"&lt;&gt;")))</f>
        <v/>
      </c>
      <c r="D287" s="42" t="str">
        <f>IF(COUNTIFS(BD!$B$3:$B$5001,$A287,BD!$A$3:$A$5001,"&gt;="&amp;$F$8,BD!$A$3:$A$5001,"&lt;="&amp;$G$8,BD!$W$3:$W$5001,"&lt;&gt;")=0,"",SUMIFS(BD!$W$3:$W$5001,BD!$B$3:$B$5001,$A287,BD!$A$3:$A$5001,_xlfn.MAXIFS(BD!$A$3:$A$5001,BD!$B$3:$B$5001,$A287,BD!$A$3:$A$5001,"&gt;="&amp;$F$8,BD!$A$3:$A$5001,"&lt;="&amp;$G$8,BD!$W$3:$W$5001,"&lt;&gt;")))</f>
        <v/>
      </c>
      <c r="E287" s="42" t="str">
        <f>IF(COUNTIFS(BD!$B$3:$B$5001,$A287,BD!$A$3:$A$5001,"&gt;="&amp;$F$7,BD!$A$3:$A$5001,"&lt;="&amp;$G$7,BD!$Y$3:$Y$5001,"&lt;&gt;")=0,"",SUMIFS(BD!$Y$3:$Y$5001,BD!$B$3:$B$5001,$A287,BD!$A$3:$A$5001,_xlfn.MAXIFS(BD!$A$3:$A$5001,BD!$B$3:$B$5001,$A287,BD!$A$3:$A$5001,"&gt;="&amp;$F$7,BD!$A$3:$A$5001,"&lt;="&amp;$G$7,BD!$Y$3:$Y$5001,"&lt;&gt;")))</f>
        <v/>
      </c>
      <c r="F287" s="42" t="str">
        <f>IF(COUNTIFS(BD!$B$3:$B$5001,$A287,BD!$A$3:$A$5001,"&gt;="&amp;$F$8,BD!$A$3:$A$5001,"&lt;="&amp;$G$8,BD!$Y$3:$Y$5001,"&lt;&gt;")=0,"",SUMIFS(BD!$Y$3:$Y$5001,BD!$B$3:$B$5001,$A287,BD!$A$3:$A$5001,_xlfn.MAXIFS(BD!$A$3:$A$5001,BD!$B$3:$B$5001,$A287,BD!$A$3:$A$5001,"&gt;="&amp;$F$8,BD!$A$3:$A$5001,"&lt;="&amp;$G$8,BD!$Y$3:$Y$5001,"&lt;&gt;")))</f>
        <v/>
      </c>
      <c r="G287" s="42" t="str">
        <f>IF(COUNTIFS(BD!$B$3:$B$5001,$A287,BD!$A$3:$A$5001,"&gt;="&amp;$F$7,BD!$A$3:$A$5001,"&lt;="&amp;$G$7,BD!$X$3:$X$5001,"&lt;&gt;")=0,"",SUMIFS(BD!$X$3:$X$5001,BD!$B$3:$B$5001,$A287,BD!$A$3:$A$5001,_xlfn.MAXIFS(BD!$A$3:$A$5001,BD!$B$3:$B$5001,$A287,BD!$A$3:$A$5001,"&gt;="&amp;$F$7,BD!$A$3:$A$5001,"&lt;="&amp;$G$7,BD!$X$3:$X$5001,"&lt;&gt;")))</f>
        <v/>
      </c>
      <c r="H287" s="42" t="str">
        <f>IF(COUNTIFS(BD!$B$3:$B$5001,$A287,BD!$A$3:$A$5001,"&gt;="&amp;$F$8,BD!$A$3:$A$5001,"&lt;="&amp;$G$8,BD!$X$3:$X$5001,"&lt;&gt;")=0,"",SUMIFS(BD!$X$3:$X$5001,BD!$B$3:$B$5001,$A287,BD!$A$3:$A$5001,_xlfn.MAXIFS(BD!$A$3:$A$5001,BD!$B$3:$B$5001,$A287,BD!$A$3:$A$5001,"&gt;="&amp;$F$8,BD!$A$3:$A$5001,"&lt;="&amp;$G$8,BD!$X$3:$X$5001,"&lt;&gt;")))</f>
        <v/>
      </c>
      <c r="I287" s="42" t="str">
        <f>IF(COUNTIFS(BD!$B$3:$B$5001,$A287,BD!$A$3:$A$5001,"&gt;="&amp;$F$7,BD!$A$3:$A$5001,"&lt;="&amp;$G$7,BD!$Z$3:$Z$5001,"&lt;&gt;")=0,"",SUMIFS(BD!$Z$3:$Z$5001,BD!$B$3:$B$5001,$A287,BD!$A$3:$A$5001,_xlfn.MAXIFS(BD!$A$3:$A$5001,BD!$B$3:$B$5001,$A287,BD!$A$3:$A$5001,"&gt;="&amp;$F$7,BD!$A$3:$A$5001,"&lt;="&amp;$G$7,BD!$Z$3:$Z$5001,"&lt;&gt;")))</f>
        <v/>
      </c>
      <c r="J287" s="42" t="str">
        <f>IF(COUNTIFS(BD!$B$3:$B$5001,$A287,BD!$A$3:$A$5001,"&gt;="&amp;$F$8,BD!$A$3:$A$5001,"&lt;="&amp;$G$8,BD!$Z$3:$Z$5001,"&lt;&gt;")=0,"",SUMIFS(BD!$Z$3:$Z$5001,BD!$B$3:$B$5001,$A287,BD!$A$3:$A$5001,_xlfn.MAXIFS(BD!$A$3:$A$5001,BD!$B$3:$B$5001,$A287,BD!$A$3:$A$5001,"&gt;="&amp;$F$8,BD!$A$3:$A$5001,"&lt;="&amp;$G$8,BD!$Z$3:$Z$5001,"&lt;&gt;")))</f>
        <v/>
      </c>
    </row>
    <row r="288">
      <c r="A288" s="64" t="inlineStr">
        <is>
          <t xml:space="preserve">Supply</t>
        </is>
      </c>
      <c r="B288" s="40" t="inlineStr">
        <is>
          <t xml:space="preserve">TPC</t>
        </is>
      </c>
      <c r="C288" s="42" t="str">
        <f>IF(COUNTIFS(BD!$B$3:$B$5001,$A288,BD!$A$3:$A$5001,"&gt;="&amp;$F$7,BD!$A$3:$A$5001,"&lt;="&amp;$G$7,BD!$W$3:$W$5001,"&lt;&gt;")=0,"",SUMIFS(BD!$W$3:$W$5001,BD!$B$3:$B$5001,$A288,BD!$A$3:$A$5001,_xlfn.MAXIFS(BD!$A$3:$A$5001,BD!$B$3:$B$5001,$A288,BD!$A$3:$A$5001,"&gt;="&amp;$F$7,BD!$A$3:$A$5001,"&lt;="&amp;$G$7,BD!$W$3:$W$5001,"&lt;&gt;")))</f>
        <v/>
      </c>
      <c r="D288" s="42" t="str">
        <f>IF(COUNTIFS(BD!$B$3:$B$5001,$A288,BD!$A$3:$A$5001,"&gt;="&amp;$F$8,BD!$A$3:$A$5001,"&lt;="&amp;$G$8,BD!$W$3:$W$5001,"&lt;&gt;")=0,"",SUMIFS(BD!$W$3:$W$5001,BD!$B$3:$B$5001,$A288,BD!$A$3:$A$5001,_xlfn.MAXIFS(BD!$A$3:$A$5001,BD!$B$3:$B$5001,$A288,BD!$A$3:$A$5001,"&gt;="&amp;$F$8,BD!$A$3:$A$5001,"&lt;="&amp;$G$8,BD!$W$3:$W$5001,"&lt;&gt;")))</f>
        <v/>
      </c>
      <c r="E288" s="42" t="str">
        <f>IF(COUNTIFS(BD!$B$3:$B$5001,$A288,BD!$A$3:$A$5001,"&gt;="&amp;$F$7,BD!$A$3:$A$5001,"&lt;="&amp;$G$7,BD!$Y$3:$Y$5001,"&lt;&gt;")=0,"",SUMIFS(BD!$Y$3:$Y$5001,BD!$B$3:$B$5001,$A288,BD!$A$3:$A$5001,_xlfn.MAXIFS(BD!$A$3:$A$5001,BD!$B$3:$B$5001,$A288,BD!$A$3:$A$5001,"&gt;="&amp;$F$7,BD!$A$3:$A$5001,"&lt;="&amp;$G$7,BD!$Y$3:$Y$5001,"&lt;&gt;")))</f>
        <v/>
      </c>
      <c r="F288" s="42" t="str">
        <f>IF(COUNTIFS(BD!$B$3:$B$5001,$A288,BD!$A$3:$A$5001,"&gt;="&amp;$F$8,BD!$A$3:$A$5001,"&lt;="&amp;$G$8,BD!$Y$3:$Y$5001,"&lt;&gt;")=0,"",SUMIFS(BD!$Y$3:$Y$5001,BD!$B$3:$B$5001,$A288,BD!$A$3:$A$5001,_xlfn.MAXIFS(BD!$A$3:$A$5001,BD!$B$3:$B$5001,$A288,BD!$A$3:$A$5001,"&gt;="&amp;$F$8,BD!$A$3:$A$5001,"&lt;="&amp;$G$8,BD!$Y$3:$Y$5001,"&lt;&gt;")))</f>
        <v/>
      </c>
      <c r="G288" s="42" t="str">
        <f>IF(COUNTIFS(BD!$B$3:$B$5001,$A288,BD!$A$3:$A$5001,"&gt;="&amp;$F$7,BD!$A$3:$A$5001,"&lt;="&amp;$G$7,BD!$X$3:$X$5001,"&lt;&gt;")=0,"",SUMIFS(BD!$X$3:$X$5001,BD!$B$3:$B$5001,$A288,BD!$A$3:$A$5001,_xlfn.MAXIFS(BD!$A$3:$A$5001,BD!$B$3:$B$5001,$A288,BD!$A$3:$A$5001,"&gt;="&amp;$F$7,BD!$A$3:$A$5001,"&lt;="&amp;$G$7,BD!$X$3:$X$5001,"&lt;&gt;")))</f>
        <v/>
      </c>
      <c r="H288" s="42" t="str">
        <f>IF(COUNTIFS(BD!$B$3:$B$5001,$A288,BD!$A$3:$A$5001,"&gt;="&amp;$F$8,BD!$A$3:$A$5001,"&lt;="&amp;$G$8,BD!$X$3:$X$5001,"&lt;&gt;")=0,"",SUMIFS(BD!$X$3:$X$5001,BD!$B$3:$B$5001,$A288,BD!$A$3:$A$5001,_xlfn.MAXIFS(BD!$A$3:$A$5001,BD!$B$3:$B$5001,$A288,BD!$A$3:$A$5001,"&gt;="&amp;$F$8,BD!$A$3:$A$5001,"&lt;="&amp;$G$8,BD!$X$3:$X$5001,"&lt;&gt;")))</f>
        <v/>
      </c>
      <c r="I288" s="42" t="str">
        <f>IF(COUNTIFS(BD!$B$3:$B$5001,$A288,BD!$A$3:$A$5001,"&gt;="&amp;$F$7,BD!$A$3:$A$5001,"&lt;="&amp;$G$7,BD!$Z$3:$Z$5001,"&lt;&gt;")=0,"",SUMIFS(BD!$Z$3:$Z$5001,BD!$B$3:$B$5001,$A288,BD!$A$3:$A$5001,_xlfn.MAXIFS(BD!$A$3:$A$5001,BD!$B$3:$B$5001,$A288,BD!$A$3:$A$5001,"&gt;="&amp;$F$7,BD!$A$3:$A$5001,"&lt;="&amp;$G$7,BD!$Z$3:$Z$5001,"&lt;&gt;")))</f>
        <v/>
      </c>
      <c r="J288" s="42" t="str">
        <f>IF(COUNTIFS(BD!$B$3:$B$5001,$A288,BD!$A$3:$A$5001,"&gt;="&amp;$F$8,BD!$A$3:$A$5001,"&lt;="&amp;$G$8,BD!$Z$3:$Z$5001,"&lt;&gt;")=0,"",SUMIFS(BD!$Z$3:$Z$5001,BD!$B$3:$B$5001,$A288,BD!$A$3:$A$5001,_xlfn.MAXIFS(BD!$A$3:$A$5001,BD!$B$3:$B$5001,$A288,BD!$A$3:$A$5001,"&gt;="&amp;$F$8,BD!$A$3:$A$5001,"&lt;="&amp;$G$8,BD!$Z$3:$Z$5001,"&lt;&gt;")))</f>
        <v/>
      </c>
    </row>
    <row r="289">
      <c r="A289" s="64" t="inlineStr">
        <is>
          <t xml:space="preserve">Vedacit</t>
        </is>
      </c>
      <c r="B289" s="40" t="inlineStr">
        <is>
          <t xml:space="preserve">TPC</t>
        </is>
      </c>
      <c r="C289" s="42" t="str">
        <f>IF(COUNTIFS(BD!$B$3:$B$5001,$A289,BD!$A$3:$A$5001,"&gt;="&amp;$F$7,BD!$A$3:$A$5001,"&lt;="&amp;$G$7,BD!$W$3:$W$5001,"&lt;&gt;")=0,"",SUMIFS(BD!$W$3:$W$5001,BD!$B$3:$B$5001,$A289,BD!$A$3:$A$5001,_xlfn.MAXIFS(BD!$A$3:$A$5001,BD!$B$3:$B$5001,$A289,BD!$A$3:$A$5001,"&gt;="&amp;$F$7,BD!$A$3:$A$5001,"&lt;="&amp;$G$7,BD!$W$3:$W$5001,"&lt;&gt;")))</f>
        <v/>
      </c>
      <c r="D289" s="42" t="str">
        <f>IF(COUNTIFS(BD!$B$3:$B$5001,$A289,BD!$A$3:$A$5001,"&gt;="&amp;$F$8,BD!$A$3:$A$5001,"&lt;="&amp;$G$8,BD!$W$3:$W$5001,"&lt;&gt;")=0,"",SUMIFS(BD!$W$3:$W$5001,BD!$B$3:$B$5001,$A289,BD!$A$3:$A$5001,_xlfn.MAXIFS(BD!$A$3:$A$5001,BD!$B$3:$B$5001,$A289,BD!$A$3:$A$5001,"&gt;="&amp;$F$8,BD!$A$3:$A$5001,"&lt;="&amp;$G$8,BD!$W$3:$W$5001,"&lt;&gt;")))</f>
        <v/>
      </c>
      <c r="E289" s="42" t="str">
        <f>IF(COUNTIFS(BD!$B$3:$B$5001,$A289,BD!$A$3:$A$5001,"&gt;="&amp;$F$7,BD!$A$3:$A$5001,"&lt;="&amp;$G$7,BD!$Y$3:$Y$5001,"&lt;&gt;")=0,"",SUMIFS(BD!$Y$3:$Y$5001,BD!$B$3:$B$5001,$A289,BD!$A$3:$A$5001,_xlfn.MAXIFS(BD!$A$3:$A$5001,BD!$B$3:$B$5001,$A289,BD!$A$3:$A$5001,"&gt;="&amp;$F$7,BD!$A$3:$A$5001,"&lt;="&amp;$G$7,BD!$Y$3:$Y$5001,"&lt;&gt;")))</f>
        <v/>
      </c>
      <c r="F289" s="42" t="str">
        <f>IF(COUNTIFS(BD!$B$3:$B$5001,$A289,BD!$A$3:$A$5001,"&gt;="&amp;$F$8,BD!$A$3:$A$5001,"&lt;="&amp;$G$8,BD!$Y$3:$Y$5001,"&lt;&gt;")=0,"",SUMIFS(BD!$Y$3:$Y$5001,BD!$B$3:$B$5001,$A289,BD!$A$3:$A$5001,_xlfn.MAXIFS(BD!$A$3:$A$5001,BD!$B$3:$B$5001,$A289,BD!$A$3:$A$5001,"&gt;="&amp;$F$8,BD!$A$3:$A$5001,"&lt;="&amp;$G$8,BD!$Y$3:$Y$5001,"&lt;&gt;")))</f>
        <v/>
      </c>
      <c r="G289" s="42" t="str">
        <f>IF(COUNTIFS(BD!$B$3:$B$5001,$A289,BD!$A$3:$A$5001,"&gt;="&amp;$F$7,BD!$A$3:$A$5001,"&lt;="&amp;$G$7,BD!$X$3:$X$5001,"&lt;&gt;")=0,"",SUMIFS(BD!$X$3:$X$5001,BD!$B$3:$B$5001,$A289,BD!$A$3:$A$5001,_xlfn.MAXIFS(BD!$A$3:$A$5001,BD!$B$3:$B$5001,$A289,BD!$A$3:$A$5001,"&gt;="&amp;$F$7,BD!$A$3:$A$5001,"&lt;="&amp;$G$7,BD!$X$3:$X$5001,"&lt;&gt;")))</f>
        <v/>
      </c>
      <c r="H289" s="42" t="str">
        <f>IF(COUNTIFS(BD!$B$3:$B$5001,$A289,BD!$A$3:$A$5001,"&gt;="&amp;$F$8,BD!$A$3:$A$5001,"&lt;="&amp;$G$8,BD!$X$3:$X$5001,"&lt;&gt;")=0,"",SUMIFS(BD!$X$3:$X$5001,BD!$B$3:$B$5001,$A289,BD!$A$3:$A$5001,_xlfn.MAXIFS(BD!$A$3:$A$5001,BD!$B$3:$B$5001,$A289,BD!$A$3:$A$5001,"&gt;="&amp;$F$8,BD!$A$3:$A$5001,"&lt;="&amp;$G$8,BD!$X$3:$X$5001,"&lt;&gt;")))</f>
        <v/>
      </c>
      <c r="I289" s="42" t="str">
        <f>IF(COUNTIFS(BD!$B$3:$B$5001,$A289,BD!$A$3:$A$5001,"&gt;="&amp;$F$7,BD!$A$3:$A$5001,"&lt;="&amp;$G$7,BD!$Z$3:$Z$5001,"&lt;&gt;")=0,"",SUMIFS(BD!$Z$3:$Z$5001,BD!$B$3:$B$5001,$A289,BD!$A$3:$A$5001,_xlfn.MAXIFS(BD!$A$3:$A$5001,BD!$B$3:$B$5001,$A289,BD!$A$3:$A$5001,"&gt;="&amp;$F$7,BD!$A$3:$A$5001,"&lt;="&amp;$G$7,BD!$Z$3:$Z$5001,"&lt;&gt;")))</f>
        <v/>
      </c>
      <c r="J289" s="42" t="str">
        <f>IF(COUNTIFS(BD!$B$3:$B$5001,$A289,BD!$A$3:$A$5001,"&gt;="&amp;$F$8,BD!$A$3:$A$5001,"&lt;="&amp;$G$8,BD!$Z$3:$Z$5001,"&lt;&gt;")=0,"",SUMIFS(BD!$Z$3:$Z$5001,BD!$B$3:$B$5001,$A289,BD!$A$3:$A$5001,_xlfn.MAXIFS(BD!$A$3:$A$5001,BD!$B$3:$B$5001,$A289,BD!$A$3:$A$5001,"&gt;="&amp;$F$8,BD!$A$3:$A$5001,"&lt;="&amp;$G$8,BD!$Z$3:$Z$5001,"&lt;&gt;")))</f>
        <v/>
      </c>
    </row>
    <row r="290">
      <c r="A290" s="64" t="inlineStr">
        <is>
          <t xml:space="preserve">Vestas</t>
        </is>
      </c>
      <c r="B290" s="40" t="inlineStr">
        <is>
          <t xml:space="preserve">TPC</t>
        </is>
      </c>
      <c r="C290" s="42" t="str">
        <f>IF(COUNTIFS(BD!$B$3:$B$5001,$A290,BD!$A$3:$A$5001,"&gt;="&amp;$F$7,BD!$A$3:$A$5001,"&lt;="&amp;$G$7,BD!$W$3:$W$5001,"&lt;&gt;")=0,"",SUMIFS(BD!$W$3:$W$5001,BD!$B$3:$B$5001,$A290,BD!$A$3:$A$5001,_xlfn.MAXIFS(BD!$A$3:$A$5001,BD!$B$3:$B$5001,$A290,BD!$A$3:$A$5001,"&gt;="&amp;$F$7,BD!$A$3:$A$5001,"&lt;="&amp;$G$7,BD!$W$3:$W$5001,"&lt;&gt;")))</f>
        <v/>
      </c>
      <c r="D290" s="42" t="str">
        <f>IF(COUNTIFS(BD!$B$3:$B$5001,$A290,BD!$A$3:$A$5001,"&gt;="&amp;$F$8,BD!$A$3:$A$5001,"&lt;="&amp;$G$8,BD!$W$3:$W$5001,"&lt;&gt;")=0,"",SUMIFS(BD!$W$3:$W$5001,BD!$B$3:$B$5001,$A290,BD!$A$3:$A$5001,_xlfn.MAXIFS(BD!$A$3:$A$5001,BD!$B$3:$B$5001,$A290,BD!$A$3:$A$5001,"&gt;="&amp;$F$8,BD!$A$3:$A$5001,"&lt;="&amp;$G$8,BD!$W$3:$W$5001,"&lt;&gt;")))</f>
        <v/>
      </c>
      <c r="E290" s="42" t="str">
        <f>IF(COUNTIFS(BD!$B$3:$B$5001,$A290,BD!$A$3:$A$5001,"&gt;="&amp;$F$7,BD!$A$3:$A$5001,"&lt;="&amp;$G$7,BD!$Y$3:$Y$5001,"&lt;&gt;")=0,"",SUMIFS(BD!$Y$3:$Y$5001,BD!$B$3:$B$5001,$A290,BD!$A$3:$A$5001,_xlfn.MAXIFS(BD!$A$3:$A$5001,BD!$B$3:$B$5001,$A290,BD!$A$3:$A$5001,"&gt;="&amp;$F$7,BD!$A$3:$A$5001,"&lt;="&amp;$G$7,BD!$Y$3:$Y$5001,"&lt;&gt;")))</f>
        <v/>
      </c>
      <c r="F290" s="42" t="str">
        <f>IF(COUNTIFS(BD!$B$3:$B$5001,$A290,BD!$A$3:$A$5001,"&gt;="&amp;$F$8,BD!$A$3:$A$5001,"&lt;="&amp;$G$8,BD!$Y$3:$Y$5001,"&lt;&gt;")=0,"",SUMIFS(BD!$Y$3:$Y$5001,BD!$B$3:$B$5001,$A290,BD!$A$3:$A$5001,_xlfn.MAXIFS(BD!$A$3:$A$5001,BD!$B$3:$B$5001,$A290,BD!$A$3:$A$5001,"&gt;="&amp;$F$8,BD!$A$3:$A$5001,"&lt;="&amp;$G$8,BD!$Y$3:$Y$5001,"&lt;&gt;")))</f>
        <v/>
      </c>
      <c r="G290" s="42" t="str">
        <f>IF(COUNTIFS(BD!$B$3:$B$5001,$A290,BD!$A$3:$A$5001,"&gt;="&amp;$F$7,BD!$A$3:$A$5001,"&lt;="&amp;$G$7,BD!$X$3:$X$5001,"&lt;&gt;")=0,"",SUMIFS(BD!$X$3:$X$5001,BD!$B$3:$B$5001,$A290,BD!$A$3:$A$5001,_xlfn.MAXIFS(BD!$A$3:$A$5001,BD!$B$3:$B$5001,$A290,BD!$A$3:$A$5001,"&gt;="&amp;$F$7,BD!$A$3:$A$5001,"&lt;="&amp;$G$7,BD!$X$3:$X$5001,"&lt;&gt;")))</f>
        <v/>
      </c>
      <c r="H290" s="42" t="str">
        <f>IF(COUNTIFS(BD!$B$3:$B$5001,$A290,BD!$A$3:$A$5001,"&gt;="&amp;$F$8,BD!$A$3:$A$5001,"&lt;="&amp;$G$8,BD!$X$3:$X$5001,"&lt;&gt;")=0,"",SUMIFS(BD!$X$3:$X$5001,BD!$B$3:$B$5001,$A290,BD!$A$3:$A$5001,_xlfn.MAXIFS(BD!$A$3:$A$5001,BD!$B$3:$B$5001,$A290,BD!$A$3:$A$5001,"&gt;="&amp;$F$8,BD!$A$3:$A$5001,"&lt;="&amp;$G$8,BD!$X$3:$X$5001,"&lt;&gt;")))</f>
        <v/>
      </c>
      <c r="I290" s="42" t="str">
        <f>IF(COUNTIFS(BD!$B$3:$B$5001,$A290,BD!$A$3:$A$5001,"&gt;="&amp;$F$7,BD!$A$3:$A$5001,"&lt;="&amp;$G$7,BD!$Z$3:$Z$5001,"&lt;&gt;")=0,"",SUMIFS(BD!$Z$3:$Z$5001,BD!$B$3:$B$5001,$A290,BD!$A$3:$A$5001,_xlfn.MAXIFS(BD!$A$3:$A$5001,BD!$B$3:$B$5001,$A290,BD!$A$3:$A$5001,"&gt;="&amp;$F$7,BD!$A$3:$A$5001,"&lt;="&amp;$G$7,BD!$Z$3:$Z$5001,"&lt;&gt;")))</f>
        <v/>
      </c>
      <c r="J290" s="42" t="str">
        <f>IF(COUNTIFS(BD!$B$3:$B$5001,$A290,BD!$A$3:$A$5001,"&gt;="&amp;$F$8,BD!$A$3:$A$5001,"&lt;="&amp;$G$8,BD!$Z$3:$Z$5001,"&lt;&gt;")=0,"",SUMIFS(BD!$Z$3:$Z$5001,BD!$B$3:$B$5001,$A290,BD!$A$3:$A$5001,_xlfn.MAXIFS(BD!$A$3:$A$5001,BD!$B$3:$B$5001,$A290,BD!$A$3:$A$5001,"&gt;="&amp;$F$8,BD!$A$3:$A$5001,"&lt;="&amp;$G$8,BD!$Z$3:$Z$5001,"&lt;&gt;")))</f>
        <v/>
      </c>
    </row>
    <row r="292">
      <c r="A292" s="19" t="inlineStr">
        <is>
          <t xml:space="preserve">INDICADORES DO PERÍODO (cards do Dashboard)</t>
        </is>
      </c>
    </row>
    <row r="293">
      <c r="A293" s="37" t="inlineStr">
        <is>
          <t xml:space="preserve">Indicador</t>
        </is>
      </c>
      <c r="B293" s="37" t="inlineStr">
        <is>
          <t xml:space="preserve">Período</t>
        </is>
      </c>
      <c r="C293" s="37" t="inlineStr">
        <is>
          <t xml:space="preserve">Período anterior</t>
        </is>
      </c>
      <c r="D293" s="37" t="inlineStr">
        <is>
          <t xml:space="preserve">Variação</t>
        </is>
      </c>
    </row>
    <row r="294">
      <c r="A294" s="29" t="inlineStr">
        <is>
          <t xml:space="preserve">IN · Veículos Recebidos</t>
        </is>
      </c>
      <c r="B294" s="32">
        <f>IF($B$2="Todos",SUMIFS(BD!$C$3:$C$5001,BD!$A$3:$A$5001,"&gt;="&amp;$F$7,BD!$A$3:$A$5001,"&lt;="&amp;$G$7),SUMIFS(BD!$C$3:$C$5001,BD!$A$3:$A$5001,"&gt;="&amp;$F$7,BD!$A$3:$A$5001,"&lt;="&amp;$G$7,BD!$B$3:$B$5001,$D$2))</f>
        <v>0</v>
      </c>
      <c r="C294" s="32">
        <f>IF($B$2="Todos",SUMIFS(BD!$C$3:$C$5001,BD!$A$3:$A$5001,"&gt;="&amp;$F$8,BD!$A$3:$A$5001,"&lt;="&amp;$G$8),SUMIFS(BD!$C$3:$C$5001,BD!$A$3:$A$5001,"&gt;="&amp;$F$8,BD!$A$3:$A$5001,"&lt;="&amp;$G$8,BD!$B$3:$B$5001,$D$2))</f>
        <v>0</v>
      </c>
      <c r="D294" s="48" t="str">
        <f>IF(AND(ISNUMBER(B294),ISNUMBER(C294)),IF(C294&lt;&gt;0,B294/C294-1,""),"")</f>
        <v/>
      </c>
    </row>
    <row r="295">
      <c r="A295" s="29" t="inlineStr">
        <is>
          <t xml:space="preserve">IN · Pallets Movimentados</t>
        </is>
      </c>
      <c r="B295" s="32">
        <f>IF($B$2="Todos",SUMIFS(BD!$D$3:$D$5001,BD!$A$3:$A$5001,"&gt;="&amp;$F$7,BD!$A$3:$A$5001,"&lt;="&amp;$G$7),SUMIFS(BD!$D$3:$D$5001,BD!$A$3:$A$5001,"&gt;="&amp;$F$7,BD!$A$3:$A$5001,"&lt;="&amp;$G$7,BD!$B$3:$B$5001,$D$2))</f>
        <v>0</v>
      </c>
      <c r="C295" s="32">
        <f>IF($B$2="Todos",SUMIFS(BD!$D$3:$D$5001,BD!$A$3:$A$5001,"&gt;="&amp;$F$8,BD!$A$3:$A$5001,"&lt;="&amp;$G$8),SUMIFS(BD!$D$3:$D$5001,BD!$A$3:$A$5001,"&gt;="&amp;$F$8,BD!$A$3:$A$5001,"&lt;="&amp;$G$8,BD!$B$3:$B$5001,$D$2))</f>
        <v>0</v>
      </c>
      <c r="D295" s="48" t="str">
        <f>IF(AND(ISNUMBER(B295),ISNUMBER(C295)),IF(C295&lt;&gt;0,B295/C295-1,""),"")</f>
        <v/>
      </c>
    </row>
    <row r="296">
      <c r="A296" s="29" t="inlineStr">
        <is>
          <t xml:space="preserve">IN · Toneladas Movimentadas</t>
        </is>
      </c>
      <c r="B296" s="60">
        <f>IF($B$2="Todos",SUMIFS(BD!$E$3:$E$5001,BD!$A$3:$A$5001,"&gt;="&amp;$F$7,BD!$A$3:$A$5001,"&lt;="&amp;$G$7),SUMIFS(BD!$E$3:$E$5001,BD!$A$3:$A$5001,"&gt;="&amp;$F$7,BD!$A$3:$A$5001,"&lt;="&amp;$G$7,BD!$B$3:$B$5001,$D$2))</f>
        <v>0</v>
      </c>
      <c r="C296" s="60">
        <f>IF($B$2="Todos",SUMIFS(BD!$E$3:$E$5001,BD!$A$3:$A$5001,"&gt;="&amp;$F$8,BD!$A$3:$A$5001,"&lt;="&amp;$G$8),SUMIFS(BD!$E$3:$E$5001,BD!$A$3:$A$5001,"&gt;="&amp;$F$8,BD!$A$3:$A$5001,"&lt;="&amp;$G$8,BD!$B$3:$B$5001,$D$2))</f>
        <v>0</v>
      </c>
      <c r="D296" s="48" t="str">
        <f>IF(AND(ISNUMBER(B296),ISNUMBER(C296)),IF(C296&lt;&gt;0,B296/C296-1,""),"")</f>
        <v/>
      </c>
    </row>
    <row r="297">
      <c r="A297" s="29" t="inlineStr">
        <is>
          <t xml:space="preserve">OUT · Veículos Expedidos</t>
        </is>
      </c>
      <c r="B297" s="32">
        <f>IF($B$2="Todos",SUMIFS(BD!$L$3:$L$5001,BD!$A$3:$A$5001,"&gt;="&amp;$F$7,BD!$A$3:$A$5001,"&lt;="&amp;$G$7),SUMIFS(BD!$L$3:$L$5001,BD!$A$3:$A$5001,"&gt;="&amp;$F$7,BD!$A$3:$A$5001,"&lt;="&amp;$G$7,BD!$B$3:$B$5001,$D$2))</f>
        <v>0</v>
      </c>
      <c r="C297" s="32">
        <f>IF($B$2="Todos",SUMIFS(BD!$L$3:$L$5001,BD!$A$3:$A$5001,"&gt;="&amp;$F$8,BD!$A$3:$A$5001,"&lt;="&amp;$G$8),SUMIFS(BD!$L$3:$L$5001,BD!$A$3:$A$5001,"&gt;="&amp;$F$8,BD!$A$3:$A$5001,"&lt;="&amp;$G$8,BD!$B$3:$B$5001,$D$2))</f>
        <v>0</v>
      </c>
      <c r="D297" s="48" t="str">
        <f>IF(AND(ISNUMBER(B297),ISNUMBER(C297)),IF(C297&lt;&gt;0,B297/C297-1,""),"")</f>
        <v/>
      </c>
    </row>
    <row r="298">
      <c r="A298" s="29" t="inlineStr">
        <is>
          <t xml:space="preserve">OUT · Pallets Movimentados</t>
        </is>
      </c>
      <c r="B298" s="32">
        <f>IF($B$2="Todos",SUMIFS(BD!$S$3:$S$5001,BD!$A$3:$A$5001,"&gt;="&amp;$F$7,BD!$A$3:$A$5001,"&lt;="&amp;$G$7),SUMIFS(BD!$S$3:$S$5001,BD!$A$3:$A$5001,"&gt;="&amp;$F$7,BD!$A$3:$A$5001,"&lt;="&amp;$G$7,BD!$B$3:$B$5001,$D$2))</f>
        <v>0</v>
      </c>
      <c r="C298" s="32">
        <f>IF($B$2="Todos",SUMIFS(BD!$S$3:$S$5001,BD!$A$3:$A$5001,"&gt;="&amp;$F$8,BD!$A$3:$A$5001,"&lt;="&amp;$G$8),SUMIFS(BD!$S$3:$S$5001,BD!$A$3:$A$5001,"&gt;="&amp;$F$8,BD!$A$3:$A$5001,"&lt;="&amp;$G$8,BD!$B$3:$B$5001,$D$2))</f>
        <v>0</v>
      </c>
      <c r="D298" s="48" t="str">
        <f>IF(AND(ISNUMBER(B298),ISNUMBER(C298)),IF(C298&lt;&gt;0,B298/C298-1,""),"")</f>
        <v/>
      </c>
    </row>
    <row r="299">
      <c r="A299" s="29" t="inlineStr">
        <is>
          <t xml:space="preserve">OUT · Toneladas Movimentadas</t>
        </is>
      </c>
      <c r="B299" s="60">
        <f>IF($B$2="Todos",SUMIFS(BD!$T$3:$T$5001,BD!$A$3:$A$5001,"&gt;="&amp;$F$7,BD!$A$3:$A$5001,"&lt;="&amp;$G$7),SUMIFS(BD!$T$3:$T$5001,BD!$A$3:$A$5001,"&gt;="&amp;$F$7,BD!$A$3:$A$5001,"&lt;="&amp;$G$7,BD!$B$3:$B$5001,$D$2))</f>
        <v>0</v>
      </c>
      <c r="C299" s="60">
        <f>IF($B$2="Todos",SUMIFS(BD!$T$3:$T$5001,BD!$A$3:$A$5001,"&gt;="&amp;$F$8,BD!$A$3:$A$5001,"&lt;="&amp;$G$8),SUMIFS(BD!$T$3:$T$5001,BD!$A$3:$A$5001,"&gt;="&amp;$F$8,BD!$A$3:$A$5001,"&lt;="&amp;$G$8,BD!$B$3:$B$5001,$D$2))</f>
        <v>0</v>
      </c>
      <c r="D299" s="48" t="str">
        <f>IF(AND(ISNUMBER(B299),ISNUMBER(C299)),IF(C299&lt;&gt;0,B299/C299-1,""),"")</f>
        <v/>
      </c>
    </row>
    <row r="300">
      <c r="A300" s="29" t="inlineStr">
        <is>
          <t xml:space="preserve">NC · Incidentes</t>
        </is>
      </c>
      <c r="B300" s="32">
        <f>IF($B$2="Todos",SUMIFS(BD!$U$3:$U$5001,BD!$A$3:$A$5001,"&gt;="&amp;$F$7,BD!$A$3:$A$5001,"&lt;="&amp;$G$7),SUMIFS(BD!$U$3:$U$5001,BD!$A$3:$A$5001,"&gt;="&amp;$F$7,BD!$A$3:$A$5001,"&lt;="&amp;$G$7,BD!$B$3:$B$5001,$D$2))</f>
        <v>0</v>
      </c>
      <c r="C300" s="32">
        <f>IF($B$2="Todos",SUMIFS(BD!$U$3:$U$5001,BD!$A$3:$A$5001,"&gt;="&amp;$F$8,BD!$A$3:$A$5001,"&lt;="&amp;$G$8),SUMIFS(BD!$U$3:$U$5001,BD!$A$3:$A$5001,"&gt;="&amp;$F$8,BD!$A$3:$A$5001,"&lt;="&amp;$G$8,BD!$B$3:$B$5001,$D$2))</f>
        <v>0</v>
      </c>
      <c r="D300" s="48" t="str">
        <f>IF(AND(ISNUMBER(B300),ISNUMBER(C300)),IF(C300&lt;&gt;0,B300/C300-1,""),"")</f>
        <v/>
      </c>
    </row>
    <row r="301">
      <c r="A301" s="29" t="inlineStr">
        <is>
          <t xml:space="preserve">NC · No show</t>
        </is>
      </c>
      <c r="B301" s="32">
        <f>IF($B$2="Todos",SUMIFS(BD!$V$3:$V$5001,BD!$A$3:$A$5001,"&gt;="&amp;$F$7,BD!$A$3:$A$5001,"&lt;="&amp;$G$7),SUMIFS(BD!$V$3:$V$5001,BD!$A$3:$A$5001,"&gt;="&amp;$F$7,BD!$A$3:$A$5001,"&lt;="&amp;$G$7,BD!$B$3:$B$5001,$D$2))</f>
        <v>0</v>
      </c>
      <c r="C301" s="32">
        <f>IF($B$2="Todos",SUMIFS(BD!$V$3:$V$5001,BD!$A$3:$A$5001,"&gt;="&amp;$F$8,BD!$A$3:$A$5001,"&lt;="&amp;$G$8),SUMIFS(BD!$V$3:$V$5001,BD!$A$3:$A$5001,"&gt;="&amp;$F$8,BD!$A$3:$A$5001,"&lt;="&amp;$G$8,BD!$B$3:$B$5001,$D$2))</f>
        <v>0</v>
      </c>
      <c r="D301" s="48" t="str">
        <f>IF(AND(ISNUMBER(B301),ISNUMBER(C301)),IF(C301&lt;&gt;0,B301/C301-1,""),"")</f>
        <v/>
      </c>
    </row>
    <row r="302">
      <c r="A302" s="29" t="inlineStr">
        <is>
          <t xml:space="preserve">NC · Backlog</t>
        </is>
      </c>
      <c r="B302" s="32" t="str">
        <f>IF($B$2="Todos",IF(COUNT($C$282:$C$290)=0,"",SUM($C$282:$C$290)),IFERROR(INDEX($C$282:$C$290,MATCH($D$2,$A$282:$A$290,0)),""))</f>
        <v/>
      </c>
      <c r="C302" s="32" t="str">
        <f>IF($B$2="Todos",IF(COUNT($D$282:$D$290)=0,"",SUM($D$282:$D$290)),IFERROR(INDEX($D$282:$D$290,MATCH($D$2,$A$282:$A$290,0)),""))</f>
        <v/>
      </c>
      <c r="D302" s="48" t="str">
        <f>IF(AND(ISNUMBER(B302),ISNUMBER(C302)),IF(C302&lt;&gt;0,B302/C302-1,""),"")</f>
        <v/>
      </c>
    </row>
    <row r="303">
      <c r="A303" s="29" t="inlineStr">
        <is>
          <t xml:space="preserve">OCUPAÇÃO (P.P) · Posições Ocupadas</t>
        </is>
      </c>
      <c r="B303" s="32" t="str">
        <f>IF($B$2="Todos",IF(COUNT($E$282:$E$290)=0,"",SUM($E$282:$E$290)),IFERROR(INDEX($E$282:$E$290,MATCH($D$2,$A$282:$A$290,0)),""))</f>
        <v/>
      </c>
      <c r="C303" s="32" t="str">
        <f>IF($B$2="Todos",IF(COUNT($F$282:$F$290)=0,"",SUM($F$282:$F$290)),IFERROR(INDEX($F$282:$F$290,MATCH($D$2,$A$282:$A$290,0)),""))</f>
        <v/>
      </c>
      <c r="D303" s="48" t="str">
        <f>IF(AND(ISNUMBER(B303),ISNUMBER(C303)),IF(C303&lt;&gt;0,B303/C303-1,""),"")</f>
        <v/>
      </c>
    </row>
    <row r="304">
      <c r="A304" s="29" t="inlineStr">
        <is>
          <t xml:space="preserve">OCUPAÇÃO (P.P) · Posições Disponíveis</t>
        </is>
      </c>
      <c r="B304" s="32" t="str">
        <f>IF(B303="","",IF($B$2="Todos",IF($B$4&gt;0,$B$4,IF($B$2="Todos",IF(COUNT($G$282:$G$290)=0,"",SUM($G$282:$G$290)),IFERROR(INDEX($G$282:$G$290,MATCH($D$2,$A$282:$A$290,0)),""))),IF($B$2="Todos",IF(COUNT($G$282:$G$290)=0,"",SUM($G$282:$G$290)),IFERROR(INDEX($G$282:$G$290,MATCH($D$2,$A$282:$A$290,0)),""))))</f>
        <v/>
      </c>
      <c r="C304" s="32" t="str">
        <f>IF(C303="","",IF($B$2="Todos",IF($B$4&gt;0,$B$4,IF($B$2="Todos",IF(COUNT($H$282:$H$290)=0,"",SUM($H$282:$H$290)),IFERROR(INDEX($H$282:$H$290,MATCH($D$2,$A$282:$A$290,0)),""))),IF($B$2="Todos",IF(COUNT($H$282:$H$290)=0,"",SUM($H$282:$H$290)),IFERROR(INDEX($H$282:$H$290,MATCH($D$2,$A$282:$A$290,0)),""))))</f>
        <v/>
      </c>
      <c r="D304" s="48" t="str">
        <f>IF(AND(ISNUMBER(B304),ISNUMBER(C304)),IF(C304&lt;&gt;0,B304/C304-1,""),"")</f>
        <v/>
      </c>
    </row>
    <row r="305">
      <c r="A305" s="29" t="inlineStr">
        <is>
          <t xml:space="preserve">OCUPAÇÃO (P.P) · Taxa de Ocupação</t>
        </is>
      </c>
      <c r="B305" s="48" t="str">
        <f>IF(AND(ISNUMBER(B303),ISNUMBER(B304)),IF(B304&gt;0,B303/B304,""),"")</f>
        <v/>
      </c>
      <c r="C305" s="48" t="str">
        <f>IF(AND(ISNUMBER(C303),ISNUMBER(C304)),IF(C304&gt;0,C303/C304,""),"")</f>
        <v/>
      </c>
      <c r="D305" s="48" t="str">
        <f>IF(AND(ISNUMBER(B305),ISNUMBER(C305)),IF(C305&lt;&gt;0,B305/C305-1,""),"")</f>
        <v/>
      </c>
    </row>
    <row r="306">
      <c r="A306" s="29" t="inlineStr">
        <is>
          <t xml:space="preserve">OCUPAÇÃO (P.P) · Ociosidade</t>
        </is>
      </c>
      <c r="B306" s="48" t="str">
        <f>IF(ISNUMBER(B305),1-B305,"")</f>
        <v/>
      </c>
      <c r="C306" s="48" t="str">
        <f>IF(ISNUMBER(C305),1-C305,"")</f>
        <v/>
      </c>
      <c r="D306" s="48" t="str">
        <f>IF(AND(ISNUMBER(B306),ISNUMBER(C306)),IF(C306&lt;&gt;0,B306/C306-1,""),"")</f>
        <v/>
      </c>
    </row>
    <row r="307">
      <c r="A307" s="29" t="inlineStr">
        <is>
          <t xml:space="preserve">GENTE · Efetivo Op.</t>
        </is>
      </c>
      <c r="B307" s="32" t="str">
        <f>IF($B$2="Todos",IF(COUNT($I$282:$I$290)=0,"",SUM($I$282:$I$290)),IFERROR(INDEX($I$282:$I$290,MATCH($D$2,$A$282:$A$290,0)),""))</f>
        <v/>
      </c>
      <c r="C307" s="32" t="str">
        <f>IF($B$2="Todos",IF(COUNT($J$282:$J$290)=0,"",SUM($J$282:$J$290)),IFERROR(INDEX($J$282:$J$290,MATCH($D$2,$A$282:$A$290,0)),""))</f>
        <v/>
      </c>
      <c r="D307" s="48" t="str">
        <f>IF(AND(ISNUMBER(B307),ISNUMBER(C307)),IF(C307&lt;&gt;0,B307/C307-1,""),"")</f>
        <v/>
      </c>
    </row>
    <row r="308">
      <c r="A308" s="29" t="inlineStr">
        <is>
          <t xml:space="preserve">GENTE · Homem-dia (soma do efetivo diário)</t>
        </is>
      </c>
      <c r="B308" s="32">
        <f>IF($B$2="Todos",SUMIFS(BD!$Z$3:$Z$5001,BD!$A$3:$A$5001,"&gt;="&amp;$F$7,BD!$A$3:$A$5001,"&lt;="&amp;$G$7),SUMIFS(BD!$Z$3:$Z$5001,BD!$A$3:$A$5001,"&gt;="&amp;$F$7,BD!$A$3:$A$5001,"&lt;="&amp;$G$7,BD!$B$3:$B$5001,$D$2))</f>
        <v>0</v>
      </c>
      <c r="C308" s="32">
        <f>IF($B$2="Todos",SUMIFS(BD!$Z$3:$Z$5001,BD!$A$3:$A$5001,"&gt;="&amp;$F$8,BD!$A$3:$A$5001,"&lt;="&amp;$G$8),SUMIFS(BD!$Z$3:$Z$5001,BD!$A$3:$A$5001,"&gt;="&amp;$F$8,BD!$A$3:$A$5001,"&lt;="&amp;$G$8,BD!$B$3:$B$5001,$D$2))</f>
        <v>0</v>
      </c>
      <c r="D308" s="48" t="str">
        <f>IF(AND(ISNUMBER(B308),ISNUMBER(C308)),IF(C308&lt;&gt;0,B308/C308-1,""),"")</f>
        <v/>
      </c>
    </row>
    <row r="309">
      <c r="A309" s="29" t="inlineStr">
        <is>
          <t xml:space="preserve">GENTE · Falta</t>
        </is>
      </c>
      <c r="B309" s="32">
        <f>IF($B$2="Todos",SUMIFS(BD!$AA$3:$AA$5001,BD!$A$3:$A$5001,"&gt;="&amp;$F$7,BD!$A$3:$A$5001,"&lt;="&amp;$G$7),SUMIFS(BD!$AA$3:$AA$5001,BD!$A$3:$A$5001,"&gt;="&amp;$F$7,BD!$A$3:$A$5001,"&lt;="&amp;$G$7,BD!$B$3:$B$5001,$D$2))</f>
        <v>0</v>
      </c>
      <c r="C309" s="32">
        <f>IF($B$2="Todos",SUMIFS(BD!$AA$3:$AA$5001,BD!$A$3:$A$5001,"&gt;="&amp;$F$8,BD!$A$3:$A$5001,"&lt;="&amp;$G$8),SUMIFS(BD!$AA$3:$AA$5001,BD!$A$3:$A$5001,"&gt;="&amp;$F$8,BD!$A$3:$A$5001,"&lt;="&amp;$G$8,BD!$B$3:$B$5001,$D$2))</f>
        <v>0</v>
      </c>
      <c r="D309" s="48" t="str">
        <f>IF(AND(ISNUMBER(B309),ISNUMBER(C309)),IF(C309&lt;&gt;0,B309/C309-1,""),"")</f>
        <v/>
      </c>
    </row>
    <row r="310">
      <c r="A310" s="29" t="inlineStr">
        <is>
          <t xml:space="preserve">GENTE · Absenteísmo (H/H) = faltas ÷ homem-dia</t>
        </is>
      </c>
      <c r="B310" s="48" t="str">
        <f>IF(N(B308)&gt;0,N(B309)/B308,"")</f>
        <v/>
      </c>
      <c r="C310" s="48" t="str">
        <f>IF(N(C308)&gt;0,N(C309)/C308,"")</f>
        <v/>
      </c>
      <c r="D310" s="48" t="str">
        <f>IF(AND(ISNUMBER(B310),ISNUMBER(C310)),IF(C310&lt;&gt;0,B310/C310-1,""),"")</f>
        <v/>
      </c>
    </row>
    <row r="311">
      <c r="A311" s="29" t="inlineStr">
        <is>
          <t xml:space="preserve">GENTE · Folga</t>
        </is>
      </c>
      <c r="B311" s="32">
        <f>IF($B$2="Todos",SUMIFS(BD!$AB$3:$AB$5001,BD!$A$3:$A$5001,"&gt;="&amp;$F$7,BD!$A$3:$A$5001,"&lt;="&amp;$G$7),SUMIFS(BD!$AB$3:$AB$5001,BD!$A$3:$A$5001,"&gt;="&amp;$F$7,BD!$A$3:$A$5001,"&lt;="&amp;$G$7,BD!$B$3:$B$5001,$D$2))</f>
        <v>0</v>
      </c>
      <c r="C311" s="32">
        <f>IF($B$2="Todos",SUMIFS(BD!$AB$3:$AB$5001,BD!$A$3:$A$5001,"&gt;="&amp;$F$8,BD!$A$3:$A$5001,"&lt;="&amp;$G$8),SUMIFS(BD!$AB$3:$AB$5001,BD!$A$3:$A$5001,"&gt;="&amp;$F$8,BD!$A$3:$A$5001,"&lt;="&amp;$G$8,BD!$B$3:$B$5001,$D$2))</f>
        <v>0</v>
      </c>
      <c r="D311" s="48" t="str">
        <f>IF(AND(ISNUMBER(B311),ISNUMBER(C311)),IF(C311&lt;&gt;0,B311/C311-1,""),"")</f>
        <v/>
      </c>
    </row>
    <row r="312">
      <c r="A312" s="29" t="inlineStr">
        <is>
          <t xml:space="preserve">GENTE · Férias</t>
        </is>
      </c>
      <c r="B312" s="32">
        <f>IF($B$2="Todos",SUMIFS(BD!$AC$3:$AC$5001,BD!$A$3:$A$5001,"&gt;="&amp;$F$7,BD!$A$3:$A$5001,"&lt;="&amp;$G$7),SUMIFS(BD!$AC$3:$AC$5001,BD!$A$3:$A$5001,"&gt;="&amp;$F$7,BD!$A$3:$A$5001,"&lt;="&amp;$G$7,BD!$B$3:$B$5001,$D$2))</f>
        <v>0</v>
      </c>
      <c r="C312" s="32">
        <f>IF($B$2="Todos",SUMIFS(BD!$AC$3:$AC$5001,BD!$A$3:$A$5001,"&gt;="&amp;$F$8,BD!$A$3:$A$5001,"&lt;="&amp;$G$8),SUMIFS(BD!$AC$3:$AC$5001,BD!$A$3:$A$5001,"&gt;="&amp;$F$8,BD!$A$3:$A$5001,"&lt;="&amp;$G$8,BD!$B$3:$B$5001,$D$2))</f>
        <v>0</v>
      </c>
      <c r="D312" s="48" t="str">
        <f>IF(AND(ISNUMBER(B312),ISNUMBER(C312)),IF(C312&lt;&gt;0,B312/C312-1,""),"")</f>
        <v/>
      </c>
    </row>
    <row r="313">
      <c r="A313" s="29" t="inlineStr">
        <is>
          <t xml:space="preserve">GENTE · Desligamento</t>
        </is>
      </c>
      <c r="B313" s="32">
        <f>IF($B$2="Todos",SUMIFS(BD!$AD$3:$AD$5001,BD!$A$3:$A$5001,"&gt;="&amp;$F$7,BD!$A$3:$A$5001,"&lt;="&amp;$G$7),SUMIFS(BD!$AD$3:$AD$5001,BD!$A$3:$A$5001,"&gt;="&amp;$F$7,BD!$A$3:$A$5001,"&lt;="&amp;$G$7,BD!$B$3:$B$5001,$D$2))</f>
        <v>0</v>
      </c>
      <c r="C313" s="32">
        <f>IF($B$2="Todos",SUMIFS(BD!$AD$3:$AD$5001,BD!$A$3:$A$5001,"&gt;="&amp;$F$8,BD!$A$3:$A$5001,"&lt;="&amp;$G$8),SUMIFS(BD!$AD$3:$AD$5001,BD!$A$3:$A$5001,"&gt;="&amp;$F$8,BD!$A$3:$A$5001,"&lt;="&amp;$G$8,BD!$B$3:$B$5001,$D$2))</f>
        <v>0</v>
      </c>
      <c r="D313" s="48" t="str">
        <f>IF(AND(ISNUMBER(B313),ISNUMBER(C313)),IF(C313&lt;&gt;0,B313/C313-1,""),"")</f>
        <v/>
      </c>
    </row>
    <row r="314">
      <c r="A314" s="29" t="inlineStr">
        <is>
          <t xml:space="preserve">GENTE · Turnover = desligamentos ÷ efetivo</t>
        </is>
      </c>
      <c r="B314" s="48" t="str">
        <f>IF(N(B307)&gt;0,N(B313)/B307,"")</f>
        <v/>
      </c>
      <c r="C314" s="48" t="str">
        <f>IF(N(C307)&gt;0,N(C313)/C307,"")</f>
        <v/>
      </c>
      <c r="D314" s="48" t="str">
        <f>IF(AND(ISNUMBER(B314),ISNUMBER(C314)),IF(C314&lt;&gt;0,B314/C314-1,""),"")</f>
        <v/>
      </c>
    </row>
    <row r="315">
      <c r="A315" s="29" t="inlineStr">
        <is>
          <t xml:space="preserve">GENTE · Desvios Comportamentais</t>
        </is>
      </c>
      <c r="B315" s="32">
        <f>IF($B$2="Todos",SUMIFS(BD!$AE$3:$AE$5001,BD!$A$3:$A$5001,"&gt;="&amp;$F$7,BD!$A$3:$A$5001,"&lt;="&amp;$G$7),SUMIFS(BD!$AE$3:$AE$5001,BD!$A$3:$A$5001,"&gt;="&amp;$F$7,BD!$A$3:$A$5001,"&lt;="&amp;$G$7,BD!$B$3:$B$5001,$D$2))</f>
        <v>0</v>
      </c>
      <c r="C315" s="32">
        <f>IF($B$2="Todos",SUMIFS(BD!$AE$3:$AE$5001,BD!$A$3:$A$5001,"&gt;="&amp;$F$8,BD!$A$3:$A$5001,"&lt;="&amp;$G$8),SUMIFS(BD!$AE$3:$AE$5001,BD!$A$3:$A$5001,"&gt;="&amp;$F$8,BD!$A$3:$A$5001,"&lt;="&amp;$G$8,BD!$B$3:$B$5001,$D$2))</f>
        <v>0</v>
      </c>
      <c r="D315" s="48" t="str">
        <f>IF(AND(ISNUMBER(B315),ISNUMBER(C315)),IF(C315&lt;&gt;0,B315/C315-1,""),"")</f>
        <v/>
      </c>
    </row>
    <row r="316">
      <c r="A316" s="29" t="inlineStr">
        <is>
          <t xml:space="preserve">GENTE · Acidentes CAF</t>
        </is>
      </c>
      <c r="B316" s="32">
        <f>IF($B$2="Todos",SUMIFS(BD!$AF$3:$AF$5001,BD!$A$3:$A$5001,"&gt;="&amp;$F$7,BD!$A$3:$A$5001,"&lt;="&amp;$G$7),SUMIFS(BD!$AF$3:$AF$5001,BD!$A$3:$A$5001,"&gt;="&amp;$F$7,BD!$A$3:$A$5001,"&lt;="&amp;$G$7,BD!$B$3:$B$5001,$D$2))</f>
        <v>0</v>
      </c>
      <c r="C316" s="32">
        <f>IF($B$2="Todos",SUMIFS(BD!$AF$3:$AF$5001,BD!$A$3:$A$5001,"&gt;="&amp;$F$8,BD!$A$3:$A$5001,"&lt;="&amp;$G$8),SUMIFS(BD!$AF$3:$AF$5001,BD!$A$3:$A$5001,"&gt;="&amp;$F$8,BD!$A$3:$A$5001,"&lt;="&amp;$G$8,BD!$B$3:$B$5001,$D$2))</f>
        <v>0</v>
      </c>
      <c r="D316" s="48" t="str">
        <f>IF(AND(ISNUMBER(B316),ISNUMBER(C316)),IF(C316&lt;&gt;0,B316/C316-1,""),"")</f>
        <v/>
      </c>
    </row>
    <row r="317">
      <c r="A317" s="29" t="inlineStr">
        <is>
          <t xml:space="preserve">GENTE · Acidentes SAF</t>
        </is>
      </c>
      <c r="B317" s="32">
        <f>IF($B$2="Todos",SUMIFS(BD!$AG$3:$AG$5001,BD!$A$3:$A$5001,"&gt;="&amp;$F$7,BD!$A$3:$A$5001,"&lt;="&amp;$G$7),SUMIFS(BD!$AG$3:$AG$5001,BD!$A$3:$A$5001,"&gt;="&amp;$F$7,BD!$A$3:$A$5001,"&lt;="&amp;$G$7,BD!$B$3:$B$5001,$D$2))</f>
        <v>0</v>
      </c>
      <c r="C317" s="32">
        <f>IF($B$2="Todos",SUMIFS(BD!$AG$3:$AG$5001,BD!$A$3:$A$5001,"&gt;="&amp;$F$8,BD!$A$3:$A$5001,"&lt;="&amp;$G$8),SUMIFS(BD!$AG$3:$AG$5001,BD!$A$3:$A$5001,"&gt;="&amp;$F$8,BD!$A$3:$A$5001,"&lt;="&amp;$G$8,BD!$B$3:$B$5001,$D$2))</f>
        <v>0</v>
      </c>
      <c r="D317" s="48" t="str">
        <f>IF(AND(ISNUMBER(B317),ISNUMBER(C317)),IF(C317&lt;&gt;0,B317/C317-1,""),"")</f>
        <v/>
      </c>
    </row>
    <row r="318">
      <c r="A318" s="29" t="inlineStr">
        <is>
          <t xml:space="preserve">IN · Linhas NF</t>
        </is>
      </c>
      <c r="B318" s="32">
        <f>IF($B$2="Todos",SUMIFS(BD!$F$3:$F$5001,BD!$A$3:$A$5001,"&gt;="&amp;$F$7,BD!$A$3:$A$5001,"&lt;="&amp;$G$7),SUMIFS(BD!$F$3:$F$5001,BD!$A$3:$A$5001,"&gt;="&amp;$F$7,BD!$A$3:$A$5001,"&lt;="&amp;$G$7,BD!$B$3:$B$5001,$D$2))</f>
        <v>0</v>
      </c>
      <c r="C318" s="32">
        <f>IF($B$2="Todos",SUMIFS(BD!$F$3:$F$5001,BD!$A$3:$A$5001,"&gt;="&amp;$F$8,BD!$A$3:$A$5001,"&lt;="&amp;$G$8),SUMIFS(BD!$F$3:$F$5001,BD!$A$3:$A$5001,"&gt;="&amp;$F$8,BD!$A$3:$A$5001,"&lt;="&amp;$G$8,BD!$B$3:$B$5001,$D$2))</f>
        <v>0</v>
      </c>
      <c r="D318" s="48" t="str">
        <f>IF(AND(ISNUMBER(B318),ISNUMBER(C318)),IF(C318&lt;&gt;0,B318/C318-1,""),"")</f>
        <v/>
      </c>
    </row>
    <row r="319">
      <c r="A319" s="29" t="inlineStr">
        <is>
          <t xml:space="preserve">IN · Caixas Movimentadas</t>
        </is>
      </c>
      <c r="B319" s="32">
        <f>IF($B$2="Todos",SUMIFS(BD!$G$3:$G$5001,BD!$A$3:$A$5001,"&gt;="&amp;$F$7,BD!$A$3:$A$5001,"&lt;="&amp;$G$7),SUMIFS(BD!$G$3:$G$5001,BD!$A$3:$A$5001,"&gt;="&amp;$F$7,BD!$A$3:$A$5001,"&lt;="&amp;$G$7,BD!$B$3:$B$5001,$D$2))</f>
        <v>0</v>
      </c>
      <c r="C319" s="32">
        <f>IF($B$2="Todos",SUMIFS(BD!$G$3:$G$5001,BD!$A$3:$A$5001,"&gt;="&amp;$F$8,BD!$A$3:$A$5001,"&lt;="&amp;$G$8),SUMIFS(BD!$G$3:$G$5001,BD!$A$3:$A$5001,"&gt;="&amp;$F$8,BD!$A$3:$A$5001,"&lt;="&amp;$G$8,BD!$B$3:$B$5001,$D$2))</f>
        <v>0</v>
      </c>
      <c r="D319" s="48" t="str">
        <f>IF(AND(ISNUMBER(B319),ISNUMBER(C319)),IF(C319&lt;&gt;0,B319/C319-1,""),"")</f>
        <v/>
      </c>
    </row>
    <row r="320">
      <c r="A320" s="29" t="inlineStr">
        <is>
          <t xml:space="preserve">IN · Peças Movimentadas</t>
        </is>
      </c>
      <c r="B320" s="32">
        <f>IF($B$2="Todos",SUMIFS(BD!$H$3:$H$5001,BD!$A$3:$A$5001,"&gt;="&amp;$F$7,BD!$A$3:$A$5001,"&lt;="&amp;$G$7),SUMIFS(BD!$H$3:$H$5001,BD!$A$3:$A$5001,"&gt;="&amp;$F$7,BD!$A$3:$A$5001,"&lt;="&amp;$G$7,BD!$B$3:$B$5001,$D$2))</f>
        <v>0</v>
      </c>
      <c r="C320" s="32">
        <f>IF($B$2="Todos",SUMIFS(BD!$H$3:$H$5001,BD!$A$3:$A$5001,"&gt;="&amp;$F$8,BD!$A$3:$A$5001,"&lt;="&amp;$G$8),SUMIFS(BD!$H$3:$H$5001,BD!$A$3:$A$5001,"&gt;="&amp;$F$8,BD!$A$3:$A$5001,"&lt;="&amp;$G$8,BD!$B$3:$B$5001,$D$2))</f>
        <v>0</v>
      </c>
      <c r="D320" s="48" t="str">
        <f>IF(AND(ISNUMBER(B320),ISNUMBER(C320)),IF(C320&lt;&gt;0,B320/C320-1,""),"")</f>
        <v/>
      </c>
    </row>
    <row r="321">
      <c r="A321" s="29" t="inlineStr">
        <is>
          <t xml:space="preserve">IN · Itens Recebidos CX Mista</t>
        </is>
      </c>
      <c r="B321" s="32">
        <f>IF($B$2="Todos",SUMIFS(BD!$I$3:$I$5001,BD!$A$3:$A$5001,"&gt;="&amp;$F$7,BD!$A$3:$A$5001,"&lt;="&amp;$G$7),SUMIFS(BD!$I$3:$I$5001,BD!$A$3:$A$5001,"&gt;="&amp;$F$7,BD!$A$3:$A$5001,"&lt;="&amp;$G$7,BD!$B$3:$B$5001,$D$2))</f>
        <v>0</v>
      </c>
      <c r="C321" s="32">
        <f>IF($B$2="Todos",SUMIFS(BD!$I$3:$I$5001,BD!$A$3:$A$5001,"&gt;="&amp;$F$8,BD!$A$3:$A$5001,"&lt;="&amp;$G$8),SUMIFS(BD!$I$3:$I$5001,BD!$A$3:$A$5001,"&gt;="&amp;$F$8,BD!$A$3:$A$5001,"&lt;="&amp;$G$8,BD!$B$3:$B$5001,$D$2))</f>
        <v>0</v>
      </c>
      <c r="D321" s="48" t="str">
        <f>IF(AND(ISNUMBER(B321),ISNUMBER(C321)),IF(C321&lt;&gt;0,B321/C321-1,""),"")</f>
        <v/>
      </c>
    </row>
    <row r="322">
      <c r="A322" s="29" t="inlineStr">
        <is>
          <t xml:space="preserve">IN · Caixas Fechadas</t>
        </is>
      </c>
      <c r="B322" s="32">
        <f>IF($B$2="Todos",SUMIFS(BD!$J$3:$J$5001,BD!$A$3:$A$5001,"&gt;="&amp;$F$7,BD!$A$3:$A$5001,"&lt;="&amp;$G$7),SUMIFS(BD!$J$3:$J$5001,BD!$A$3:$A$5001,"&gt;="&amp;$F$7,BD!$A$3:$A$5001,"&lt;="&amp;$G$7,BD!$B$3:$B$5001,$D$2))</f>
        <v>0</v>
      </c>
      <c r="C322" s="32">
        <f>IF($B$2="Todos",SUMIFS(BD!$J$3:$J$5001,BD!$A$3:$A$5001,"&gt;="&amp;$F$8,BD!$A$3:$A$5001,"&lt;="&amp;$G$8),SUMIFS(BD!$J$3:$J$5001,BD!$A$3:$A$5001,"&gt;="&amp;$F$8,BD!$A$3:$A$5001,"&lt;="&amp;$G$8,BD!$B$3:$B$5001,$D$2))</f>
        <v>0</v>
      </c>
      <c r="D322" s="48" t="str">
        <f>IF(AND(ISNUMBER(B322),ISNUMBER(C322)),IF(C322&lt;&gt;0,B322/C322-1,""),"")</f>
        <v/>
      </c>
    </row>
    <row r="323">
      <c r="A323" s="29" t="inlineStr">
        <is>
          <t xml:space="preserve">IN · Caixas Mistas Recebidas</t>
        </is>
      </c>
      <c r="B323" s="32">
        <f>IF($B$2="Todos",SUMIFS(BD!$K$3:$K$5001,BD!$A$3:$A$5001,"&gt;="&amp;$F$7,BD!$A$3:$A$5001,"&lt;="&amp;$G$7),SUMIFS(BD!$K$3:$K$5001,BD!$A$3:$A$5001,"&gt;="&amp;$F$7,BD!$A$3:$A$5001,"&lt;="&amp;$G$7,BD!$B$3:$B$5001,$D$2))</f>
        <v>0</v>
      </c>
      <c r="C323" s="32">
        <f>IF($B$2="Todos",SUMIFS(BD!$K$3:$K$5001,BD!$A$3:$A$5001,"&gt;="&amp;$F$8,BD!$A$3:$A$5001,"&lt;="&amp;$G$8),SUMIFS(BD!$K$3:$K$5001,BD!$A$3:$A$5001,"&gt;="&amp;$F$8,BD!$A$3:$A$5001,"&lt;="&amp;$G$8,BD!$B$3:$B$5001,$D$2))</f>
        <v>0</v>
      </c>
      <c r="D323" s="48" t="str">
        <f>IF(AND(ISNUMBER(B323),ISNUMBER(C323)),IF(C323&lt;&gt;0,B323/C323-1,""),"")</f>
        <v/>
      </c>
    </row>
    <row r="324">
      <c r="A324" s="29" t="inlineStr">
        <is>
          <t xml:space="preserve">OUT · Pedidos Expedidos</t>
        </is>
      </c>
      <c r="B324" s="32">
        <f>IF($B$2="Todos",SUMIFS(BD!$M$3:$M$5001,BD!$A$3:$A$5001,"&gt;="&amp;$F$7,BD!$A$3:$A$5001,"&lt;="&amp;$G$7),SUMIFS(BD!$M$3:$M$5001,BD!$A$3:$A$5001,"&gt;="&amp;$F$7,BD!$A$3:$A$5001,"&lt;="&amp;$G$7,BD!$B$3:$B$5001,$D$2))</f>
        <v>0</v>
      </c>
      <c r="C324" s="32">
        <f>IF($B$2="Todos",SUMIFS(BD!$M$3:$M$5001,BD!$A$3:$A$5001,"&gt;="&amp;$F$8,BD!$A$3:$A$5001,"&lt;="&amp;$G$8),SUMIFS(BD!$M$3:$M$5001,BD!$A$3:$A$5001,"&gt;="&amp;$F$8,BD!$A$3:$A$5001,"&lt;="&amp;$G$8,BD!$B$3:$B$5001,$D$2))</f>
        <v>0</v>
      </c>
      <c r="D324" s="48" t="str">
        <f>IF(AND(ISNUMBER(B324),ISNUMBER(C324)),IF(C324&lt;&gt;0,B324/C324-1,""),"")</f>
        <v/>
      </c>
    </row>
    <row r="325">
      <c r="A325" s="29" t="inlineStr">
        <is>
          <t xml:space="preserve">OUT · Pedidos Faturados</t>
        </is>
      </c>
      <c r="B325" s="32">
        <f>IF($B$2="Todos",SUMIFS(BD!$N$3:$N$5001,BD!$A$3:$A$5001,"&gt;="&amp;$F$7,BD!$A$3:$A$5001,"&lt;="&amp;$G$7),SUMIFS(BD!$N$3:$N$5001,BD!$A$3:$A$5001,"&gt;="&amp;$F$7,BD!$A$3:$A$5001,"&lt;="&amp;$G$7,BD!$B$3:$B$5001,$D$2))</f>
        <v>0</v>
      </c>
      <c r="C325" s="32">
        <f>IF($B$2="Todos",SUMIFS(BD!$N$3:$N$5001,BD!$A$3:$A$5001,"&gt;="&amp;$F$8,BD!$A$3:$A$5001,"&lt;="&amp;$G$8),SUMIFS(BD!$N$3:$N$5001,BD!$A$3:$A$5001,"&gt;="&amp;$F$8,BD!$A$3:$A$5001,"&lt;="&amp;$G$8,BD!$B$3:$B$5001,$D$2))</f>
        <v>0</v>
      </c>
      <c r="D325" s="48" t="str">
        <f>IF(AND(ISNUMBER(B325),ISNUMBER(C325)),IF(C325&lt;&gt;0,B325/C325-1,""),"")</f>
        <v/>
      </c>
    </row>
    <row r="326">
      <c r="A326" s="29" t="inlineStr">
        <is>
          <t xml:space="preserve">OUT · Itens Expedidos</t>
        </is>
      </c>
      <c r="B326" s="32">
        <f>IF($B$2="Todos",SUMIFS(BD!$O$3:$O$5001,BD!$A$3:$A$5001,"&gt;="&amp;$F$7,BD!$A$3:$A$5001,"&lt;="&amp;$G$7),SUMIFS(BD!$O$3:$O$5001,BD!$A$3:$A$5001,"&gt;="&amp;$F$7,BD!$A$3:$A$5001,"&lt;="&amp;$G$7,BD!$B$3:$B$5001,$D$2))</f>
        <v>0</v>
      </c>
      <c r="C326" s="32">
        <f>IF($B$2="Todos",SUMIFS(BD!$O$3:$O$5001,BD!$A$3:$A$5001,"&gt;="&amp;$F$8,BD!$A$3:$A$5001,"&lt;="&amp;$G$8),SUMIFS(BD!$O$3:$O$5001,BD!$A$3:$A$5001,"&gt;="&amp;$F$8,BD!$A$3:$A$5001,"&lt;="&amp;$G$8,BD!$B$3:$B$5001,$D$2))</f>
        <v>0</v>
      </c>
      <c r="D326" s="48" t="str">
        <f>IF(AND(ISNUMBER(B326),ISNUMBER(C326)),IF(C326&lt;&gt;0,B326/C326-1,""),"")</f>
        <v/>
      </c>
    </row>
    <row r="327">
      <c r="A327" s="29" t="inlineStr">
        <is>
          <t xml:space="preserve">OUT · Peças Movimentadas</t>
        </is>
      </c>
      <c r="B327" s="32">
        <f>IF($B$2="Todos",SUMIFS(BD!$P$3:$P$5001,BD!$A$3:$A$5001,"&gt;="&amp;$F$7,BD!$A$3:$A$5001,"&lt;="&amp;$G$7),SUMIFS(BD!$P$3:$P$5001,BD!$A$3:$A$5001,"&gt;="&amp;$F$7,BD!$A$3:$A$5001,"&lt;="&amp;$G$7,BD!$B$3:$B$5001,$D$2))</f>
        <v>0</v>
      </c>
      <c r="C327" s="32">
        <f>IF($B$2="Todos",SUMIFS(BD!$P$3:$P$5001,BD!$A$3:$A$5001,"&gt;="&amp;$F$8,BD!$A$3:$A$5001,"&lt;="&amp;$G$8),SUMIFS(BD!$P$3:$P$5001,BD!$A$3:$A$5001,"&gt;="&amp;$F$8,BD!$A$3:$A$5001,"&lt;="&amp;$G$8,BD!$B$3:$B$5001,$D$2))</f>
        <v>0</v>
      </c>
      <c r="D327" s="48" t="str">
        <f>IF(AND(ISNUMBER(B327),ISNUMBER(C327)),IF(C327&lt;&gt;0,B327/C327-1,""),"")</f>
        <v/>
      </c>
    </row>
    <row r="328">
      <c r="A328" s="29" t="inlineStr">
        <is>
          <t xml:space="preserve">OUT · Linhas NF</t>
        </is>
      </c>
      <c r="B328" s="32">
        <f>IF($B$2="Todos",SUMIFS(BD!$Q$3:$Q$5001,BD!$A$3:$A$5001,"&gt;="&amp;$F$7,BD!$A$3:$A$5001,"&lt;="&amp;$G$7),SUMIFS(BD!$Q$3:$Q$5001,BD!$A$3:$A$5001,"&gt;="&amp;$F$7,BD!$A$3:$A$5001,"&lt;="&amp;$G$7,BD!$B$3:$B$5001,$D$2))</f>
        <v>0</v>
      </c>
      <c r="C328" s="32">
        <f>IF($B$2="Todos",SUMIFS(BD!$Q$3:$Q$5001,BD!$A$3:$A$5001,"&gt;="&amp;$F$8,BD!$A$3:$A$5001,"&lt;="&amp;$G$8),SUMIFS(BD!$Q$3:$Q$5001,BD!$A$3:$A$5001,"&gt;="&amp;$F$8,BD!$A$3:$A$5001,"&lt;="&amp;$G$8,BD!$B$3:$B$5001,$D$2))</f>
        <v>0</v>
      </c>
      <c r="D328" s="48" t="str">
        <f>IF(AND(ISNUMBER(B328),ISNUMBER(C328)),IF(C328&lt;&gt;0,B328/C328-1,""),"")</f>
        <v/>
      </c>
    </row>
    <row r="329">
      <c r="A329" s="29" t="inlineStr">
        <is>
          <t xml:space="preserve">OUT · Caixas Expedidas</t>
        </is>
      </c>
      <c r="B329" s="32">
        <f>IF($B$2="Todos",SUMIFS(BD!$R$3:$R$5001,BD!$A$3:$A$5001,"&gt;="&amp;$F$7,BD!$A$3:$A$5001,"&lt;="&amp;$G$7),SUMIFS(BD!$R$3:$R$5001,BD!$A$3:$A$5001,"&gt;="&amp;$F$7,BD!$A$3:$A$5001,"&lt;="&amp;$G$7,BD!$B$3:$B$5001,$D$2))</f>
        <v>0</v>
      </c>
      <c r="C329" s="32">
        <f>IF($B$2="Todos",SUMIFS(BD!$R$3:$R$5001,BD!$A$3:$A$5001,"&gt;="&amp;$F$8,BD!$A$3:$A$5001,"&lt;="&amp;$G$8),SUMIFS(BD!$R$3:$R$5001,BD!$A$3:$A$5001,"&gt;="&amp;$F$8,BD!$A$3:$A$5001,"&lt;="&amp;$G$8,BD!$B$3:$B$5001,$D$2))</f>
        <v>0</v>
      </c>
      <c r="D329" s="48" t="str">
        <f>IF(AND(ISNUMBER(B329),ISNUMBER(C329)),IF(C329&lt;&gt;0,B329/C329-1,""),"")</f>
        <v/>
      </c>
    </row>
    <row r="332">
      <c r="A332" s="43" t="inlineStr">
        <is>
          <t xml:space="preserve">Textos das linhas de apoio dos cards (Dashboard)</t>
        </is>
      </c>
    </row>
    <row r="333">
      <c r="A333" s="40" t="inlineStr">
        <is>
          <t xml:space="preserve">inA</t>
        </is>
      </c>
      <c r="B333" s="64" t="str">
        <f>IF(N(VALUE($B$335))=0,"",IF(ISNUMBER(IF(N(VALUE($E$335))=0,INDEX($B$294:$B$329,VALUE($B$335)),IF(AND(ISNUMBER(INDEX($B$294:$B$329,VALUE($B$335))),N(INDEX($B$294:$B$329,N(VALUE($E$335))))&gt;0),INDEX($B$294:$B$329,VALUE($B$335))/INDEX($B$294:$B$329,N(VALUE($E$335))),""))),FIXED(IF(N(VALUE($E$335))=0,INDEX($B$294:$B$329,VALUE($B$335)),IF(AND(ISNUMBER(INDEX($B$294:$B$329,VALUE($B$335))),N(INDEX($B$294:$B$329,N(VALUE($E$335))))&gt;0),INDEX($B$294:$B$329,VALUE($B$335))/INDEX($B$294:$B$329,N(VALUE($E$335))),"")),VALUE($D$335)),"—")&amp;" "&amp;$C$335)&amp;IF(AND(N(VALUE($B$335))&gt;0,N(VALUE($F$335))&gt;0),"  ·  ","")&amp;IF(N(VALUE($F$335))=0,"",IF(ISNUMBER(IF(N(VALUE($I$335))=0,INDEX($B$294:$B$329,VALUE($F$335)),IF(AND(ISNUMBER(INDEX($B$294:$B$329,VALUE($F$335))),N(INDEX($B$294:$B$329,N(VALUE($I$335))))&gt;0),INDEX($B$294:$B$329,VALUE($F$335))/INDEX($B$294:$B$329,N(VALUE($I$335))),""))),FIXED(IF(N(VALUE($I$335))=0,INDEX($B$294:$B$329,VALUE($F$335)),IF(AND(ISNUMBER(INDEX($B$294:$B$329,VALUE($F$335))),N(INDEX($B$294:$B$329,N(VALUE($I$335))))&gt;0),INDEX($B$294:$B$329,VALUE($F$335))/INDEX($B$294:$B$329,N(VALUE($I$335))),"")),VALUE($H$335)),"—")&amp;" "&amp;$G$335)</f>
        <v>0 pallets movimentados</v>
      </c>
      <c r="C333" s="40" t="inlineStr">
        <is>
          <t xml:space="preserve">inB</t>
        </is>
      </c>
      <c r="D333" s="64" t="str">
        <f>IF(N(VALUE($J$335))=0,"",IF(ISNUMBER(IF(N(VALUE($M$335))=0,INDEX($B$294:$B$329,VALUE($J$335)),IF(AND(ISNUMBER(INDEX($B$294:$B$329,VALUE($J$335))),N(INDEX($B$294:$B$329,N(VALUE($M$335))))&gt;0),INDEX($B$294:$B$329,VALUE($J$335))/INDEX($B$294:$B$329,N(VALUE($M$335))),""))),FIXED(IF(N(VALUE($M$335))=0,INDEX($B$294:$B$329,VALUE($J$335)),IF(AND(ISNUMBER(INDEX($B$294:$B$329,VALUE($J$335))),N(INDEX($B$294:$B$329,N(VALUE($M$335))))&gt;0),INDEX($B$294:$B$329,VALUE($J$335))/INDEX($B$294:$B$329,N(VALUE($M$335))),"")),VALUE($L$335)),"—")&amp;" "&amp;$K$335)&amp;IF(AND(N(VALUE($J$335))&gt;0,N(VALUE($N$335))&gt;0),"  ·  ","")&amp;IF(N(VALUE($N$335))=0,"",IF(ISNUMBER(IF(N(VALUE($Q$335))=0,INDEX($B$294:$B$329,VALUE($N$335)),IF(AND(ISNUMBER(INDEX($B$294:$B$329,VALUE($N$335))),N(INDEX($B$294:$B$329,N(VALUE($Q$335))))&gt;0),INDEX($B$294:$B$329,VALUE($N$335))/INDEX($B$294:$B$329,N(VALUE($Q$335))),""))),FIXED(IF(N(VALUE($Q$335))=0,INDEX($B$294:$B$329,VALUE($N$335)),IF(AND(ISNUMBER(INDEX($B$294:$B$329,VALUE($N$335))),N(INDEX($B$294:$B$329,N(VALUE($Q$335))))&gt;0),INDEX($B$294:$B$329,VALUE($N$335))/INDEX($B$294:$B$329,N(VALUE($Q$335))),"")),VALUE($P$335)),"—")&amp;" "&amp;$O$335)</f>
        <v>0,0 t movimentadas</v>
      </c>
      <c r="E333" s="40" t="inlineStr">
        <is>
          <t xml:space="preserve">outA</t>
        </is>
      </c>
      <c r="F333" s="64" t="str">
        <f>IF(N(VALUE($R$335))=0,"",IF(ISNUMBER(IF(N(VALUE($U$335))=0,INDEX($B$294:$B$329,VALUE($R$335)),IF(AND(ISNUMBER(INDEX($B$294:$B$329,VALUE($R$335))),N(INDEX($B$294:$B$329,N(VALUE($U$335))))&gt;0),INDEX($B$294:$B$329,VALUE($R$335))/INDEX($B$294:$B$329,N(VALUE($U$335))),""))),FIXED(IF(N(VALUE($U$335))=0,INDEX($B$294:$B$329,VALUE($R$335)),IF(AND(ISNUMBER(INDEX($B$294:$B$329,VALUE($R$335))),N(INDEX($B$294:$B$329,N(VALUE($U$335))))&gt;0),INDEX($B$294:$B$329,VALUE($R$335))/INDEX($B$294:$B$329,N(VALUE($U$335))),"")),VALUE($T$335)),"—")&amp;" "&amp;$S$335)&amp;IF(AND(N(VALUE($R$335))&gt;0,N(VALUE($V$335))&gt;0),"  ·  ","")&amp;IF(N(VALUE($V$335))=0,"",IF(ISNUMBER(IF(N(VALUE($Y$335))=0,INDEX($B$294:$B$329,VALUE($V$335)),IF(AND(ISNUMBER(INDEX($B$294:$B$329,VALUE($V$335))),N(INDEX($B$294:$B$329,N(VALUE($Y$335))))&gt;0),INDEX($B$294:$B$329,VALUE($V$335))/INDEX($B$294:$B$329,N(VALUE($Y$335))),""))),FIXED(IF(N(VALUE($Y$335))=0,INDEX($B$294:$B$329,VALUE($V$335)),IF(AND(ISNUMBER(INDEX($B$294:$B$329,VALUE($V$335))),N(INDEX($B$294:$B$329,N(VALUE($Y$335))))&gt;0),INDEX($B$294:$B$329,VALUE($V$335))/INDEX($B$294:$B$329,N(VALUE($Y$335))),"")),VALUE($X$335)),"—")&amp;" "&amp;$W$335)</f>
        <v>0 pallets movimentados</v>
      </c>
      <c r="G333" s="40" t="inlineStr">
        <is>
          <t xml:space="preserve">outB</t>
        </is>
      </c>
      <c r="H333" s="64" t="str">
        <f>IF(N(VALUE($Z$335))=0,"",IF(ISNUMBER(IF(N(VALUE($AC$335))=0,INDEX($B$294:$B$329,VALUE($Z$335)),IF(AND(ISNUMBER(INDEX($B$294:$B$329,VALUE($Z$335))),N(INDEX($B$294:$B$329,N(VALUE($AC$335))))&gt;0),INDEX($B$294:$B$329,VALUE($Z$335))/INDEX($B$294:$B$329,N(VALUE($AC$335))),""))),FIXED(IF(N(VALUE($AC$335))=0,INDEX($B$294:$B$329,VALUE($Z$335)),IF(AND(ISNUMBER(INDEX($B$294:$B$329,VALUE($Z$335))),N(INDEX($B$294:$B$329,N(VALUE($AC$335))))&gt;0),INDEX($B$294:$B$329,VALUE($Z$335))/INDEX($B$294:$B$329,N(VALUE($AC$335))),"")),VALUE($AB$335)),"—")&amp;" "&amp;$AA$335)&amp;IF(AND(N(VALUE($Z$335))&gt;0,N(VALUE($AD$335))&gt;0),"  ·  ","")&amp;IF(N(VALUE($AD$335))=0,"",IF(ISNUMBER(IF(N(VALUE($AG$335))=0,INDEX($B$294:$B$329,VALUE($AD$335)),IF(AND(ISNUMBER(INDEX($B$294:$B$329,VALUE($AD$335))),N(INDEX($B$294:$B$329,N(VALUE($AG$335))))&gt;0),INDEX($B$294:$B$329,VALUE($AD$335))/INDEX($B$294:$B$329,N(VALUE($AG$335))),""))),FIXED(IF(N(VALUE($AG$335))=0,INDEX($B$294:$B$329,VALUE($AD$335)),IF(AND(ISNUMBER(INDEX($B$294:$B$329,VALUE($AD$335))),N(INDEX($B$294:$B$329,N(VALUE($AG$335))))&gt;0),INDEX($B$294:$B$329,VALUE($AD$335))/INDEX($B$294:$B$329,N(VALUE($AG$335))),"")),VALUE($AF$335)),"—")&amp;" "&amp;$AE$335)</f>
        <v>0,0 t movimentadas</v>
      </c>
    </row>
    <row r="334">
      <c r="A334" s="19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35">
      <c r="A335" s="77">
        <f>IFERROR(MATCH($B$2,Config!$A$6:$A$15,0),1)</f>
        <v>1</v>
      </c>
      <c r="B335" s="78">
        <f>IFERROR(VLOOKUP(INDEX(Config!$C$6:$C$15,$A$335),Config!$T$6:$Z$37,4,0),0)</f>
        <v>2</v>
      </c>
      <c r="C335" s="78" t="str">
        <f>IFERROR(VLOOKUP(INDEX(Config!$C$6:$C$15,$A$335),Config!$T$6:$Z$37,2,0)&amp;"","")</f>
        <v>pallets movimentados</v>
      </c>
      <c r="D335" s="78">
        <f>IFERROR(VLOOKUP(INDEX(Config!$C$6:$C$15,$A$335),Config!$T$6:$Z$37,3,0),0)</f>
        <v>0</v>
      </c>
      <c r="E335" s="78">
        <f>IFERROR(VLOOKUP(INDEX(Config!$C$6:$C$15,$A$335),Config!$T$6:$Z$37,6,0),0)</f>
        <v>0</v>
      </c>
      <c r="F335" s="78">
        <v>0</v>
      </c>
      <c r="G335" s="78"/>
      <c r="H335" s="78">
        <v>0</v>
      </c>
      <c r="I335" s="78">
        <v>0</v>
      </c>
      <c r="J335" s="78">
        <f>IFERROR(VLOOKUP(INDEX(Config!$D$6:$D$15,$A$335),Config!$T$6:$Z$37,4,0),0)</f>
        <v>3</v>
      </c>
      <c r="K335" s="78" t="str">
        <f>IFERROR(VLOOKUP(INDEX(Config!$D$6:$D$15,$A$335),Config!$T$6:$Z$37,2,0)&amp;"","")</f>
        <v>t movimentadas</v>
      </c>
      <c r="L335" s="78">
        <f>IFERROR(VLOOKUP(INDEX(Config!$D$6:$D$15,$A$335),Config!$T$6:$Z$37,3,0),0)</f>
        <v>1</v>
      </c>
      <c r="M335" s="78">
        <f>IFERROR(VLOOKUP(INDEX(Config!$D$6:$D$15,$A$335),Config!$T$6:$Z$37,6,0),0)</f>
        <v>0</v>
      </c>
      <c r="N335" s="78">
        <f>IFERROR(VLOOKUP(INDEX(Config!$E$6:$E$15,$A$335),Config!$T$6:$Z$37,4,0),0)</f>
        <v>0</v>
      </c>
      <c r="O335" s="78" t="str">
        <f>IFERROR(VLOOKUP(INDEX(Config!$E$6:$E$15,$A$335),Config!$T$6:$Z$37,2,0)&amp;"","")</f>
        <v/>
      </c>
      <c r="P335" s="78">
        <f>IFERROR(VLOOKUP(INDEX(Config!$E$6:$E$15,$A$335),Config!$T$6:$Z$37,3,0),0)</f>
        <v>0</v>
      </c>
      <c r="Q335" s="78">
        <f>IFERROR(VLOOKUP(INDEX(Config!$E$6:$E$15,$A$335),Config!$T$6:$Z$37,6,0),0)</f>
        <v>0</v>
      </c>
      <c r="R335" s="78">
        <f>IFERROR(VLOOKUP(INDEX(Config!$G$6:$G$15,$A$335),Config!$T$6:$Z$37,4,0),0)</f>
        <v>5</v>
      </c>
      <c r="S335" s="78" t="str">
        <f>IFERROR(VLOOKUP(INDEX(Config!$G$6:$G$15,$A$335),Config!$T$6:$Z$37,2,0)&amp;"","")</f>
        <v>pallets movimentados</v>
      </c>
      <c r="T335" s="78">
        <f>IFERROR(VLOOKUP(INDEX(Config!$G$6:$G$15,$A$335),Config!$T$6:$Z$37,3,0),0)</f>
        <v>0</v>
      </c>
      <c r="U335" s="78">
        <f>IFERROR(VLOOKUP(INDEX(Config!$G$6:$G$15,$A$335),Config!$T$6:$Z$37,6,0),0)</f>
        <v>0</v>
      </c>
      <c r="V335" s="78">
        <v>0</v>
      </c>
      <c r="W335" s="78"/>
      <c r="X335" s="78">
        <v>0</v>
      </c>
      <c r="Y335" s="78">
        <v>0</v>
      </c>
      <c r="Z335" s="78">
        <f>IFERROR(VLOOKUP(INDEX(Config!$H$6:$H$15,$A$335),Config!$T$6:$Z$37,4,0),0)</f>
        <v>6</v>
      </c>
      <c r="AA335" s="78" t="str">
        <f>IFERROR(VLOOKUP(INDEX(Config!$H$6:$H$15,$A$335),Config!$T$6:$Z$37,2,0)&amp;"","")</f>
        <v>t movimentadas</v>
      </c>
      <c r="AB335" s="78">
        <f>IFERROR(VLOOKUP(INDEX(Config!$H$6:$H$15,$A$335),Config!$T$6:$Z$37,3,0),0)</f>
        <v>1</v>
      </c>
      <c r="AC335" s="78">
        <f>IFERROR(VLOOKUP(INDEX(Config!$H$6:$H$15,$A$335),Config!$T$6:$Z$37,6,0),0)</f>
        <v>0</v>
      </c>
      <c r="AD335" s="78">
        <f>IFERROR(VLOOKUP(INDEX(Config!$I$6:$I$15,$A$335),Config!$T$6:$Z$37,4,0),0)</f>
        <v>0</v>
      </c>
      <c r="AE335" s="78" t="str">
        <f>IFERROR(VLOOKUP(INDEX(Config!$I$6:$I$15,$A$335),Config!$T$6:$Z$37,2,0)&amp;"","")</f>
        <v/>
      </c>
      <c r="AF335" s="78">
        <f>IFERROR(VLOOKUP(INDEX(Config!$I$6:$I$15,$A$335),Config!$T$6:$Z$37,3,0),0)</f>
        <v>0</v>
      </c>
      <c r="AG335" s="78">
        <f>IFERROR(VLOOKUP(INDEX(Config!$I$6:$I$15,$A$335),Config!$T$6:$Z$37,6,0),0)</f>
        <v>0</v>
      </c>
      <c r="AH335" s="78">
        <f>IFERROR(VLOOKUP(INDEX(Config!$K$6:$K$15,$A$335),Config!$T$6:$Z$37,5,0),0)</f>
        <v>2</v>
      </c>
      <c r="AI335" s="78">
        <f>IFERROR(VLOOKUP(INDEX(Config!$L$6:$L$15,$A$335),Config!$T$6:$Z$37,5,0),0)</f>
        <v>17</v>
      </c>
      <c r="AJ335" s="78">
        <f>IFERROR(VLOOKUP(INDEX(Config!$K$6:$K$15,$A$335),Config!$T$6:$Z$37,7,0),0)</f>
        <v>0</v>
      </c>
      <c r="AK335" s="78">
        <f>IFERROR(VLOOKUP(INDEX(Config!$L$6:$L$15,$A$335),Config!$T$6:$Z$37,7,0),0)</f>
        <v>0</v>
      </c>
      <c r="AL335" s="78" t="str">
        <f>INDEX(Config!$M$6:$M$15,$A$335)&amp;""</f>
        <v>MOVIMENTAÇÃO PALETES/DIA</v>
      </c>
      <c r="AM335" s="78" t="str">
        <f>INDEX(Config!$N$6:$N$15,$A$335)&amp;""</f>
        <v>ACUMULADO SEMANAL PALETES</v>
      </c>
      <c r="AN335" s="78" t="str">
        <f>IF(INDEX(Config!$K$6:$K$15,$A$335)&amp;""="","IN",INDEX(Config!$K$6:$K$15,$A$335)&amp;"")</f>
        <v>Pallets Movimentados IN</v>
      </c>
      <c r="AO335" s="78" t="str">
        <f>IF(INDEX(Config!$L$6:$L$15,$A$335)&amp;""="","OUT",INDEX(Config!$L$6:$L$15,$A$335)&amp;"")</f>
        <v>Pallets Movimentados OUT</v>
      </c>
      <c r="AP335" s="78">
        <f>IFERROR(VLOOKUP(INDEX(Config!$O$6:$O$15,$A$335),Config!$T$6:$Z$37,5,0),0)</f>
        <v>3</v>
      </c>
      <c r="AQ335" s="78">
        <f>IFERROR(VLOOKUP(INDEX(Config!$P$6:$P$15,$A$335),Config!$T$6:$Z$37,5,0),0)</f>
        <v>18</v>
      </c>
      <c r="AR335" s="78">
        <f>IFERROR(VLOOKUP(INDEX(Config!$O$6:$O$15,$A$335),Config!$T$6:$Z$37,7,0),0)</f>
        <v>0</v>
      </c>
      <c r="AS335" s="78">
        <f>IFERROR(VLOOKUP(INDEX(Config!$P$6:$P$15,$A$335),Config!$T$6:$Z$37,7,0),0)</f>
        <v>0</v>
      </c>
      <c r="AT335" s="78" t="str">
        <f>INDEX(Config!$Q$6:$Q$15,$A$335)&amp;""</f>
        <v>MOVIMENTAÇÃO TONS/DIA</v>
      </c>
      <c r="AU335" s="78" t="str">
        <f>INDEX(Config!$R$6:$R$15,$A$335)&amp;""</f>
        <v>ACUMULADO SEMANAL TONS</v>
      </c>
      <c r="AV335" s="78" t="str">
        <f>IF(INDEX(Config!$O$6:$O$15,$A$335)&amp;""="","IN",INDEX(Config!$O$6:$O$15,$A$335)&amp;"")</f>
        <v>Toneladas Movimentadas IN</v>
      </c>
      <c r="AW335" s="78" t="str">
        <f>IF(INDEX(Config!$P$6:$P$15,$A$335)&amp;""="","OUT",INDEX(Config!$P$6:$P$15,$A$335)&amp;"")</f>
        <v>Toneladas Movimentadas OUT</v>
      </c>
      <c r="AX335" s="78" t="str">
        <f>INDEX(Config!$B$6:$B$15,$A$335)&amp;""</f>
        <v>Sim</v>
      </c>
      <c r="AY335" s="78" t="str">
        <f>INDEX(Config!$F$6:$F$15,$A$335)&amp;""</f>
        <v>Sim</v>
      </c>
      <c r="AZ335" s="78" t="str">
        <f>INDEX(Config!$J$6:$J$15,$A$335)&amp;""</f>
        <v>Completo</v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T54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customWidth="1"/>
    <col min="2" max="2" width="18" customWidth="1"/>
    <col min="3" max="3" width="11.55" customWidth="1"/>
    <col min="4" max="4" width="12.65" customWidth="1"/>
    <col min="5" max="5" width="13" customWidth="1"/>
    <col min="6" max="6" width="10" customWidth="1"/>
    <col min="7" max="7" width="12.100000000000001" customWidth="1"/>
    <col min="8" max="8" width="11.55" customWidth="1"/>
    <col min="9" max="9" width="13" customWidth="1"/>
    <col min="10" max="10" width="10" customWidth="1"/>
    <col min="11" max="11" width="13" customWidth="1"/>
    <col min="12" max="12" width="12.100000000000001" customWidth="1"/>
    <col min="13" max="13" width="11.55" customWidth="1"/>
    <col min="14" max="14" width="11.55" customWidth="1"/>
    <col min="15" max="15" width="10.450000000000001" customWidth="1"/>
    <col min="16" max="16" width="12.100000000000001" customWidth="1"/>
    <col min="17" max="17" width="10" customWidth="1"/>
    <col min="18" max="18" width="11" customWidth="1"/>
    <col min="19" max="19" width="13" customWidth="1"/>
    <col min="20" max="20" width="13" customWidth="1"/>
    <col min="21" max="21" width="10" customWidth="1"/>
    <col min="22" max="22" width="10" customWidth="1"/>
    <col min="23" max="23" width="10" customWidth="1"/>
    <col min="24" max="24" width="11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2.65" customWidth="1"/>
    <col min="32" max="32" width="10" customWidth="1"/>
    <col min="33" max="33" width="10" customWidth="1"/>
    <col min="34" max="34" width="11" customWidth="1"/>
    <col min="35" max="35" width="3" customWidth="1"/>
    <col min="36" max="36" width="70" customWidth="1"/>
    <col min="37" max="37" width="11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4"/>
      <c r="F1" s="4"/>
      <c r="G1" s="4"/>
      <c r="H1" s="4"/>
      <c r="I1" s="4"/>
      <c r="J1" s="4"/>
      <c r="K1" s="5"/>
      <c r="L1" s="6" t="inlineStr">
        <is>
          <t xml:space="preserve">OUT · EXPEDIÇÃO</t>
        </is>
      </c>
      <c r="M1" s="7"/>
      <c r="N1" s="7"/>
      <c r="O1" s="7"/>
      <c r="P1" s="7"/>
      <c r="Q1" s="7"/>
      <c r="R1" s="7"/>
      <c r="S1" s="7"/>
      <c r="T1" s="8"/>
      <c r="U1" s="9" t="inlineStr">
        <is>
          <t xml:space="preserve">NC · NÃO CONFORMIDADES</t>
        </is>
      </c>
      <c r="V1" s="10"/>
      <c r="W1" s="11"/>
      <c r="X1" s="3" t="inlineStr">
        <is>
          <t xml:space="preserve">OCUPAÇÃO (P.P)</t>
        </is>
      </c>
      <c r="Y1" s="5"/>
      <c r="Z1" s="12" t="inlineStr">
        <is>
          <t xml:space="preserve">GENTE</t>
        </is>
      </c>
      <c r="AA1" s="13"/>
      <c r="AB1" s="13"/>
      <c r="AC1" s="13"/>
      <c r="AD1" s="13"/>
      <c r="AE1" s="13"/>
      <c r="AF1" s="13"/>
      <c r="AG1" s="14"/>
      <c r="AH1" s="15" t="inlineStr">
        <is>
          <t xml:space="preserve">CONTRATO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IN Linhas NF</t>
        </is>
      </c>
      <c r="G2" s="16" t="inlineStr">
        <is>
          <t xml:space="preserve">IN Caixas Movimentadas</t>
        </is>
      </c>
      <c r="H2" s="16" t="inlineStr">
        <is>
          <t xml:space="preserve">IN Peças Movimentadas</t>
        </is>
      </c>
      <c r="I2" s="16" t="inlineStr">
        <is>
          <t xml:space="preserve">IN Itens Recebidos CX Mista</t>
        </is>
      </c>
      <c r="J2" s="16" t="inlineStr">
        <is>
          <t xml:space="preserve">IN Caixas Fechadas</t>
        </is>
      </c>
      <c r="K2" s="16" t="inlineStr">
        <is>
          <t xml:space="preserve">IN Caixas Mistas Recebidas</t>
        </is>
      </c>
      <c r="L2" s="16" t="inlineStr">
        <is>
          <t xml:space="preserve">OUT Veículos Expedidos</t>
        </is>
      </c>
      <c r="M2" s="16" t="inlineStr">
        <is>
          <t xml:space="preserve">OUT Pedidos Expedidos</t>
        </is>
      </c>
      <c r="N2" s="16" t="inlineStr">
        <is>
          <t xml:space="preserve">OUT Pedidos Faturados</t>
        </is>
      </c>
      <c r="O2" s="16" t="inlineStr">
        <is>
          <t xml:space="preserve">OUT Itens Expedidos</t>
        </is>
      </c>
      <c r="P2" s="16" t="inlineStr">
        <is>
          <t xml:space="preserve">OUT Peças Movimentadas</t>
        </is>
      </c>
      <c r="Q2" s="16" t="inlineStr">
        <is>
          <t xml:space="preserve">OUT Linhas NF</t>
        </is>
      </c>
      <c r="R2" s="16" t="inlineStr">
        <is>
          <t xml:space="preserve">OUT Caixas Expedidas</t>
        </is>
      </c>
      <c r="S2" s="16" t="inlineStr">
        <is>
          <t xml:space="preserve">OUT Pallets Movimentados</t>
        </is>
      </c>
      <c r="T2" s="16" t="inlineStr">
        <is>
          <t xml:space="preserve">OUT Toneladas Movimentadas</t>
        </is>
      </c>
      <c r="U2" s="16" t="inlineStr">
        <is>
          <t xml:space="preserve">NC Incidentes</t>
        </is>
      </c>
      <c r="V2" s="16" t="inlineStr">
        <is>
          <t xml:space="preserve">NC No show</t>
        </is>
      </c>
      <c r="W2" s="16" t="inlineStr">
        <is>
          <t xml:space="preserve">NC Backlog</t>
        </is>
      </c>
      <c r="X2" s="16" t="inlineStr">
        <is>
          <t xml:space="preserve">Posições Disponíveis</t>
        </is>
      </c>
      <c r="Y2" s="16" t="inlineStr">
        <is>
          <t xml:space="preserve">Posições Ocupadas</t>
        </is>
      </c>
      <c r="Z2" s="16" t="inlineStr">
        <is>
          <t xml:space="preserve">Efetivo Op.</t>
        </is>
      </c>
      <c r="AA2" s="16" t="inlineStr">
        <is>
          <t xml:space="preserve">Falta</t>
        </is>
      </c>
      <c r="AB2" s="16" t="inlineStr">
        <is>
          <t xml:space="preserve">Folga</t>
        </is>
      </c>
      <c r="AC2" s="16" t="inlineStr">
        <is>
          <t xml:space="preserve">Férias</t>
        </is>
      </c>
      <c r="AD2" s="16" t="inlineStr">
        <is>
          <t xml:space="preserve">Desligamento</t>
        </is>
      </c>
      <c r="AE2" s="16" t="inlineStr">
        <is>
          <t xml:space="preserve">Desvios Comportamentais</t>
        </is>
      </c>
      <c r="AF2" s="16" t="inlineStr">
        <is>
          <t xml:space="preserve">Acidentes CAF</t>
        </is>
      </c>
      <c r="AG2" s="16" t="inlineStr">
        <is>
          <t xml:space="preserve">Acidentes SAF</t>
        </is>
      </c>
      <c r="AH2" s="16" t="inlineStr">
        <is>
          <t xml:space="preserve">Modalidade</t>
        </is>
      </c>
      <c r="AJ2" s="17" t="inlineStr">
        <is>
          <t xml:space="preserve">COMO PREENCHER A BD</t>
        </is>
      </c>
    </row>
    <row r="3">
      <c r="AJ3" s="18" t="inlineStr">
        <is>
          <t xml:space="preserve">• Uma linha por dia e por cliente.</t>
        </is>
      </c>
    </row>
    <row r="4">
      <c r="AJ4" s="18" t="inlineStr">
        <is>
          <t xml:space="preserve">• Digite na primeira linha vazia logo abaixo da tabela: ela cresce sozinha e leva formato, listas e validações.</t>
        </is>
      </c>
    </row>
    <row r="5">
      <c r="AJ5" s="18" t="inlineStr">
        <is>
          <t xml:space="preserve">• Data: dd/mm/aaaa.   Cliente e Modalidade: escolha na lista (setinha da célula).</t>
        </is>
      </c>
    </row>
    <row r="6">
      <c r="AJ6" s="18" t="inlineStr">
        <is>
          <t xml:space="preserve">• Números: só 0 ou maior. Toneladas aceitam casas decimais.</t>
        </is>
      </c>
    </row>
    <row r="7">
      <c r="AJ7" s="18" t="inlineStr">
        <is>
          <t xml:space="preserve">• Deixe em branco o que não foi medido (não digite 0 se não houve registro).</t>
        </is>
      </c>
    </row>
    <row r="8">
      <c r="AJ8" s="17" t="inlineStr">
        <is>
          <t xml:space="preserve">SOMA NO MÊS</t>
        </is>
      </c>
    </row>
    <row r="9">
      <c r="AJ9" s="18" t="inlineStr">
        <is>
          <t xml:space="preserve">• Veículos, pallets, toneladas, linhas NF, caixas, peças, itens, pedidos, incidentes, no show, falta, folga, férias e desligamento: valor do dia.</t>
        </is>
      </c>
    </row>
    <row r="10">
      <c r="AJ10" s="17" t="inlineStr">
        <is>
          <t xml:space="preserve">ÚLTIMO VALOR DO MÊS</t>
        </is>
      </c>
    </row>
    <row r="11">
      <c r="AJ11" s="18" t="inlineStr">
        <is>
          <t xml:space="preserve">• Backlog, posições disponíveis/ocupadas e efetivo: posição do dia (os painéis usam o último lançado).</t>
        </is>
      </c>
    </row>
    <row r="12">
      <c r="AJ12" s="17" t="inlineStr">
        <is>
          <t xml:space="preserve">ALERTAS</t>
        </is>
      </c>
    </row>
    <row r="13">
      <c r="AJ13" s="18" t="inlineStr">
        <is>
          <t xml:space="preserve">• Vermelho: mesma data e cliente lançados duas vezes.</t>
        </is>
      </c>
    </row>
    <row r="14">
      <c r="AJ14" s="18" t="inlineStr">
        <is>
          <t xml:space="preserve">• Amarelo: linha incompleta (data sem cliente ou o contrário).</t>
        </is>
      </c>
    </row>
    <row r="15">
      <c r="AJ15" s="18" t="inlineStr">
        <is>
          <t xml:space="preserve">• Verde em Posições Ocupadas: cliente excede o contratado (boa notícia: faturar excedente).</t>
        </is>
      </c>
    </row>
    <row r="16">
      <c r="AJ16" s="18" t="inlineStr">
        <is>
          <t xml:space="preserve">• Desvios comportamentais e acidentes (CAF = com afastamento · SAF = sem afastamento): quantidade do dia.</t>
        </is>
      </c>
    </row>
    <row r="17">
      <c r="AJ17" s="18" t="inlineStr">
        <is>
          <t xml:space="preserve">• Dashboard, Monitoramento e Consol Mensal leem esta aba automaticamente, inclusive as METAS abaixo.</t>
        </is>
      </c>
    </row>
    <row r="21">
      <c r="AJ21" s="19" t="inlineStr">
        <is>
          <t xml:space="preserve">METAS DO MÊS — preencha as células amarelas (vazio = sem meta · taxa de ocupação em %).</t>
        </is>
      </c>
    </row>
    <row r="22" ht="30" customHeight="1">
      <c r="AJ22" s="16" t="inlineStr">
        <is>
          <t xml:space="preserve">Indicador</t>
        </is>
      </c>
      <c r="AK22" s="16" t="inlineStr">
        <is>
          <t xml:space="preserve">Todos</t>
        </is>
      </c>
      <c r="AL22" s="16" t="inlineStr">
        <is>
          <t xml:space="preserve">Alpargatas</t>
        </is>
      </c>
      <c r="AM22" s="16" t="inlineStr">
        <is>
          <t xml:space="preserve">Basf</t>
        </is>
      </c>
      <c r="AN22" s="16" t="inlineStr">
        <is>
          <t xml:space="preserve">Beautybiz</t>
        </is>
      </c>
      <c r="AO22" s="16" t="inlineStr">
        <is>
          <t xml:space="preserve">Boticário</t>
        </is>
      </c>
      <c r="AP22" s="16" t="inlineStr">
        <is>
          <t xml:space="preserve">GE Vernova</t>
        </is>
      </c>
      <c r="AQ22" s="16" t="inlineStr">
        <is>
          <t xml:space="preserve">Omnilife</t>
        </is>
      </c>
      <c r="AR22" s="16" t="inlineStr">
        <is>
          <t xml:space="preserve">Supply</t>
        </is>
      </c>
      <c r="AS22" s="16" t="inlineStr">
        <is>
          <t xml:space="preserve">Vedacit</t>
        </is>
      </c>
      <c r="AT22" s="16" t="inlineStr">
        <is>
          <t xml:space="preserve">Vestas</t>
        </is>
      </c>
    </row>
    <row r="23">
      <c r="AJ23" s="20" t="inlineStr">
        <is>
          <t xml:space="preserve">IN · Veículos Recebidos</t>
        </is>
      </c>
      <c r="AK23" s="21"/>
      <c r="AL23" s="21"/>
      <c r="AM23" s="21"/>
      <c r="AN23" s="21"/>
      <c r="AO23" s="21"/>
      <c r="AP23" s="21"/>
      <c r="AQ23" s="21"/>
      <c r="AR23" s="21"/>
      <c r="AS23" s="21"/>
      <c r="AT23" s="21"/>
    </row>
    <row r="24">
      <c r="AJ24" s="20" t="inlineStr">
        <is>
          <t xml:space="preserve">IN · Pallets Movimentados</t>
        </is>
      </c>
      <c r="AK24" s="21"/>
      <c r="AL24" s="21"/>
      <c r="AM24" s="21"/>
      <c r="AN24" s="21"/>
      <c r="AO24" s="21"/>
      <c r="AP24" s="21"/>
      <c r="AQ24" s="21"/>
      <c r="AR24" s="21"/>
      <c r="AS24" s="21"/>
      <c r="AT24" s="21"/>
    </row>
    <row r="25">
      <c r="AJ25" s="20" t="inlineStr">
        <is>
          <t xml:space="preserve">IN · Toneladas Movimentadas</t>
        </is>
      </c>
      <c r="AK25" s="21"/>
      <c r="AL25" s="21"/>
      <c r="AM25" s="21"/>
      <c r="AN25" s="21"/>
      <c r="AO25" s="21"/>
      <c r="AP25" s="21"/>
      <c r="AQ25" s="21"/>
      <c r="AR25" s="21"/>
      <c r="AS25" s="21"/>
      <c r="AT25" s="21"/>
    </row>
    <row r="26">
      <c r="AJ26" s="20" t="inlineStr">
        <is>
          <t xml:space="preserve">IN · Linhas NF</t>
        </is>
      </c>
      <c r="AK26" s="21"/>
      <c r="AL26" s="21"/>
      <c r="AM26" s="21"/>
      <c r="AN26" s="21"/>
      <c r="AO26" s="21"/>
      <c r="AP26" s="21"/>
      <c r="AQ26" s="21"/>
      <c r="AR26" s="21"/>
      <c r="AS26" s="21"/>
      <c r="AT26" s="21"/>
    </row>
    <row r="27">
      <c r="AJ27" s="20" t="inlineStr">
        <is>
          <t xml:space="preserve">IN · Caixas Movimentadas</t>
        </is>
      </c>
      <c r="AK27" s="21"/>
      <c r="AL27" s="21"/>
      <c r="AM27" s="21"/>
      <c r="AN27" s="21"/>
      <c r="AO27" s="21"/>
      <c r="AP27" s="21"/>
      <c r="AQ27" s="21"/>
      <c r="AR27" s="21"/>
      <c r="AS27" s="21"/>
      <c r="AT27" s="21"/>
    </row>
    <row r="28">
      <c r="AJ28" s="20" t="inlineStr">
        <is>
          <t xml:space="preserve">IN · Peças Movimentadas</t>
        </is>
      </c>
      <c r="AK28" s="21"/>
      <c r="AL28" s="21"/>
      <c r="AM28" s="21"/>
      <c r="AN28" s="21"/>
      <c r="AO28" s="21"/>
      <c r="AP28" s="21"/>
      <c r="AQ28" s="21"/>
      <c r="AR28" s="21"/>
      <c r="AS28" s="21"/>
      <c r="AT28" s="21"/>
    </row>
    <row r="29">
      <c r="AJ29" s="20" t="inlineStr">
        <is>
          <t xml:space="preserve">IN · Itens Recebidos CX Mista</t>
        </is>
      </c>
      <c r="AK29" s="21"/>
      <c r="AL29" s="21"/>
      <c r="AM29" s="21"/>
      <c r="AN29" s="21"/>
      <c r="AO29" s="21"/>
      <c r="AP29" s="21"/>
      <c r="AQ29" s="21"/>
      <c r="AR29" s="21"/>
      <c r="AS29" s="21"/>
      <c r="AT29" s="21"/>
    </row>
    <row r="30">
      <c r="AJ30" s="20" t="inlineStr">
        <is>
          <t xml:space="preserve">IN · Caixas Fechadas</t>
        </is>
      </c>
      <c r="AK30" s="21"/>
      <c r="AL30" s="21"/>
      <c r="AM30" s="21"/>
      <c r="AN30" s="21"/>
      <c r="AO30" s="21"/>
      <c r="AP30" s="21"/>
      <c r="AQ30" s="21"/>
      <c r="AR30" s="21"/>
      <c r="AS30" s="21"/>
      <c r="AT30" s="21"/>
    </row>
    <row r="31">
      <c r="AJ31" s="20" t="inlineStr">
        <is>
          <t xml:space="preserve">IN · Caixas Mistas Recebidas</t>
        </is>
      </c>
      <c r="AK31" s="21"/>
      <c r="AL31" s="21"/>
      <c r="AM31" s="21"/>
      <c r="AN31" s="21"/>
      <c r="AO31" s="21"/>
      <c r="AP31" s="21"/>
      <c r="AQ31" s="21"/>
      <c r="AR31" s="21"/>
      <c r="AS31" s="21"/>
      <c r="AT31" s="21"/>
    </row>
    <row r="32">
      <c r="AJ32" s="22" t="inlineStr">
        <is>
          <t xml:space="preserve">OUT · Veículos Expedidos</t>
        </is>
      </c>
      <c r="AK32" s="21"/>
      <c r="AL32" s="21"/>
      <c r="AM32" s="21"/>
      <c r="AN32" s="21"/>
      <c r="AO32" s="21"/>
      <c r="AP32" s="21"/>
      <c r="AQ32" s="21"/>
      <c r="AR32" s="21"/>
      <c r="AS32" s="21"/>
      <c r="AT32" s="21"/>
    </row>
    <row r="33">
      <c r="AJ33" s="22" t="inlineStr">
        <is>
          <t xml:space="preserve">OUT · Pedidos Expedidos</t>
        </is>
      </c>
      <c r="AK33" s="21"/>
      <c r="AL33" s="21"/>
      <c r="AM33" s="21"/>
      <c r="AN33" s="21"/>
      <c r="AO33" s="21"/>
      <c r="AP33" s="21"/>
      <c r="AQ33" s="21"/>
      <c r="AR33" s="21"/>
      <c r="AS33" s="21"/>
      <c r="AT33" s="21"/>
    </row>
    <row r="34">
      <c r="AJ34" s="22" t="inlineStr">
        <is>
          <t xml:space="preserve">OUT · Pedidos Faturados</t>
        </is>
      </c>
      <c r="AK34" s="21"/>
      <c r="AL34" s="21"/>
      <c r="AM34" s="21"/>
      <c r="AN34" s="21"/>
      <c r="AO34" s="21"/>
      <c r="AP34" s="21"/>
      <c r="AQ34" s="21"/>
      <c r="AR34" s="21"/>
      <c r="AS34" s="21"/>
      <c r="AT34" s="21"/>
    </row>
    <row r="35">
      <c r="AJ35" s="22" t="inlineStr">
        <is>
          <t xml:space="preserve">OUT · Itens Expedidos</t>
        </is>
      </c>
      <c r="AK35" s="21"/>
      <c r="AL35" s="21"/>
      <c r="AM35" s="21"/>
      <c r="AN35" s="21"/>
      <c r="AO35" s="21"/>
      <c r="AP35" s="21"/>
      <c r="AQ35" s="21"/>
      <c r="AR35" s="21"/>
      <c r="AS35" s="21"/>
      <c r="AT35" s="21"/>
    </row>
    <row r="36">
      <c r="AJ36" s="22" t="inlineStr">
        <is>
          <t xml:space="preserve">OUT · Peças Movimentadas</t>
        </is>
      </c>
      <c r="AK36" s="21"/>
      <c r="AL36" s="21"/>
      <c r="AM36" s="21"/>
      <c r="AN36" s="21"/>
      <c r="AO36" s="21"/>
      <c r="AP36" s="21"/>
      <c r="AQ36" s="21"/>
      <c r="AR36" s="21"/>
      <c r="AS36" s="21"/>
      <c r="AT36" s="21"/>
    </row>
    <row r="37">
      <c r="AJ37" s="22" t="inlineStr">
        <is>
          <t xml:space="preserve">OUT · Linhas NF</t>
        </is>
      </c>
      <c r="AK37" s="21"/>
      <c r="AL37" s="21"/>
      <c r="AM37" s="21"/>
      <c r="AN37" s="21"/>
      <c r="AO37" s="21"/>
      <c r="AP37" s="21"/>
      <c r="AQ37" s="21"/>
      <c r="AR37" s="21"/>
      <c r="AS37" s="21"/>
      <c r="AT37" s="21"/>
    </row>
    <row r="38">
      <c r="AJ38" s="22" t="inlineStr">
        <is>
          <t xml:space="preserve">OUT · Caixas Expedidas</t>
        </is>
      </c>
      <c r="AK38" s="21"/>
      <c r="AL38" s="21"/>
      <c r="AM38" s="21"/>
      <c r="AN38" s="21"/>
      <c r="AO38" s="21"/>
      <c r="AP38" s="21"/>
      <c r="AQ38" s="21"/>
      <c r="AR38" s="21"/>
      <c r="AS38" s="21"/>
      <c r="AT38" s="21"/>
    </row>
    <row r="39">
      <c r="AJ39" s="22" t="inlineStr">
        <is>
          <t xml:space="preserve">OUT · Pallets Movimentados</t>
        </is>
      </c>
      <c r="AK39" s="21"/>
      <c r="AL39" s="21"/>
      <c r="AM39" s="21"/>
      <c r="AN39" s="21"/>
      <c r="AO39" s="21"/>
      <c r="AP39" s="21"/>
      <c r="AQ39" s="21"/>
      <c r="AR39" s="21"/>
      <c r="AS39" s="21"/>
      <c r="AT39" s="21"/>
    </row>
    <row r="40">
      <c r="AJ40" s="22" t="inlineStr">
        <is>
          <t xml:space="preserve">OUT · Toneladas Movimentadas</t>
        </is>
      </c>
      <c r="AK40" s="21"/>
      <c r="AL40" s="21"/>
      <c r="AM40" s="21"/>
      <c r="AN40" s="21"/>
      <c r="AO40" s="21"/>
      <c r="AP40" s="21"/>
      <c r="AQ40" s="21"/>
      <c r="AR40" s="21"/>
      <c r="AS40" s="21"/>
      <c r="AT40" s="21"/>
    </row>
    <row r="41">
      <c r="AJ41" s="23" t="inlineStr">
        <is>
          <t xml:space="preserve">NC · Incidentes</t>
        </is>
      </c>
      <c r="AK41" s="21"/>
      <c r="AL41" s="21"/>
      <c r="AM41" s="21"/>
      <c r="AN41" s="21"/>
      <c r="AO41" s="21"/>
      <c r="AP41" s="21"/>
      <c r="AQ41" s="21"/>
      <c r="AR41" s="21"/>
      <c r="AS41" s="21"/>
      <c r="AT41" s="21"/>
    </row>
    <row r="42">
      <c r="AJ42" s="23" t="inlineStr">
        <is>
          <t xml:space="preserve">NC · No show</t>
        </is>
      </c>
      <c r="AK42" s="21"/>
      <c r="AL42" s="21"/>
      <c r="AM42" s="21"/>
      <c r="AN42" s="21"/>
      <c r="AO42" s="21"/>
      <c r="AP42" s="21"/>
      <c r="AQ42" s="21"/>
      <c r="AR42" s="21"/>
      <c r="AS42" s="21"/>
      <c r="AT42" s="21"/>
    </row>
    <row r="43">
      <c r="AJ43" s="23" t="inlineStr">
        <is>
          <t xml:space="preserve">NC · Backlog</t>
        </is>
      </c>
      <c r="AK43" s="21"/>
      <c r="AL43" s="21"/>
      <c r="AM43" s="21"/>
      <c r="AN43" s="21"/>
      <c r="AO43" s="21"/>
      <c r="AP43" s="21"/>
      <c r="AQ43" s="21"/>
      <c r="AR43" s="21"/>
      <c r="AS43" s="21"/>
      <c r="AT43" s="21"/>
    </row>
    <row r="44">
      <c r="AJ44" s="20" t="inlineStr">
        <is>
          <t xml:space="preserve">OCUPAÇÃO (P.P) · Posições Disponíveis</t>
        </is>
      </c>
      <c r="AK44" s="21"/>
      <c r="AL44" s="21"/>
      <c r="AM44" s="21"/>
      <c r="AN44" s="21"/>
      <c r="AO44" s="21"/>
      <c r="AP44" s="21"/>
      <c r="AQ44" s="21"/>
      <c r="AR44" s="21"/>
      <c r="AS44" s="21"/>
      <c r="AT44" s="21"/>
    </row>
    <row r="45">
      <c r="AJ45" s="20" t="inlineStr">
        <is>
          <t xml:space="preserve">OCUPAÇÃO (P.P) · Posições Ocupadas</t>
        </is>
      </c>
      <c r="AK45" s="21"/>
      <c r="AL45" s="21"/>
      <c r="AM45" s="21"/>
      <c r="AN45" s="21"/>
      <c r="AO45" s="21"/>
      <c r="AP45" s="21"/>
      <c r="AQ45" s="21"/>
      <c r="AR45" s="21"/>
      <c r="AS45" s="21"/>
      <c r="AT45" s="21"/>
    </row>
    <row r="46">
      <c r="AJ46" s="20" t="inlineStr">
        <is>
          <t xml:space="preserve">OCUPAÇÃO (P.P) · Taxa de Ocupação</t>
        </is>
      </c>
      <c r="AK46" s="24"/>
      <c r="AL46" s="24"/>
      <c r="AM46" s="24"/>
      <c r="AN46" s="24"/>
      <c r="AO46" s="24"/>
      <c r="AP46" s="24"/>
      <c r="AQ46" s="24"/>
      <c r="AR46" s="24"/>
      <c r="AS46" s="24"/>
      <c r="AT46" s="24"/>
    </row>
    <row r="47">
      <c r="AJ47" s="25" t="inlineStr">
        <is>
          <t xml:space="preserve">GENTE · Efetivo Op.</t>
        </is>
      </c>
      <c r="AK47" s="21"/>
      <c r="AL47" s="21"/>
      <c r="AM47" s="21"/>
      <c r="AN47" s="21"/>
      <c r="AO47" s="21"/>
      <c r="AP47" s="21"/>
      <c r="AQ47" s="21"/>
      <c r="AR47" s="21"/>
      <c r="AS47" s="21"/>
      <c r="AT47" s="21"/>
    </row>
    <row r="48">
      <c r="AJ48" s="25" t="inlineStr">
        <is>
          <t xml:space="preserve">GENTE · Falta</t>
        </is>
      </c>
      <c r="AK48" s="21"/>
      <c r="AL48" s="21"/>
      <c r="AM48" s="21"/>
      <c r="AN48" s="21"/>
      <c r="AO48" s="21"/>
      <c r="AP48" s="21"/>
      <c r="AQ48" s="21"/>
      <c r="AR48" s="21"/>
      <c r="AS48" s="21"/>
      <c r="AT48" s="21"/>
    </row>
    <row r="49">
      <c r="AJ49" s="25" t="inlineStr">
        <is>
          <t xml:space="preserve">GENTE · Folga</t>
        </is>
      </c>
      <c r="AK49" s="21"/>
      <c r="AL49" s="21"/>
      <c r="AM49" s="21"/>
      <c r="AN49" s="21"/>
      <c r="AO49" s="21"/>
      <c r="AP49" s="21"/>
      <c r="AQ49" s="21"/>
      <c r="AR49" s="21"/>
      <c r="AS49" s="21"/>
      <c r="AT49" s="21"/>
    </row>
    <row r="50">
      <c r="AJ50" s="25" t="inlineStr">
        <is>
          <t xml:space="preserve">GENTE · Férias</t>
        </is>
      </c>
      <c r="AK50" s="21"/>
      <c r="AL50" s="21"/>
      <c r="AM50" s="21"/>
      <c r="AN50" s="21"/>
      <c r="AO50" s="21"/>
      <c r="AP50" s="21"/>
      <c r="AQ50" s="21"/>
      <c r="AR50" s="21"/>
      <c r="AS50" s="21"/>
      <c r="AT50" s="21"/>
    </row>
    <row r="51">
      <c r="AJ51" s="25" t="inlineStr">
        <is>
          <t xml:space="preserve">GENTE · Desligamento</t>
        </is>
      </c>
      <c r="AK51" s="21"/>
      <c r="AL51" s="21"/>
      <c r="AM51" s="21"/>
      <c r="AN51" s="21"/>
      <c r="AO51" s="21"/>
      <c r="AP51" s="21"/>
      <c r="AQ51" s="21"/>
      <c r="AR51" s="21"/>
      <c r="AS51" s="21"/>
      <c r="AT51" s="21"/>
    </row>
    <row r="52">
      <c r="AJ52" s="25" t="inlineStr">
        <is>
          <t xml:space="preserve">GENTE · Desvios Comportamentais</t>
        </is>
      </c>
      <c r="AK52" s="21"/>
      <c r="AL52" s="21"/>
      <c r="AM52" s="21"/>
      <c r="AN52" s="21"/>
      <c r="AO52" s="21"/>
      <c r="AP52" s="21"/>
      <c r="AQ52" s="21"/>
      <c r="AR52" s="21"/>
      <c r="AS52" s="21"/>
      <c r="AT52" s="21"/>
    </row>
    <row r="53">
      <c r="AJ53" s="25" t="inlineStr">
        <is>
          <t xml:space="preserve">GENTE · Acidentes CAF</t>
        </is>
      </c>
      <c r="AK53" s="21"/>
      <c r="AL53" s="21"/>
      <c r="AM53" s="21"/>
      <c r="AN53" s="21"/>
      <c r="AO53" s="21"/>
      <c r="AP53" s="21"/>
      <c r="AQ53" s="21"/>
      <c r="AR53" s="21"/>
      <c r="AS53" s="21"/>
      <c r="AT53" s="21"/>
    </row>
    <row r="54">
      <c r="AJ54" s="25" t="inlineStr">
        <is>
          <t xml:space="preserve">GENTE · Acidentes SAF</t>
        </is>
      </c>
      <c r="AK54" s="21"/>
      <c r="AL54" s="21"/>
      <c r="AM54" s="21"/>
      <c r="AN54" s="21"/>
      <c r="AO54" s="21"/>
      <c r="AP54" s="21"/>
      <c r="AQ54" s="21"/>
      <c r="AR54" s="21"/>
      <c r="AS54" s="21"/>
      <c r="AT54" s="21"/>
    </row>
  </sheetData>
  <mergeCells count="6">
    <mergeCell ref="A1:B1"/>
    <mergeCell ref="C1:K1"/>
    <mergeCell ref="L1:T1"/>
    <mergeCell ref="U1:W1"/>
    <mergeCell ref="X1:Y1"/>
    <mergeCell ref="Z1:AG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Y3:Y5001">
    <cfRule type="expression" dxfId="2" priority="3">
      <formula>AND(ISNUMBER($X3),ISNUMBER($Y3),$Y3&gt;$X3)</formula>
    </cfRule>
  </conditionalFormatting>
  <dataValidations count="35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calculos!$AO$13:$AO$21</formula1>
    </dataValidation>
    <dataValidation type="list" allowBlank="1" showInputMessage="1" showErrorMessage="1" promptTitle="Modalidade" prompt="Contrato, Spot ou Cross." errorTitle="Valor inválido" error="Escolha um valor da lista." sqref="AH3:AH5001">
      <formula1>"Contrato,Spot,Cross"</formula1>
    </dataValidation>
    <dataValidation type="decimal" operator="greaterThanOrEqual" allowBlank="1" showInputMessage="0" showErrorMessage="1" errorTitle="Valor inválido" error="Use 0 ou um número maior." sqref="C3:C5001">
      <formula1>0</formula1>
    </dataValidation>
    <dataValidation type="decimal" operator="greaterThanOrEqual" allowBlank="1" showInputMessage="0" showErrorMessage="1" errorTitle="Valor inválido" error="Use 0 ou um número maior." sqref="D3:D5001">
      <formula1>0</formula1>
    </dataValidation>
    <dataValidation type="decimal" operator="greaterThanOrEqual" allowBlank="1" showInputMessage="0" showErrorMessage="1" errorTitle="Valor inválido" error="Use 0 ou um número maior." sqref="E3:E5001">
      <formula1>0</formula1>
    </dataValidation>
    <dataValidation type="decimal" operator="greaterThanOrEqual" allowBlank="1" showInputMessage="0" showErrorMessage="1" errorTitle="Valor inválido" error="Use 0 ou um número maior." sqref="F3:F5001">
      <formula1>0</formula1>
    </dataValidation>
    <dataValidation type="decimal" operator="greaterThanOrEqual" allowBlank="1" showInputMessage="0" showErrorMessage="1" errorTitle="Valor inválido" error="Use 0 ou um número maior." sqref="G3:G5001">
      <formula1>0</formula1>
    </dataValidation>
    <dataValidation type="decimal" operator="greaterThanOrEqual" allowBlank="1" showInputMessage="0" showErrorMessage="1" errorTitle="Valor inválido" error="Use 0 ou um número maior." sqref="H3:H5001">
      <formula1>0</formula1>
    </dataValidation>
    <dataValidation type="decimal" operator="greaterThanOrEqual" allowBlank="1" showInputMessage="0" showErrorMessage="1" errorTitle="Valor inválido" error="Use 0 ou um número maior." sqref="I3:I5001">
      <formula1>0</formula1>
    </dataValidation>
    <dataValidation type="decimal" operator="greaterThanOrEqual" allowBlank="1" showInputMessage="0" showErrorMessage="1" errorTitle="Valor inválido" error="Use 0 ou um número maior." sqref="J3:J5001">
      <formula1>0</formula1>
    </dataValidation>
    <dataValidation type="decimal" operator="greaterThanOrEqual" allowBlank="1" showInputMessage="0" showErrorMessage="1" errorTitle="Valor inválido" error="Use 0 ou um número maior." sqref="K3:K5001">
      <formula1>0</formula1>
    </dataValidation>
    <dataValidation type="decimal" operator="greaterThanOrEqual" allowBlank="1" showInputMessage="0" showErrorMessage="1" errorTitle="Valor inválido" error="Use 0 ou um número maior." sqref="L3:L5001">
      <formula1>0</formula1>
    </dataValidation>
    <dataValidation type="decimal" operator="greaterThanOrEqual" allowBlank="1" showInputMessage="0" showErrorMessage="1" errorTitle="Valor inválido" error="Use 0 ou um número maior." sqref="M3:M5001">
      <formula1>0</formula1>
    </dataValidation>
    <dataValidation type="decimal" operator="greaterThanOrEqual" allowBlank="1" showInputMessage="0" showErrorMessage="1" errorTitle="Valor inválido" error="Use 0 ou um número maior." sqref="N3:N5001">
      <formula1>0</formula1>
    </dataValidation>
    <dataValidation type="decimal" operator="greaterThanOrEqual" allowBlank="1" showInputMessage="0" showErrorMessage="1" errorTitle="Valor inválido" error="Use 0 ou um número maior." sqref="O3:O5001">
      <formula1>0</formula1>
    </dataValidation>
    <dataValidation type="decimal" operator="greaterThanOrEqual" allowBlank="1" showInputMessage="0" showErrorMessage="1" errorTitle="Valor inválido" error="Use 0 ou um número maior." sqref="P3:P5001">
      <formula1>0</formula1>
    </dataValidation>
    <dataValidation type="decimal" operator="greaterThanOrEqual" allowBlank="1" showInputMessage="0" showErrorMessage="1" errorTitle="Valor inválido" error="Use 0 ou um número maior." sqref="Q3:Q5001">
      <formula1>0</formula1>
    </dataValidation>
    <dataValidation type="decimal" operator="greaterThanOrEqual" allowBlank="1" showInputMessage="0" showErrorMessage="1" errorTitle="Valor inválido" error="Use 0 ou um número maior." sqref="R3:R5001">
      <formula1>0</formula1>
    </dataValidation>
    <dataValidation type="decimal" operator="greaterThanOrEqual" allowBlank="1" showInputMessage="0" showErrorMessage="1" errorTitle="Valor inválido" error="Use 0 ou um número maior." sqref="S3:S5001">
      <formula1>0</formula1>
    </dataValidation>
    <dataValidation type="decimal" operator="greaterThanOrEqual" allowBlank="1" showInputMessage="0" showErrorMessage="1" errorTitle="Valor inválido" error="Use 0 ou um número maior." sqref="T3:T5001">
      <formula1>0</formula1>
    </dataValidation>
    <dataValidation type="decimal" operator="greaterThanOrEqual" allowBlank="1" showInputMessage="0" showErrorMessage="1" errorTitle="Valor inválido" error="Use 0 ou um número maior." sqref="U3:U5001">
      <formula1>0</formula1>
    </dataValidation>
    <dataValidation type="decimal" operator="greaterThanOrEqual" allowBlank="1" showInputMessage="0" showErrorMessage="1" errorTitle="Valor inválido" error="Use 0 ou um número maior." sqref="V3:V5001">
      <formula1>0</formula1>
    </dataValidation>
    <dataValidation type="decimal" operator="greaterThanOrEqual" allowBlank="1" showInputMessage="0" showErrorMessage="1" errorTitle="Valor inválido" error="Use 0 ou um número maior." sqref="W3:W5001">
      <formula1>0</formula1>
    </dataValidation>
    <dataValidation type="decimal" operator="greaterThanOrEqual" allowBlank="1" showInputMessage="0" showErrorMessage="1" errorTitle="Valor inválido" error="Use 0 ou um número maior." sqref="X3:X5001">
      <formula1>0</formula1>
    </dataValidation>
    <dataValidation type="decimal" operator="greaterThanOrEqual" allowBlank="1" showInputMessage="0" showErrorMessage="1" errorTitle="Valor inválido" error="Use 0 ou um número maior." sqref="Y3:Y5001">
      <formula1>0</formula1>
    </dataValidation>
    <dataValidation type="decimal" operator="greaterThanOrEqual" allowBlank="1" showInputMessage="0" showErrorMessage="1" errorTitle="Valor inválido" error="Use 0 ou um número maior." sqref="Z3:Z5001">
      <formula1>0</formula1>
    </dataValidation>
    <dataValidation type="decimal" operator="greaterThanOrEqual" allowBlank="1" showInputMessage="0" showErrorMessage="1" errorTitle="Valor inválido" error="Use 0 ou um número maior." sqref="AA3:AA5001">
      <formula1>0</formula1>
    </dataValidation>
    <dataValidation type="decimal" operator="greaterThanOrEqual" allowBlank="1" showInputMessage="0" showErrorMessage="1" errorTitle="Valor inválido" error="Use 0 ou um número maior." sqref="AB3:AB5001">
      <formula1>0</formula1>
    </dataValidation>
    <dataValidation type="decimal" operator="greaterThanOrEqual" allowBlank="1" showInputMessage="0" showErrorMessage="1" errorTitle="Valor inválido" error="Use 0 ou um número maior." sqref="AC3:AC5001">
      <formula1>0</formula1>
    </dataValidation>
    <dataValidation type="decimal" operator="greaterThanOrEqual" allowBlank="1" showInputMessage="0" showErrorMessage="1" errorTitle="Valor inválido" error="Use 0 ou um número maior." sqref="AD3:AD5001">
      <formula1>0</formula1>
    </dataValidation>
    <dataValidation type="decimal" operator="greaterThanOrEqual" allowBlank="1" showInputMessage="0" showErrorMessage="1" errorTitle="Valor inválido" error="Use 0 ou um número maior." sqref="AE3:AE5001">
      <formula1>0</formula1>
    </dataValidation>
    <dataValidation type="decimal" operator="greaterThanOrEqual" allowBlank="1" showInputMessage="0" showErrorMessage="1" errorTitle="Valor inválido" error="Use 0 ou um número maior." sqref="AF3:AF5001">
      <formula1>0</formula1>
    </dataValidation>
    <dataValidation type="decimal" operator="greaterThanOrEqual" allowBlank="1" showInputMessage="0" showErrorMessage="1" errorTitle="Valor inválido" error="Use 0 ou um número maior." sqref="AG3:AG5001">
      <formula1>0</formula1>
    </dataValidation>
    <dataValidation type="decimal" operator="greaterThanOrEqual" allowBlank="1" showInputMessage="0" showErrorMessage="1" errorTitle="Valor inválido" error="Meta: use 0 ou um número maior." sqref="AK23:AT54">
      <formula1>0</formula1>
    </dataValidation>
  </dataValidations>
  <pageMargins left="0.25" right="0.25" top="0.4" bottom="0.4" header="0.2" footer="0.2"/>
  <pageSetup paperSize="9" orientation="landscape" fitToWidth="1" fitToHeight="0"/>
  <tableParts count="1">
    <tablePart r:id="rIdT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37"/>
  <sheetViews>
    <sheetView showGridLines="0" zoomScale="100" zoomScaleNormal="100"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20" customWidth="1"/>
    <col min="2" max="2" width="13" customWidth="1"/>
    <col min="3" max="3" width="27" customWidth="1"/>
    <col min="4" max="4" width="27" customWidth="1"/>
    <col min="5" max="5" width="27" customWidth="1"/>
    <col min="6" max="6" width="13" customWidth="1"/>
    <col min="7" max="7" width="27" customWidth="1"/>
    <col min="8" max="8" width="27" customWidth="1"/>
    <col min="9" max="9" width="27" customWidth="1"/>
    <col min="10" max="10" width="14" customWidth="1"/>
    <col min="11" max="11" width="27" customWidth="1"/>
    <col min="12" max="12" width="27" customWidth="1"/>
    <col min="13" max="13" width="34" customWidth="1"/>
    <col min="14" max="14" width="34" customWidth="1"/>
    <col min="15" max="15" width="27" customWidth="1"/>
    <col min="16" max="16" width="27" customWidth="1"/>
    <col min="17" max="17" width="34" customWidth="1"/>
    <col min="18" max="18" width="34" customWidth="1"/>
    <col min="19" max="19" width="3" customWidth="1"/>
    <col min="20" max="20" width="32" customWidth="1"/>
    <col min="21" max="21" width="30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</cols>
  <sheetData>
    <row r="1" ht="30" customHeight="1">
      <c r="A1" s="65" t="inlineStr">
        <is>
          <t xml:space="preserve">CONFIG · O QUE CADA CLIENTE MOSTRA NO DASHBOARD</t>
        </is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7"/>
    </row>
    <row r="2" ht="18" customHeight="1">
      <c r="A2" s="68" t="inlineStr">
        <is>
          <t xml:space="preserve">Escolha nas listas (setinha da célula) os indicadores de cada cliente. Linha 1 = 1ª linha de apoio do card; linha 2 (a) e (b) = 2ª linha (juntas). "por veículo" = volume ÷ veículos. CARD = "Não se aplica" esconde o card do cliente · Ocupação "Só ocupadas" mostra só as posições ocupadas (sem contratada e taxa). Vazio = nada. O Dashboard se atualiza na hora; não precisa gerar o arquivo de novo.</t>
        </is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</row>
    <row r="3" ht="18" customHeight="1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</row>
    <row r="4">
      <c r="T4" s="70" t="inlineStr">
        <is>
          <t xml:space="preserve">CATÁLOGO DE INDICADORES — rótulo e casas podem ser editados; colunas cinza são técnicas (não alterar)</t>
        </is>
      </c>
    </row>
    <row r="5" ht="32" customHeight="1">
      <c r="A5" s="16" t="inlineStr">
        <is>
          <t xml:space="preserve">CLIENTE / FILTRO</t>
        </is>
      </c>
      <c r="B5" s="16" t="inlineStr">
        <is>
          <t xml:space="preserve">CARD IN</t>
        </is>
      </c>
      <c r="C5" s="16" t="inlineStr">
        <is>
          <t xml:space="preserve">IN · linha 1</t>
        </is>
      </c>
      <c r="D5" s="16" t="inlineStr">
        <is>
          <t xml:space="preserve">IN · linha 2 (a)</t>
        </is>
      </c>
      <c r="E5" s="16" t="inlineStr">
        <is>
          <t xml:space="preserve">IN · linha 2 (b)</t>
        </is>
      </c>
      <c r="F5" s="16" t="inlineStr">
        <is>
          <t xml:space="preserve">CARD OUT</t>
        </is>
      </c>
      <c r="G5" s="16" t="inlineStr">
        <is>
          <t xml:space="preserve">OUT · linha 1</t>
        </is>
      </c>
      <c r="H5" s="16" t="inlineStr">
        <is>
          <t xml:space="preserve">OUT · linha 2 (a)</t>
        </is>
      </c>
      <c r="I5" s="16" t="inlineStr">
        <is>
          <t xml:space="preserve">OUT · linha 2 (b)</t>
        </is>
      </c>
      <c r="J5" s="16" t="inlineStr">
        <is>
          <t xml:space="preserve">CARD OCUPAÇÃO</t>
        </is>
      </c>
      <c r="K5" s="16" t="inlineStr">
        <is>
          <t xml:space="preserve">GRÁFICO 2 · IN</t>
        </is>
      </c>
      <c r="L5" s="16" t="inlineStr">
        <is>
          <t xml:space="preserve">GRÁFICO 2 · OUT</t>
        </is>
      </c>
      <c r="M5" s="16" t="inlineStr">
        <is>
          <t xml:space="preserve">GRÁFICO 2 · título diário</t>
        </is>
      </c>
      <c r="N5" s="16" t="inlineStr">
        <is>
          <t xml:space="preserve">GRÁFICO 2 · título semanal</t>
        </is>
      </c>
      <c r="O5" s="16" t="inlineStr">
        <is>
          <t xml:space="preserve">GRÁFICO 3 · IN</t>
        </is>
      </c>
      <c r="P5" s="16" t="inlineStr">
        <is>
          <t xml:space="preserve">GRÁFICO 3 · OUT</t>
        </is>
      </c>
      <c r="Q5" s="16" t="inlineStr">
        <is>
          <t xml:space="preserve">GRÁFICO 3 · título diário</t>
        </is>
      </c>
      <c r="R5" s="16" t="inlineStr">
        <is>
          <t xml:space="preserve">GRÁFICO 3 · título semanal</t>
        </is>
      </c>
      <c r="T5" s="16" t="inlineStr">
        <is>
          <t xml:space="preserve">INDICADOR (nome da lista)</t>
        </is>
      </c>
      <c r="U5" s="16" t="inlineStr">
        <is>
          <t xml:space="preserve">Rótulo no card</t>
        </is>
      </c>
      <c r="V5" s="16" t="inlineStr">
        <is>
          <t xml:space="preserve">Casas decimais</t>
        </is>
      </c>
      <c r="W5" s="69" t="inlineStr">
        <is>
          <t xml:space="preserve">Linha no período</t>
        </is>
      </c>
      <c r="X5" s="69" t="inlineStr">
        <is>
          <t xml:space="preserve">Coluna na série</t>
        </is>
      </c>
      <c r="Y5" s="69" t="inlineStr">
        <is>
          <t xml:space="preserve">Linha divisor</t>
        </is>
      </c>
      <c r="Z5" s="69" t="inlineStr">
        <is>
          <t xml:space="preserve">Coluna divisor</t>
        </is>
      </c>
    </row>
    <row r="6">
      <c r="A6" s="74" t="inlineStr">
        <is>
          <t xml:space="preserve">Todos</t>
        </is>
      </c>
      <c r="B6" s="75" t="inlineStr">
        <is>
          <t xml:space="preserve">Sim</t>
        </is>
      </c>
      <c r="C6" s="75" t="inlineStr">
        <is>
          <t xml:space="preserve">Pallets Movimentados IN</t>
        </is>
      </c>
      <c r="D6" s="75" t="inlineStr">
        <is>
          <t xml:space="preserve">Toneladas Movimentadas IN</t>
        </is>
      </c>
      <c r="E6" s="75"/>
      <c r="F6" s="75" t="inlineStr">
        <is>
          <t xml:space="preserve">Sim</t>
        </is>
      </c>
      <c r="G6" s="75" t="inlineStr">
        <is>
          <t xml:space="preserve">Pallets Movimentados OUT</t>
        </is>
      </c>
      <c r="H6" s="75" t="inlineStr">
        <is>
          <t xml:space="preserve">Toneladas Movimentadas OUT</t>
        </is>
      </c>
      <c r="I6" s="75"/>
      <c r="J6" s="75" t="inlineStr">
        <is>
          <t xml:space="preserve">Completo</t>
        </is>
      </c>
      <c r="K6" s="75" t="inlineStr">
        <is>
          <t xml:space="preserve">Pallets Movimentados IN</t>
        </is>
      </c>
      <c r="L6" s="75" t="inlineStr">
        <is>
          <t xml:space="preserve">Pallets Movimentados OUT</t>
        </is>
      </c>
      <c r="M6" s="75" t="inlineStr">
        <is>
          <t xml:space="preserve">MOVIMENTAÇÃO PALETES/DIA</t>
        </is>
      </c>
      <c r="N6" s="75" t="inlineStr">
        <is>
          <t xml:space="preserve">ACUMULADO SEMANAL PALETES</t>
        </is>
      </c>
      <c r="O6" s="75" t="inlineStr">
        <is>
          <t xml:space="preserve">Toneladas Movimentadas IN</t>
        </is>
      </c>
      <c r="P6" s="75" t="inlineStr">
        <is>
          <t xml:space="preserve">Toneladas Movimentadas OUT</t>
        </is>
      </c>
      <c r="Q6" s="75" t="inlineStr">
        <is>
          <t xml:space="preserve">MOVIMENTAÇÃO TONS/DIA</t>
        </is>
      </c>
      <c r="R6" s="75" t="inlineStr">
        <is>
          <t xml:space="preserve">ACUMULADO SEMANAL TONS</t>
        </is>
      </c>
      <c r="T6" s="38" t="inlineStr">
        <is>
          <t xml:space="preserve">Pallets Movimentados IN</t>
        </is>
      </c>
      <c r="U6" s="71" t="inlineStr">
        <is>
          <t xml:space="preserve">pallets movimentados</t>
        </is>
      </c>
      <c r="V6" s="72">
        <v>0</v>
      </c>
      <c r="W6" s="73">
        <v>2</v>
      </c>
      <c r="X6" s="73">
        <v>2</v>
      </c>
      <c r="Y6" s="73">
        <v>0</v>
      </c>
      <c r="Z6" s="73">
        <v>0</v>
      </c>
    </row>
    <row r="7">
      <c r="A7" s="76" t="inlineStr">
        <is>
          <t xml:space="preserve">Alpargatas</t>
        </is>
      </c>
      <c r="B7" s="75" t="inlineStr">
        <is>
          <t xml:space="preserve">Sim</t>
        </is>
      </c>
      <c r="C7" s="75" t="inlineStr">
        <is>
          <t xml:space="preserve">Caixas Movimentadas IN</t>
        </is>
      </c>
      <c r="D7" s="75" t="inlineStr">
        <is>
          <t xml:space="preserve">Caixas Movimentadas IN por veículo</t>
        </is>
      </c>
      <c r="E7" s="75"/>
      <c r="F7" s="75" t="inlineStr">
        <is>
          <t xml:space="preserve">Sim</t>
        </is>
      </c>
      <c r="G7" s="75" t="inlineStr">
        <is>
          <t xml:space="preserve">Caixas Expedidas OUT</t>
        </is>
      </c>
      <c r="H7" s="75" t="inlineStr">
        <is>
          <t xml:space="preserve">Caixas Expedidas OUT por veículo</t>
        </is>
      </c>
      <c r="I7" s="75"/>
      <c r="J7" s="75" t="inlineStr">
        <is>
          <t xml:space="preserve">Completo</t>
        </is>
      </c>
      <c r="K7" s="75" t="inlineStr">
        <is>
          <t xml:space="preserve">Caixas Movimentadas IN</t>
        </is>
      </c>
      <c r="L7" s="75" t="inlineStr">
        <is>
          <t xml:space="preserve">Caixas Expedidas OUT</t>
        </is>
      </c>
      <c r="M7" s="75" t="inlineStr">
        <is>
          <t xml:space="preserve">MOVIMENTAÇÃO CAIXAS/DIA</t>
        </is>
      </c>
      <c r="N7" s="75" t="inlineStr">
        <is>
          <t xml:space="preserve">ACUMULADO SEMANAL CAIXAS</t>
        </is>
      </c>
      <c r="O7" s="75" t="inlineStr">
        <is>
          <t xml:space="preserve">Caixas Movimentadas IN por veículo</t>
        </is>
      </c>
      <c r="P7" s="75" t="inlineStr">
        <is>
          <t xml:space="preserve">Caixas Expedidas OUT por veículo</t>
        </is>
      </c>
      <c r="Q7" s="75" t="inlineStr">
        <is>
          <t xml:space="preserve">CAIXAS POR VEÍCULO/DIA</t>
        </is>
      </c>
      <c r="R7" s="75" t="inlineStr">
        <is>
          <t xml:space="preserve">MÉDIA SEMANAL CAIXAS POR VEÍCULO</t>
        </is>
      </c>
      <c r="T7" s="38" t="inlineStr">
        <is>
          <t xml:space="preserve">Pallets Movimentados IN por veículo</t>
        </is>
      </c>
      <c r="U7" s="71" t="inlineStr">
        <is>
          <t xml:space="preserve">pallets movimentados por veículo</t>
        </is>
      </c>
      <c r="V7" s="72">
        <v>1</v>
      </c>
      <c r="W7" s="73">
        <v>2</v>
      </c>
      <c r="X7" s="73">
        <v>2</v>
      </c>
      <c r="Y7" s="73">
        <v>1</v>
      </c>
      <c r="Z7" s="73">
        <v>1</v>
      </c>
    </row>
    <row r="8">
      <c r="A8" s="74" t="inlineStr">
        <is>
          <t xml:space="preserve">Basf</t>
        </is>
      </c>
      <c r="B8" s="75" t="inlineStr">
        <is>
          <t xml:space="preserve">Sim</t>
        </is>
      </c>
      <c r="C8" s="75" t="inlineStr">
        <is>
          <t xml:space="preserve">Pallets Movimentados IN</t>
        </is>
      </c>
      <c r="D8" s="75" t="inlineStr">
        <is>
          <t xml:space="preserve">Toneladas Movimentadas IN</t>
        </is>
      </c>
      <c r="E8" s="75"/>
      <c r="F8" s="75" t="inlineStr">
        <is>
          <t xml:space="preserve">Sim</t>
        </is>
      </c>
      <c r="G8" s="75" t="inlineStr">
        <is>
          <t xml:space="preserve">Pallets Movimentados OUT</t>
        </is>
      </c>
      <c r="H8" s="75" t="inlineStr">
        <is>
          <t xml:space="preserve">Toneladas Movimentadas OUT</t>
        </is>
      </c>
      <c r="I8" s="75"/>
      <c r="J8" s="75" t="inlineStr">
        <is>
          <t xml:space="preserve">Completo</t>
        </is>
      </c>
      <c r="K8" s="75" t="inlineStr">
        <is>
          <t xml:space="preserve">Pallets Movimentados IN</t>
        </is>
      </c>
      <c r="L8" s="75" t="inlineStr">
        <is>
          <t xml:space="preserve">Pallets Movimentados OUT</t>
        </is>
      </c>
      <c r="M8" s="75" t="inlineStr">
        <is>
          <t xml:space="preserve">MOVIMENTAÇÃO PALETES/DIA</t>
        </is>
      </c>
      <c r="N8" s="75" t="inlineStr">
        <is>
          <t xml:space="preserve">ACUMULADO SEMANAL PALETES</t>
        </is>
      </c>
      <c r="O8" s="75" t="inlineStr">
        <is>
          <t xml:space="preserve">Toneladas Movimentadas IN</t>
        </is>
      </c>
      <c r="P8" s="75" t="inlineStr">
        <is>
          <t xml:space="preserve">Toneladas Movimentadas OUT</t>
        </is>
      </c>
      <c r="Q8" s="75" t="inlineStr">
        <is>
          <t xml:space="preserve">MOVIMENTAÇÃO TONS/DIA</t>
        </is>
      </c>
      <c r="R8" s="75" t="inlineStr">
        <is>
          <t xml:space="preserve">ACUMULADO SEMANAL TONS</t>
        </is>
      </c>
      <c r="T8" s="38" t="inlineStr">
        <is>
          <t xml:space="preserve">Toneladas Movimentadas IN</t>
        </is>
      </c>
      <c r="U8" s="71" t="inlineStr">
        <is>
          <t xml:space="preserve">t movimentadas</t>
        </is>
      </c>
      <c r="V8" s="72">
        <v>1</v>
      </c>
      <c r="W8" s="73">
        <v>3</v>
      </c>
      <c r="X8" s="73">
        <v>3</v>
      </c>
      <c r="Y8" s="73">
        <v>0</v>
      </c>
      <c r="Z8" s="73">
        <v>0</v>
      </c>
    </row>
    <row r="9">
      <c r="A9" s="76" t="inlineStr">
        <is>
          <t xml:space="preserve">Beautybiz</t>
        </is>
      </c>
      <c r="B9" s="75" t="inlineStr">
        <is>
          <t xml:space="preserve">Sim</t>
        </is>
      </c>
      <c r="C9" s="75" t="inlineStr">
        <is>
          <t xml:space="preserve">Pallets Movimentados IN</t>
        </is>
      </c>
      <c r="D9" s="75" t="inlineStr">
        <is>
          <t xml:space="preserve">Caixas Movimentadas IN</t>
        </is>
      </c>
      <c r="E9" s="75"/>
      <c r="F9" s="75" t="inlineStr">
        <is>
          <t xml:space="preserve">Sim</t>
        </is>
      </c>
      <c r="G9" s="75" t="inlineStr">
        <is>
          <t xml:space="preserve">Pallets Movimentados OUT</t>
        </is>
      </c>
      <c r="H9" s="75" t="inlineStr">
        <is>
          <t xml:space="preserve">Pedidos Expedidos OUT</t>
        </is>
      </c>
      <c r="I9" s="75"/>
      <c r="J9" s="75" t="inlineStr">
        <is>
          <t xml:space="preserve">Completo</t>
        </is>
      </c>
      <c r="K9" s="75" t="inlineStr">
        <is>
          <t xml:space="preserve">Pallets Movimentados IN</t>
        </is>
      </c>
      <c r="L9" s="75" t="inlineStr">
        <is>
          <t xml:space="preserve">Pallets Movimentados OUT</t>
        </is>
      </c>
      <c r="M9" s="75" t="inlineStr">
        <is>
          <t xml:space="preserve">MOVIMENTAÇÃO PALETES/DIA</t>
        </is>
      </c>
      <c r="N9" s="75" t="inlineStr">
        <is>
          <t xml:space="preserve">ACUMULADO SEMANAL PALETES</t>
        </is>
      </c>
      <c r="O9" s="75" t="inlineStr">
        <is>
          <t xml:space="preserve">Caixas Movimentadas IN</t>
        </is>
      </c>
      <c r="P9" s="75" t="inlineStr">
        <is>
          <t xml:space="preserve">Pedidos Expedidos OUT</t>
        </is>
      </c>
      <c r="Q9" s="75" t="inlineStr">
        <is>
          <t xml:space="preserve">MOVIMENTAÇÃO CAIXAS (IN) × PEDIDOS (OUT)/DIA</t>
        </is>
      </c>
      <c r="R9" s="75" t="inlineStr">
        <is>
          <t xml:space="preserve">ACUMULADO SEMANAL CAIXAS (IN) × PEDIDOS (OUT)</t>
        </is>
      </c>
      <c r="T9" s="38" t="inlineStr">
        <is>
          <t xml:space="preserve">Toneladas Movimentadas IN por veículo</t>
        </is>
      </c>
      <c r="U9" s="71" t="inlineStr">
        <is>
          <t xml:space="preserve">t movimentadas por veículo</t>
        </is>
      </c>
      <c r="V9" s="72">
        <v>1</v>
      </c>
      <c r="W9" s="73">
        <v>3</v>
      </c>
      <c r="X9" s="73">
        <v>3</v>
      </c>
      <c r="Y9" s="73">
        <v>1</v>
      </c>
      <c r="Z9" s="73">
        <v>1</v>
      </c>
    </row>
    <row r="10">
      <c r="A10" s="74" t="inlineStr">
        <is>
          <t xml:space="preserve">Boticário</t>
        </is>
      </c>
      <c r="B10" s="75" t="inlineStr">
        <is>
          <t xml:space="preserve">Sim</t>
        </is>
      </c>
      <c r="C10" s="75" t="inlineStr">
        <is>
          <t xml:space="preserve">Itens Recebidos CX Mista IN</t>
        </is>
      </c>
      <c r="D10" s="75" t="inlineStr">
        <is>
          <t xml:space="preserve">Caixas Mistas Recebidas IN</t>
        </is>
      </c>
      <c r="E10" s="75" t="inlineStr">
        <is>
          <t xml:space="preserve">Caixas Fechadas IN</t>
        </is>
      </c>
      <c r="F10" s="75" t="inlineStr">
        <is>
          <t xml:space="preserve">Sim</t>
        </is>
      </c>
      <c r="G10" s="75" t="inlineStr">
        <is>
          <t xml:space="preserve">Pedidos Faturados OUT</t>
        </is>
      </c>
      <c r="H10" s="75" t="inlineStr">
        <is>
          <t xml:space="preserve">Itens Expedidos OUT</t>
        </is>
      </c>
      <c r="I10" s="75" t="inlineStr">
        <is>
          <t xml:space="preserve">Pallets Movimentados OUT</t>
        </is>
      </c>
      <c r="J10" s="75" t="inlineStr">
        <is>
          <t xml:space="preserve">Completo</t>
        </is>
      </c>
      <c r="K10" s="75" t="inlineStr">
        <is>
          <t xml:space="preserve">Itens Recebidos CX Mista IN</t>
        </is>
      </c>
      <c r="L10" s="75" t="inlineStr">
        <is>
          <t xml:space="preserve">Itens Expedidos OUT</t>
        </is>
      </c>
      <c r="M10" s="75" t="inlineStr">
        <is>
          <t xml:space="preserve">MOVIMENTAÇÃO ITENS/DIA</t>
        </is>
      </c>
      <c r="N10" s="75" t="inlineStr">
        <is>
          <t xml:space="preserve">ACUMULADO SEMANAL ITENS</t>
        </is>
      </c>
      <c r="O10" s="75" t="inlineStr">
        <is>
          <t xml:space="preserve">Caixas Mistas Recebidas IN</t>
        </is>
      </c>
      <c r="P10" s="75" t="inlineStr">
        <is>
          <t xml:space="preserve">Pedidos Faturados OUT</t>
        </is>
      </c>
      <c r="Q10" s="75" t="inlineStr">
        <is>
          <t xml:space="preserve">MOVIMENTAÇÃO CAIXAS MISTAS (IN) × FATURADOS (OUT)/DIA</t>
        </is>
      </c>
      <c r="R10" s="75" t="inlineStr">
        <is>
          <t xml:space="preserve">ACUMULADO SEMANAL CAIXAS MISTAS (IN) × FATURADOS (OUT)</t>
        </is>
      </c>
      <c r="T10" s="38" t="inlineStr">
        <is>
          <t xml:space="preserve">Pallets Movimentados OUT</t>
        </is>
      </c>
      <c r="U10" s="71" t="inlineStr">
        <is>
          <t xml:space="preserve">pallets movimentados</t>
        </is>
      </c>
      <c r="V10" s="72">
        <v>0</v>
      </c>
      <c r="W10" s="73">
        <v>5</v>
      </c>
      <c r="X10" s="73">
        <v>17</v>
      </c>
      <c r="Y10" s="73">
        <v>0</v>
      </c>
      <c r="Z10" s="73">
        <v>0</v>
      </c>
    </row>
    <row r="11">
      <c r="A11" s="76" t="inlineStr">
        <is>
          <t xml:space="preserve">GE Vernova</t>
        </is>
      </c>
      <c r="B11" s="75" t="inlineStr">
        <is>
          <t xml:space="preserve">Sim</t>
        </is>
      </c>
      <c r="C11" s="75" t="inlineStr">
        <is>
          <t xml:space="preserve">Pallets Movimentados IN</t>
        </is>
      </c>
      <c r="D11" s="75" t="inlineStr">
        <is>
          <t xml:space="preserve">Peças Movimentadas IN</t>
        </is>
      </c>
      <c r="E11" s="75" t="inlineStr">
        <is>
          <t xml:space="preserve">Linhas NF IN</t>
        </is>
      </c>
      <c r="F11" s="75" t="inlineStr">
        <is>
          <t xml:space="preserve">Sim</t>
        </is>
      </c>
      <c r="G11" s="75" t="inlineStr">
        <is>
          <t xml:space="preserve">Pallets Movimentados OUT</t>
        </is>
      </c>
      <c r="H11" s="75" t="inlineStr">
        <is>
          <t xml:space="preserve">Peças Movimentadas OUT</t>
        </is>
      </c>
      <c r="I11" s="75" t="inlineStr">
        <is>
          <t xml:space="preserve">Linhas NF OUT</t>
        </is>
      </c>
      <c r="J11" s="75" t="inlineStr">
        <is>
          <t xml:space="preserve">Completo</t>
        </is>
      </c>
      <c r="K11" s="75" t="inlineStr">
        <is>
          <t xml:space="preserve">Pallets Movimentados IN</t>
        </is>
      </c>
      <c r="L11" s="75" t="inlineStr">
        <is>
          <t xml:space="preserve">Pallets Movimentados OUT</t>
        </is>
      </c>
      <c r="M11" s="75" t="inlineStr">
        <is>
          <t xml:space="preserve">MOVIMENTAÇÃO PALETES/DIA</t>
        </is>
      </c>
      <c r="N11" s="75" t="inlineStr">
        <is>
          <t xml:space="preserve">ACUMULADO SEMANAL PALETES</t>
        </is>
      </c>
      <c r="O11" s="75" t="inlineStr">
        <is>
          <t xml:space="preserve">Peças Movimentadas IN</t>
        </is>
      </c>
      <c r="P11" s="75" t="inlineStr">
        <is>
          <t xml:space="preserve">Peças Movimentadas OUT</t>
        </is>
      </c>
      <c r="Q11" s="75" t="inlineStr">
        <is>
          <t xml:space="preserve">MOVIMENTAÇÃO PEÇAS/DIA</t>
        </is>
      </c>
      <c r="R11" s="75" t="inlineStr">
        <is>
          <t xml:space="preserve">ACUMULADO SEMANAL PEÇAS</t>
        </is>
      </c>
      <c r="T11" s="38" t="inlineStr">
        <is>
          <t xml:space="preserve">Pallets Movimentados OUT por veículo</t>
        </is>
      </c>
      <c r="U11" s="71" t="inlineStr">
        <is>
          <t xml:space="preserve">pallets movimentados por veículo</t>
        </is>
      </c>
      <c r="V11" s="72">
        <v>1</v>
      </c>
      <c r="W11" s="73">
        <v>5</v>
      </c>
      <c r="X11" s="73">
        <v>17</v>
      </c>
      <c r="Y11" s="73">
        <v>4</v>
      </c>
      <c r="Z11" s="73">
        <v>10</v>
      </c>
    </row>
    <row r="12">
      <c r="A12" s="74" t="inlineStr">
        <is>
          <t xml:space="preserve">Omnilife</t>
        </is>
      </c>
      <c r="B12" s="75" t="inlineStr">
        <is>
          <t xml:space="preserve">Sim</t>
        </is>
      </c>
      <c r="C12" s="75" t="inlineStr">
        <is>
          <t xml:space="preserve">Pallets Movimentados IN</t>
        </is>
      </c>
      <c r="D12" s="75" t="inlineStr">
        <is>
          <t xml:space="preserve">Pallets Movimentados IN por veículo</t>
        </is>
      </c>
      <c r="E12" s="75"/>
      <c r="F12" s="75" t="inlineStr">
        <is>
          <t xml:space="preserve">Sim</t>
        </is>
      </c>
      <c r="G12" s="75" t="inlineStr">
        <is>
          <t xml:space="preserve">Pallets Movimentados OUT</t>
        </is>
      </c>
      <c r="H12" s="75" t="inlineStr">
        <is>
          <t xml:space="preserve">Pallets Movimentados OUT por veículo</t>
        </is>
      </c>
      <c r="I12" s="75"/>
      <c r="J12" s="75" t="inlineStr">
        <is>
          <t xml:space="preserve">Completo</t>
        </is>
      </c>
      <c r="K12" s="75" t="inlineStr">
        <is>
          <t xml:space="preserve">Pallets Movimentados IN</t>
        </is>
      </c>
      <c r="L12" s="75" t="inlineStr">
        <is>
          <t xml:space="preserve">Pallets Movimentados OUT</t>
        </is>
      </c>
      <c r="M12" s="75" t="inlineStr">
        <is>
          <t xml:space="preserve">MOVIMENTAÇÃO PALETES/DIA</t>
        </is>
      </c>
      <c r="N12" s="75" t="inlineStr">
        <is>
          <t xml:space="preserve">ACUMULADO SEMANAL PALETES</t>
        </is>
      </c>
      <c r="O12" s="75" t="inlineStr">
        <is>
          <t xml:space="preserve">Pallets Movimentados IN por veículo</t>
        </is>
      </c>
      <c r="P12" s="75" t="inlineStr">
        <is>
          <t xml:space="preserve">Pallets Movimentados OUT por veículo</t>
        </is>
      </c>
      <c r="Q12" s="75" t="inlineStr">
        <is>
          <t xml:space="preserve">PALETES POR VEÍCULO/DIA</t>
        </is>
      </c>
      <c r="R12" s="75" t="inlineStr">
        <is>
          <t xml:space="preserve">MÉDIA SEMANAL PALETES POR VEÍCULO</t>
        </is>
      </c>
      <c r="T12" s="38" t="inlineStr">
        <is>
          <t xml:space="preserve">Toneladas Movimentadas OUT</t>
        </is>
      </c>
      <c r="U12" s="71" t="inlineStr">
        <is>
          <t xml:space="preserve">t movimentadas</t>
        </is>
      </c>
      <c r="V12" s="72">
        <v>1</v>
      </c>
      <c r="W12" s="73">
        <v>6</v>
      </c>
      <c r="X12" s="73">
        <v>18</v>
      </c>
      <c r="Y12" s="73">
        <v>0</v>
      </c>
      <c r="Z12" s="73">
        <v>0</v>
      </c>
    </row>
    <row r="13">
      <c r="A13" s="76" t="inlineStr">
        <is>
          <t xml:space="preserve">Supply</t>
        </is>
      </c>
      <c r="B13" s="75" t="inlineStr">
        <is>
          <t xml:space="preserve">Sim</t>
        </is>
      </c>
      <c r="C13" s="75" t="inlineStr">
        <is>
          <t xml:space="preserve">Pallets Movimentados IN</t>
        </is>
      </c>
      <c r="D13" s="75" t="inlineStr">
        <is>
          <t xml:space="preserve">Toneladas Movimentadas IN</t>
        </is>
      </c>
      <c r="E13" s="75"/>
      <c r="F13" s="75" t="inlineStr">
        <is>
          <t xml:space="preserve">Sim</t>
        </is>
      </c>
      <c r="G13" s="75" t="inlineStr">
        <is>
          <t xml:space="preserve">Pallets Movimentados OUT</t>
        </is>
      </c>
      <c r="H13" s="75" t="inlineStr">
        <is>
          <t xml:space="preserve">Toneladas Movimentadas OUT</t>
        </is>
      </c>
      <c r="I13" s="75"/>
      <c r="J13" s="75" t="inlineStr">
        <is>
          <t xml:space="preserve">Completo</t>
        </is>
      </c>
      <c r="K13" s="75" t="inlineStr">
        <is>
          <t xml:space="preserve">Pallets Movimentados IN</t>
        </is>
      </c>
      <c r="L13" s="75" t="inlineStr">
        <is>
          <t xml:space="preserve">Pallets Movimentados OUT</t>
        </is>
      </c>
      <c r="M13" s="75" t="inlineStr">
        <is>
          <t xml:space="preserve">MOVIMENTAÇÃO PALETES/DIA</t>
        </is>
      </c>
      <c r="N13" s="75" t="inlineStr">
        <is>
          <t xml:space="preserve">ACUMULADO SEMANAL PALETES</t>
        </is>
      </c>
      <c r="O13" s="75" t="inlineStr">
        <is>
          <t xml:space="preserve">Toneladas Movimentadas IN</t>
        </is>
      </c>
      <c r="P13" s="75" t="inlineStr">
        <is>
          <t xml:space="preserve">Toneladas Movimentadas OUT</t>
        </is>
      </c>
      <c r="Q13" s="75" t="inlineStr">
        <is>
          <t xml:space="preserve">MOVIMENTAÇÃO TONS/DIA</t>
        </is>
      </c>
      <c r="R13" s="75" t="inlineStr">
        <is>
          <t xml:space="preserve">ACUMULADO SEMANAL TONS</t>
        </is>
      </c>
      <c r="T13" s="38" t="inlineStr">
        <is>
          <t xml:space="preserve">Toneladas Movimentadas OUT por veículo</t>
        </is>
      </c>
      <c r="U13" s="71" t="inlineStr">
        <is>
          <t xml:space="preserve">t movimentadas por veículo</t>
        </is>
      </c>
      <c r="V13" s="72">
        <v>1</v>
      </c>
      <c r="W13" s="73">
        <v>6</v>
      </c>
      <c r="X13" s="73">
        <v>18</v>
      </c>
      <c r="Y13" s="73">
        <v>4</v>
      </c>
      <c r="Z13" s="73">
        <v>10</v>
      </c>
    </row>
    <row r="14">
      <c r="A14" s="74" t="inlineStr">
        <is>
          <t xml:space="preserve">Vedacit</t>
        </is>
      </c>
      <c r="B14" s="75" t="inlineStr">
        <is>
          <t xml:space="preserve">Sim</t>
        </is>
      </c>
      <c r="C14" s="75" t="inlineStr">
        <is>
          <t xml:space="preserve">Pallets Movimentados IN</t>
        </is>
      </c>
      <c r="D14" s="75" t="inlineStr">
        <is>
          <t xml:space="preserve">Pallets Movimentados IN por veículo</t>
        </is>
      </c>
      <c r="E14" s="75"/>
      <c r="F14" s="75" t="inlineStr">
        <is>
          <t xml:space="preserve">Sim</t>
        </is>
      </c>
      <c r="G14" s="75" t="inlineStr">
        <is>
          <t xml:space="preserve">Pallets Movimentados OUT</t>
        </is>
      </c>
      <c r="H14" s="75" t="inlineStr">
        <is>
          <t xml:space="preserve">Pallets Movimentados OUT por veículo</t>
        </is>
      </c>
      <c r="I14" s="75"/>
      <c r="J14" s="75" t="inlineStr">
        <is>
          <t xml:space="preserve">Completo</t>
        </is>
      </c>
      <c r="K14" s="75" t="inlineStr">
        <is>
          <t xml:space="preserve">Pallets Movimentados IN</t>
        </is>
      </c>
      <c r="L14" s="75" t="inlineStr">
        <is>
          <t xml:space="preserve">Pallets Movimentados OUT</t>
        </is>
      </c>
      <c r="M14" s="75" t="inlineStr">
        <is>
          <t xml:space="preserve">MOVIMENTAÇÃO PALETES/DIA</t>
        </is>
      </c>
      <c r="N14" s="75" t="inlineStr">
        <is>
          <t xml:space="preserve">ACUMULADO SEMANAL PALETES</t>
        </is>
      </c>
      <c r="O14" s="75" t="inlineStr">
        <is>
          <t xml:space="preserve">Pallets Movimentados IN por veículo</t>
        </is>
      </c>
      <c r="P14" s="75" t="inlineStr">
        <is>
          <t xml:space="preserve">Pallets Movimentados OUT por veículo</t>
        </is>
      </c>
      <c r="Q14" s="75" t="inlineStr">
        <is>
          <t xml:space="preserve">PALETES POR VEÍCULO/DIA</t>
        </is>
      </c>
      <c r="R14" s="75" t="inlineStr">
        <is>
          <t xml:space="preserve">MÉDIA SEMANAL PALETES POR VEÍCULO</t>
        </is>
      </c>
      <c r="T14" s="38" t="inlineStr">
        <is>
          <t xml:space="preserve">Linhas NF IN</t>
        </is>
      </c>
      <c r="U14" s="71" t="inlineStr">
        <is>
          <t xml:space="preserve">linhas NF</t>
        </is>
      </c>
      <c r="V14" s="72">
        <v>0</v>
      </c>
      <c r="W14" s="73">
        <v>25</v>
      </c>
      <c r="X14" s="73">
        <v>4</v>
      </c>
      <c r="Y14" s="73">
        <v>0</v>
      </c>
      <c r="Z14" s="73">
        <v>0</v>
      </c>
    </row>
    <row r="15">
      <c r="A15" s="76" t="inlineStr">
        <is>
          <t xml:space="preserve">Vestas</t>
        </is>
      </c>
      <c r="B15" s="75" t="inlineStr">
        <is>
          <t xml:space="preserve">Sim</t>
        </is>
      </c>
      <c r="C15" s="75" t="inlineStr">
        <is>
          <t xml:space="preserve">Linhas NF IN</t>
        </is>
      </c>
      <c r="D15" s="75" t="inlineStr">
        <is>
          <t xml:space="preserve">Linhas NF IN por veículo</t>
        </is>
      </c>
      <c r="E15" s="75"/>
      <c r="F15" s="75" t="inlineStr">
        <is>
          <t xml:space="preserve">Sim</t>
        </is>
      </c>
      <c r="G15" s="75" t="inlineStr">
        <is>
          <t xml:space="preserve">Linhas NF OUT</t>
        </is>
      </c>
      <c r="H15" s="75" t="inlineStr">
        <is>
          <t xml:space="preserve">Linhas NF OUT por veículo</t>
        </is>
      </c>
      <c r="I15" s="75"/>
      <c r="J15" s="75" t="inlineStr">
        <is>
          <t xml:space="preserve">Completo</t>
        </is>
      </c>
      <c r="K15" s="75" t="inlineStr">
        <is>
          <t xml:space="preserve">Linhas NF IN</t>
        </is>
      </c>
      <c r="L15" s="75" t="inlineStr">
        <is>
          <t xml:space="preserve">Linhas NF OUT</t>
        </is>
      </c>
      <c r="M15" s="75" t="inlineStr">
        <is>
          <t xml:space="preserve">MOVIMENTAÇÃO LINHAS NF/DIA</t>
        </is>
      </c>
      <c r="N15" s="75" t="inlineStr">
        <is>
          <t xml:space="preserve">ACUMULADO SEMANAL LINHAS NF</t>
        </is>
      </c>
      <c r="O15" s="75" t="inlineStr">
        <is>
          <t xml:space="preserve">Linhas NF IN por veículo</t>
        </is>
      </c>
      <c r="P15" s="75" t="inlineStr">
        <is>
          <t xml:space="preserve">Linhas NF OUT por veículo</t>
        </is>
      </c>
      <c r="Q15" s="75" t="inlineStr">
        <is>
          <t xml:space="preserve">LINHAS NF POR VEÍCULO/DIA</t>
        </is>
      </c>
      <c r="R15" s="75" t="inlineStr">
        <is>
          <t xml:space="preserve">MÉDIA SEMANAL LINHAS NF POR VEÍCULO</t>
        </is>
      </c>
      <c r="T15" s="38" t="inlineStr">
        <is>
          <t xml:space="preserve">Linhas NF IN por veículo</t>
        </is>
      </c>
      <c r="U15" s="71" t="inlineStr">
        <is>
          <t xml:space="preserve">linhas NF por veículo</t>
        </is>
      </c>
      <c r="V15" s="72">
        <v>1</v>
      </c>
      <c r="W15" s="73">
        <v>25</v>
      </c>
      <c r="X15" s="73">
        <v>4</v>
      </c>
      <c r="Y15" s="73">
        <v>1</v>
      </c>
      <c r="Z15" s="73">
        <v>1</v>
      </c>
    </row>
    <row r="16">
      <c r="T16" s="38" t="inlineStr">
        <is>
          <t xml:space="preserve">Caixas Movimentadas IN</t>
        </is>
      </c>
      <c r="U16" s="71" t="inlineStr">
        <is>
          <t xml:space="preserve">caixas movimentadas</t>
        </is>
      </c>
      <c r="V16" s="72">
        <v>0</v>
      </c>
      <c r="W16" s="73">
        <v>26</v>
      </c>
      <c r="X16" s="73">
        <v>5</v>
      </c>
      <c r="Y16" s="73">
        <v>0</v>
      </c>
      <c r="Z16" s="73">
        <v>0</v>
      </c>
    </row>
    <row r="17">
      <c r="T17" s="38" t="inlineStr">
        <is>
          <t xml:space="preserve">Caixas Movimentadas IN por veículo</t>
        </is>
      </c>
      <c r="U17" s="71" t="inlineStr">
        <is>
          <t xml:space="preserve">caixas movimentadas por veículo</t>
        </is>
      </c>
      <c r="V17" s="72">
        <v>1</v>
      </c>
      <c r="W17" s="73">
        <v>26</v>
      </c>
      <c r="X17" s="73">
        <v>5</v>
      </c>
      <c r="Y17" s="73">
        <v>1</v>
      </c>
      <c r="Z17" s="73">
        <v>1</v>
      </c>
    </row>
    <row r="18">
      <c r="T18" s="38" t="inlineStr">
        <is>
          <t xml:space="preserve">Peças Movimentadas IN</t>
        </is>
      </c>
      <c r="U18" s="71" t="inlineStr">
        <is>
          <t xml:space="preserve">peças movimentadas</t>
        </is>
      </c>
      <c r="V18" s="72">
        <v>0</v>
      </c>
      <c r="W18" s="73">
        <v>27</v>
      </c>
      <c r="X18" s="73">
        <v>6</v>
      </c>
      <c r="Y18" s="73">
        <v>0</v>
      </c>
      <c r="Z18" s="73">
        <v>0</v>
      </c>
    </row>
    <row r="19">
      <c r="T19" s="38" t="inlineStr">
        <is>
          <t xml:space="preserve">Peças Movimentadas IN por veículo</t>
        </is>
      </c>
      <c r="U19" s="71" t="inlineStr">
        <is>
          <t xml:space="preserve">peças movimentadas por veículo</t>
        </is>
      </c>
      <c r="V19" s="72">
        <v>1</v>
      </c>
      <c r="W19" s="73">
        <v>27</v>
      </c>
      <c r="X19" s="73">
        <v>6</v>
      </c>
      <c r="Y19" s="73">
        <v>1</v>
      </c>
      <c r="Z19" s="73">
        <v>1</v>
      </c>
    </row>
    <row r="20">
      <c r="T20" s="38" t="inlineStr">
        <is>
          <t xml:space="preserve">Itens Recebidos CX Mista IN</t>
        </is>
      </c>
      <c r="U20" s="71" t="inlineStr">
        <is>
          <t xml:space="preserve">itens cx mista</t>
        </is>
      </c>
      <c r="V20" s="72">
        <v>0</v>
      </c>
      <c r="W20" s="73">
        <v>28</v>
      </c>
      <c r="X20" s="73">
        <v>7</v>
      </c>
      <c r="Y20" s="73">
        <v>0</v>
      </c>
      <c r="Z20" s="73">
        <v>0</v>
      </c>
    </row>
    <row r="21">
      <c r="T21" s="38" t="inlineStr">
        <is>
          <t xml:space="preserve">Itens Recebidos CX Mista IN por veículo</t>
        </is>
      </c>
      <c r="U21" s="71" t="inlineStr">
        <is>
          <t xml:space="preserve">itens cx mista por veículo</t>
        </is>
      </c>
      <c r="V21" s="72">
        <v>1</v>
      </c>
      <c r="W21" s="73">
        <v>28</v>
      </c>
      <c r="X21" s="73">
        <v>7</v>
      </c>
      <c r="Y21" s="73">
        <v>1</v>
      </c>
      <c r="Z21" s="73">
        <v>1</v>
      </c>
    </row>
    <row r="22">
      <c r="T22" s="38" t="inlineStr">
        <is>
          <t xml:space="preserve">Caixas Fechadas IN</t>
        </is>
      </c>
      <c r="U22" s="71" t="inlineStr">
        <is>
          <t xml:space="preserve">caixas fechadas</t>
        </is>
      </c>
      <c r="V22" s="72">
        <v>0</v>
      </c>
      <c r="W22" s="73">
        <v>29</v>
      </c>
      <c r="X22" s="73">
        <v>8</v>
      </c>
      <c r="Y22" s="73">
        <v>0</v>
      </c>
      <c r="Z22" s="73">
        <v>0</v>
      </c>
    </row>
    <row r="23">
      <c r="T23" s="38" t="inlineStr">
        <is>
          <t xml:space="preserve">Caixas Fechadas IN por veículo</t>
        </is>
      </c>
      <c r="U23" s="71" t="inlineStr">
        <is>
          <t xml:space="preserve">caixas fechadas por veículo</t>
        </is>
      </c>
      <c r="V23" s="72">
        <v>1</v>
      </c>
      <c r="W23" s="73">
        <v>29</v>
      </c>
      <c r="X23" s="73">
        <v>8</v>
      </c>
      <c r="Y23" s="73">
        <v>1</v>
      </c>
      <c r="Z23" s="73">
        <v>1</v>
      </c>
    </row>
    <row r="24">
      <c r="T24" s="38" t="inlineStr">
        <is>
          <t xml:space="preserve">Caixas Mistas Recebidas IN</t>
        </is>
      </c>
      <c r="U24" s="71" t="inlineStr">
        <is>
          <t xml:space="preserve">caixas mistas</t>
        </is>
      </c>
      <c r="V24" s="72">
        <v>0</v>
      </c>
      <c r="W24" s="73">
        <v>30</v>
      </c>
      <c r="X24" s="73">
        <v>9</v>
      </c>
      <c r="Y24" s="73">
        <v>0</v>
      </c>
      <c r="Z24" s="73">
        <v>0</v>
      </c>
    </row>
    <row r="25">
      <c r="T25" s="38" t="inlineStr">
        <is>
          <t xml:space="preserve">Caixas Mistas Recebidas IN por veículo</t>
        </is>
      </c>
      <c r="U25" s="71" t="inlineStr">
        <is>
          <t xml:space="preserve">caixas mistas por veículo</t>
        </is>
      </c>
      <c r="V25" s="72">
        <v>1</v>
      </c>
      <c r="W25" s="73">
        <v>30</v>
      </c>
      <c r="X25" s="73">
        <v>9</v>
      </c>
      <c r="Y25" s="73">
        <v>1</v>
      </c>
      <c r="Z25" s="73">
        <v>1</v>
      </c>
    </row>
    <row r="26">
      <c r="T26" s="38" t="inlineStr">
        <is>
          <t xml:space="preserve">Pedidos Expedidos OUT</t>
        </is>
      </c>
      <c r="U26" s="71" t="inlineStr">
        <is>
          <t xml:space="preserve">pedidos expedidos</t>
        </is>
      </c>
      <c r="V26" s="72">
        <v>0</v>
      </c>
      <c r="W26" s="73">
        <v>31</v>
      </c>
      <c r="X26" s="73">
        <v>11</v>
      </c>
      <c r="Y26" s="73">
        <v>0</v>
      </c>
      <c r="Z26" s="73">
        <v>0</v>
      </c>
    </row>
    <row r="27">
      <c r="T27" s="38" t="inlineStr">
        <is>
          <t xml:space="preserve">Pedidos Expedidos OUT por veículo</t>
        </is>
      </c>
      <c r="U27" s="71" t="inlineStr">
        <is>
          <t xml:space="preserve">pedidos expedidos por veículo</t>
        </is>
      </c>
      <c r="V27" s="72">
        <v>1</v>
      </c>
      <c r="W27" s="73">
        <v>31</v>
      </c>
      <c r="X27" s="73">
        <v>11</v>
      </c>
      <c r="Y27" s="73">
        <v>4</v>
      </c>
      <c r="Z27" s="73">
        <v>10</v>
      </c>
    </row>
    <row r="28">
      <c r="T28" s="38" t="inlineStr">
        <is>
          <t xml:space="preserve">Pedidos Faturados OUT</t>
        </is>
      </c>
      <c r="U28" s="71" t="inlineStr">
        <is>
          <t xml:space="preserve">pedidos faturados</t>
        </is>
      </c>
      <c r="V28" s="72">
        <v>0</v>
      </c>
      <c r="W28" s="73">
        <v>32</v>
      </c>
      <c r="X28" s="73">
        <v>12</v>
      </c>
      <c r="Y28" s="73">
        <v>0</v>
      </c>
      <c r="Z28" s="73">
        <v>0</v>
      </c>
    </row>
    <row r="29">
      <c r="T29" s="38" t="inlineStr">
        <is>
          <t xml:space="preserve">Pedidos Faturados OUT por veículo</t>
        </is>
      </c>
      <c r="U29" s="71" t="inlineStr">
        <is>
          <t xml:space="preserve">pedidos faturados por veículo</t>
        </is>
      </c>
      <c r="V29" s="72">
        <v>1</v>
      </c>
      <c r="W29" s="73">
        <v>32</v>
      </c>
      <c r="X29" s="73">
        <v>12</v>
      </c>
      <c r="Y29" s="73">
        <v>4</v>
      </c>
      <c r="Z29" s="73">
        <v>10</v>
      </c>
    </row>
    <row r="30">
      <c r="T30" s="38" t="inlineStr">
        <is>
          <t xml:space="preserve">Itens Expedidos OUT</t>
        </is>
      </c>
      <c r="U30" s="71" t="inlineStr">
        <is>
          <t xml:space="preserve">itens expedidos</t>
        </is>
      </c>
      <c r="V30" s="72">
        <v>0</v>
      </c>
      <c r="W30" s="73">
        <v>33</v>
      </c>
      <c r="X30" s="73">
        <v>13</v>
      </c>
      <c r="Y30" s="73">
        <v>0</v>
      </c>
      <c r="Z30" s="73">
        <v>0</v>
      </c>
    </row>
    <row r="31">
      <c r="T31" s="38" t="inlineStr">
        <is>
          <t xml:space="preserve">Itens Expedidos OUT por veículo</t>
        </is>
      </c>
      <c r="U31" s="71" t="inlineStr">
        <is>
          <t xml:space="preserve">itens expedidos por veículo</t>
        </is>
      </c>
      <c r="V31" s="72">
        <v>1</v>
      </c>
      <c r="W31" s="73">
        <v>33</v>
      </c>
      <c r="X31" s="73">
        <v>13</v>
      </c>
      <c r="Y31" s="73">
        <v>4</v>
      </c>
      <c r="Z31" s="73">
        <v>10</v>
      </c>
    </row>
    <row r="32">
      <c r="T32" s="38" t="inlineStr">
        <is>
          <t xml:space="preserve">Peças Movimentadas OUT</t>
        </is>
      </c>
      <c r="U32" s="71" t="inlineStr">
        <is>
          <t xml:space="preserve">peças movimentadas</t>
        </is>
      </c>
      <c r="V32" s="72">
        <v>0</v>
      </c>
      <c r="W32" s="73">
        <v>34</v>
      </c>
      <c r="X32" s="73">
        <v>14</v>
      </c>
      <c r="Y32" s="73">
        <v>0</v>
      </c>
      <c r="Z32" s="73">
        <v>0</v>
      </c>
    </row>
    <row r="33">
      <c r="T33" s="38" t="inlineStr">
        <is>
          <t xml:space="preserve">Peças Movimentadas OUT por veículo</t>
        </is>
      </c>
      <c r="U33" s="71" t="inlineStr">
        <is>
          <t xml:space="preserve">peças movimentadas por veículo</t>
        </is>
      </c>
      <c r="V33" s="72">
        <v>1</v>
      </c>
      <c r="W33" s="73">
        <v>34</v>
      </c>
      <c r="X33" s="73">
        <v>14</v>
      </c>
      <c r="Y33" s="73">
        <v>4</v>
      </c>
      <c r="Z33" s="73">
        <v>10</v>
      </c>
    </row>
    <row r="34">
      <c r="T34" s="38" t="inlineStr">
        <is>
          <t xml:space="preserve">Linhas NF OUT</t>
        </is>
      </c>
      <c r="U34" s="71" t="inlineStr">
        <is>
          <t xml:space="preserve">linhas NF</t>
        </is>
      </c>
      <c r="V34" s="72">
        <v>0</v>
      </c>
      <c r="W34" s="73">
        <v>35</v>
      </c>
      <c r="X34" s="73">
        <v>15</v>
      </c>
      <c r="Y34" s="73">
        <v>0</v>
      </c>
      <c r="Z34" s="73">
        <v>0</v>
      </c>
    </row>
    <row r="35">
      <c r="T35" s="38" t="inlineStr">
        <is>
          <t xml:space="preserve">Linhas NF OUT por veículo</t>
        </is>
      </c>
      <c r="U35" s="71" t="inlineStr">
        <is>
          <t xml:space="preserve">linhas NF por veículo</t>
        </is>
      </c>
      <c r="V35" s="72">
        <v>1</v>
      </c>
      <c r="W35" s="73">
        <v>35</v>
      </c>
      <c r="X35" s="73">
        <v>15</v>
      </c>
      <c r="Y35" s="73">
        <v>4</v>
      </c>
      <c r="Z35" s="73">
        <v>10</v>
      </c>
    </row>
    <row r="36">
      <c r="T36" s="38" t="inlineStr">
        <is>
          <t xml:space="preserve">Caixas Expedidas OUT</t>
        </is>
      </c>
      <c r="U36" s="71" t="inlineStr">
        <is>
          <t xml:space="preserve">caixas expedidas</t>
        </is>
      </c>
      <c r="V36" s="72">
        <v>0</v>
      </c>
      <c r="W36" s="73">
        <v>36</v>
      </c>
      <c r="X36" s="73">
        <v>16</v>
      </c>
      <c r="Y36" s="73">
        <v>0</v>
      </c>
      <c r="Z36" s="73">
        <v>0</v>
      </c>
    </row>
    <row r="37">
      <c r="T37" s="38" t="inlineStr">
        <is>
          <t xml:space="preserve">Caixas Expedidas OUT por veículo</t>
        </is>
      </c>
      <c r="U37" s="71" t="inlineStr">
        <is>
          <t xml:space="preserve">caixas expedidas por veículo</t>
        </is>
      </c>
      <c r="V37" s="72">
        <v>1</v>
      </c>
      <c r="W37" s="73">
        <v>36</v>
      </c>
      <c r="X37" s="73">
        <v>16</v>
      </c>
      <c r="Y37" s="73">
        <v>4</v>
      </c>
      <c r="Z37" s="73">
        <v>10</v>
      </c>
    </row>
  </sheetData>
  <sheetProtection password="CC78" sheet="1" objects="1" scenarios="1"/>
  <mergeCells count="2">
    <mergeCell ref="A1:Z1"/>
    <mergeCell ref="A2:R3"/>
  </mergeCells>
  <conditionalFormatting sqref="B6:B15">
    <cfRule type="expression" dxfId="3" priority="1">
      <formula>B6="Não se aplica"</formula>
    </cfRule>
  </conditionalFormatting>
  <conditionalFormatting sqref="F6:F15">
    <cfRule type="expression" dxfId="3" priority="2">
      <formula>F6="Não se aplica"</formula>
    </cfRule>
  </conditionalFormatting>
  <conditionalFormatting sqref="J6:J15">
    <cfRule type="expression" dxfId="3" priority="3">
      <formula>J6="Não se aplica"</formula>
    </cfRule>
  </conditionalFormatting>
  <conditionalFormatting sqref="J6:J15">
    <cfRule type="expression" dxfId="4" priority="4">
      <formula>J6="Só ocupadas"</formula>
    </cfRule>
  </conditionalFormatting>
  <dataValidations count="13">
    <dataValidation type="list" allowBlank="1" showInputMessage="1" showErrorMessage="1" promptTitle="Indicador" prompt="Escolha na lista (vazio = nada)." errorTitle="Valor inválido" error="Escolha um indicador da lista (catálogo à direita)." sqref="C6:C15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D6:D15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E6:E15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6:G15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H6:H15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6:I15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6:K15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L6:L15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O6:O15">
      <formula1>Config!$T$6:$T$37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P6:P15">
      <formula1>Config!$T$6:$T$37</formula1>
    </dataValidation>
    <dataValidation type="list" allowBlank="1" showInputMessage="1" showErrorMessage="1" promptTitle="Card" prompt="Sim ou Não se aplica." errorTitle="Valor inválido" error="Escolha um valor da lista." sqref="B6:B15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F6:F15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J6:J15">
      <formula1>"Completo,Só ocupadas,Não se aplica"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W325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6" max="36" width="10" customWidth="1"/>
    <col min="39" max="39" width="20" customWidth="1"/>
    <col min="41" max="41" width="22" customWidth="1"/>
    <col min="42" max="42" width="12" customWidth="1"/>
    <col min="44" max="44" width="52" customWidth="1"/>
    <col min="47" max="47" width="14" customWidth="1"/>
    <col min="49" max="49" width="20" customWidth="1"/>
  </cols>
  <sheetData>
    <row r="1">
      <c r="A1" s="26" t="inlineStr">
        <is>
          <t xml:space="preserve">CÁLCULOS — base da aba Consol Mensal (mês e filtro da própria aba) · gerado automaticamente</t>
        </is>
      </c>
    </row>
    <row r="2">
      <c r="A2" s="27" t="inlineStr">
        <is>
          <t xml:space="preserve">Cliente selecionado</t>
        </is>
      </c>
      <c r="B2" s="27" t="str">
        <f>IF(OR('Consol Mensal'!$D$3="",'Consol Mensal'!$D$3="Todos"),"Todos",'Consol Mensal'!$D$3)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IFERROR(INDEX($AP$12:$AP$21,MATCH($B$2,$AO$12:$AO$21,0)),"")</f>
        <v>TPC</v>
      </c>
    </row>
    <row r="3">
      <c r="A3" s="27" t="inlineStr">
        <is>
          <t xml:space="preserve">Capacidade (posições)</t>
        </is>
      </c>
      <c r="B3" s="30">
        <f>SUM($AV$13:$AV$13)</f>
        <v>0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0</v>
      </c>
    </row>
    <row r="5">
      <c r="A5" s="27" t="inlineStr">
        <is>
          <t xml:space="preserve">Faixa de atenção (ocupação)</t>
        </is>
      </c>
      <c r="B5" s="33">
        <v>0.7</v>
      </c>
    </row>
    <row r="6">
      <c r="A6" s="27" t="inlineStr">
        <is>
          <t xml:space="preserve">Faixa crítica (ocupação)</t>
        </is>
      </c>
      <c r="B6" s="33"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IN Linhas NF</t>
        </is>
      </c>
      <c r="G11" s="37" t="inlineStr">
        <is>
          <t xml:space="preserve">IN Caixas Movimentadas</t>
        </is>
      </c>
      <c r="H11" s="37" t="inlineStr">
        <is>
          <t xml:space="preserve">IN Peças Movimentadas</t>
        </is>
      </c>
      <c r="I11" s="37" t="inlineStr">
        <is>
          <t xml:space="preserve">IN Itens Recebidos CX Mista</t>
        </is>
      </c>
      <c r="J11" s="37" t="inlineStr">
        <is>
          <t xml:space="preserve">IN Caixas Fechadas</t>
        </is>
      </c>
      <c r="K11" s="37" t="inlineStr">
        <is>
          <t xml:space="preserve">IN Caixas Mistas Recebidas</t>
        </is>
      </c>
      <c r="L11" s="37" t="inlineStr">
        <is>
          <t xml:space="preserve">OUT Veículos Expedidos</t>
        </is>
      </c>
      <c r="M11" s="37" t="inlineStr">
        <is>
          <t xml:space="preserve">OUT Pedidos Expedidos</t>
        </is>
      </c>
      <c r="N11" s="37" t="inlineStr">
        <is>
          <t xml:space="preserve">OUT Pedidos Faturados</t>
        </is>
      </c>
      <c r="O11" s="37" t="inlineStr">
        <is>
          <t xml:space="preserve">OUT Itens Expedidos</t>
        </is>
      </c>
      <c r="P11" s="37" t="inlineStr">
        <is>
          <t xml:space="preserve">OUT Peças Movimentadas</t>
        </is>
      </c>
      <c r="Q11" s="37" t="inlineStr">
        <is>
          <t xml:space="preserve">OUT Linhas NF</t>
        </is>
      </c>
      <c r="R11" s="37" t="inlineStr">
        <is>
          <t xml:space="preserve">OUT Caixas Expedidas</t>
        </is>
      </c>
      <c r="S11" s="37" t="inlineStr">
        <is>
          <t xml:space="preserve">OUT Pallets Movimentados</t>
        </is>
      </c>
      <c r="T11" s="37" t="inlineStr">
        <is>
          <t xml:space="preserve">OUT Toneladas Movimentadas</t>
        </is>
      </c>
      <c r="U11" s="37" t="inlineStr">
        <is>
          <t xml:space="preserve">NC Incidentes</t>
        </is>
      </c>
      <c r="V11" s="37" t="inlineStr">
        <is>
          <t xml:space="preserve">NC No show</t>
        </is>
      </c>
      <c r="W11" s="37" t="inlineStr">
        <is>
          <t xml:space="preserve">NC Backlog</t>
        </is>
      </c>
      <c r="X11" s="37" t="inlineStr">
        <is>
          <t xml:space="preserve">OCUPAÇÃO (P.P) Posições Disponíveis</t>
        </is>
      </c>
      <c r="Y11" s="37" t="inlineStr">
        <is>
          <t xml:space="preserve">OCUPAÇÃO (P.P) Posições Ocupadas</t>
        </is>
      </c>
      <c r="Z11" s="37" t="inlineStr">
        <is>
          <t xml:space="preserve">OCUPAÇÃO (P.P) Taxa de Ocupação</t>
        </is>
      </c>
      <c r="AA11" s="37" t="inlineStr">
        <is>
          <t xml:space="preserve">GENTE Efetivo Op.</t>
        </is>
      </c>
      <c r="AB11" s="37" t="inlineStr">
        <is>
          <t xml:space="preserve">GENTE Falta</t>
        </is>
      </c>
      <c r="AC11" s="37" t="inlineStr">
        <is>
          <t xml:space="preserve">GENTE Folga</t>
        </is>
      </c>
      <c r="AD11" s="37" t="inlineStr">
        <is>
          <t xml:space="preserve">GENTE Férias</t>
        </is>
      </c>
      <c r="AE11" s="37" t="inlineStr">
        <is>
          <t xml:space="preserve">GENTE Desligamento</t>
        </is>
      </c>
      <c r="AF11" s="37" t="inlineStr">
        <is>
          <t xml:space="preserve">GENTE Desvios Comportamentais</t>
        </is>
      </c>
      <c r="AG11" s="37" t="inlineStr">
        <is>
          <t xml:space="preserve">GENTE Acidentes CAF</t>
        </is>
      </c>
      <c r="AH11" s="37" t="inlineStr">
        <is>
          <t xml:space="preserve">GENTE Acidentes SAF</t>
        </is>
      </c>
      <c r="AI11" s="37" t="inlineStr">
        <is>
          <t xml:space="preserve">Faixa atenção</t>
        </is>
      </c>
      <c r="AJ11" s="37" t="inlineStr">
        <is>
          <t xml:space="preserve">Faixa crítica</t>
        </is>
      </c>
      <c r="AM11" s="37" t="inlineStr">
        <is>
          <t xml:space="preserve">Meses (filtros das abas)</t>
        </is>
      </c>
      <c r="AO11" s="37" t="inlineStr">
        <is>
          <t xml:space="preserve">Filtro: depósito / cliente</t>
        </is>
      </c>
      <c r="AP11" s="37" t="inlineStr">
        <is>
          <t xml:space="preserve">Depósito</t>
        </is>
      </c>
      <c r="AR11" s="37" t="inlineStr">
        <is>
          <t xml:space="preserve">Títulos dos gráficos (seguem os filtros)</t>
        </is>
      </c>
    </row>
    <row r="12">
      <c r="A12" s="28">
        <v>1</v>
      </c>
      <c r="B12" s="45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6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32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>
        <f>IF($B12="","",IF($B$2="Todos",SUMIFS(BD!$K$3:$K$5001,BD!$A$3:$A$5001,$B12),SUMIFS(BD!$K$3:$K$5001,BD!$A$3:$A$5001,$B12,BD!$B$3:$B$5001,$D$2)))</f>
        <v>0</v>
      </c>
      <c r="L12" s="32">
        <f>IF($B12="","",IF($B$2="Todos",SUMIFS(BD!$L$3:$L$5001,BD!$A$3:$A$5001,$B12),SUMIFS(BD!$L$3:$L$5001,BD!$A$3:$A$5001,$B12,BD!$B$3:$B$5001,$D$2)))</f>
        <v>0</v>
      </c>
      <c r="M12" s="32">
        <f>IF($B12="","",IF($B$2="Todos",SUMIFS(BD!$M$3:$M$5001,BD!$A$3:$A$5001,$B12),SUMIFS(BD!$M$3:$M$5001,BD!$A$3:$A$5001,$B12,BD!$B$3:$B$5001,$D$2)))</f>
        <v>0</v>
      </c>
      <c r="N12" s="32">
        <f>IF($B12="","",IF($B$2="Todos",SUMIFS(BD!$N$3:$N$5001,BD!$A$3:$A$5001,$B12),SUMIFS(BD!$N$3:$N$5001,BD!$A$3:$A$5001,$B12,BD!$B$3:$B$5001,$D$2)))</f>
        <v>0</v>
      </c>
      <c r="O12" s="32">
        <f>IF($B12="","",IF($B$2="Todos",SUMIFS(BD!$O$3:$O$5001,BD!$A$3:$A$5001,$B12),SUMIFS(BD!$O$3:$O$5001,BD!$A$3:$A$5001,$B12,BD!$B$3:$B$5001,$D$2)))</f>
        <v>0</v>
      </c>
      <c r="P12" s="32">
        <f>IF($B12="","",IF($B$2="Todos",SUMIFS(BD!$P$3:$P$5001,BD!$A$3:$A$5001,$B12),SUMIFS(BD!$P$3:$P$5001,BD!$A$3:$A$5001,$B12,BD!$B$3:$B$5001,$D$2)))</f>
        <v>0</v>
      </c>
      <c r="Q12" s="32">
        <f>IF($B12="","",IF($B$2="Todos",SUMIFS(BD!$Q$3:$Q$5001,BD!$A$3:$A$5001,$B12),SUMIFS(BD!$Q$3:$Q$5001,BD!$A$3:$A$5001,$B12,BD!$B$3:$B$5001,$D$2)))</f>
        <v>0</v>
      </c>
      <c r="R12" s="32">
        <f>IF($B12="","",IF($B$2="Todos",SUMIFS(BD!$R$3:$R$5001,BD!$A$3:$A$5001,$B12),SUMIFS(BD!$R$3:$R$5001,BD!$A$3:$A$5001,$B12,BD!$B$3:$B$5001,$D$2)))</f>
        <v>0</v>
      </c>
      <c r="S12" s="32">
        <f>IF($B12="","",IF($B$2="Todos",SUMIFS(BD!$S$3:$S$5001,BD!$A$3:$A$5001,$B12),SUMIFS(BD!$S$3:$S$5001,BD!$A$3:$A$5001,$B12,BD!$B$3:$B$5001,$D$2)))</f>
        <v>0</v>
      </c>
      <c r="T12" s="46">
        <f>IF($B12="","",IF($B$2="Todos",SUMIFS(BD!$T$3:$T$5001,BD!$A$3:$A$5001,$B12),SUMIFS(BD!$T$3:$T$5001,BD!$A$3:$A$5001,$B12,BD!$B$3:$B$5001,$D$2)))</f>
        <v>0</v>
      </c>
      <c r="U12" s="32">
        <f>IF($B12="","",IF($B$2="Todos",SUMIFS(BD!$U$3:$U$5001,BD!$A$3:$A$5001,$B12),SUMIFS(BD!$U$3:$U$5001,BD!$A$3:$A$5001,$B12,BD!$B$3:$B$5001,$D$2)))</f>
        <v>0</v>
      </c>
      <c r="V12" s="32">
        <f>IF($B12="","",IF($B$2="Todos",SUMIFS(BD!$V$3:$V$5001,BD!$A$3:$A$5001,$B12),SUMIFS(BD!$V$3:$V$5001,BD!$A$3:$A$5001,$B12,BD!$B$3:$B$5001,$D$2)))</f>
        <v>0</v>
      </c>
      <c r="W12" s="32" t="str">
        <f>IF($B$2="Todos",IF(COUNT($C$139:$K$139)=0,"",SUM($C$139:$K$139)),IFERROR(INDEX($C$139:$K$139,MATCH($D$2,$C$138:$K$138,0)),""))</f>
        <v/>
      </c>
      <c r="X12" s="47" t="str">
        <f>IF(Y12="","",IF($B$2="Todos",IF($B$4&gt;0,$B$4,IF($B$2="Todos",IF(COUNT($C$209:$K$209)=0,"",SUM($C$209:$K$209)),IFERROR(INDEX($C$209:$K$209,MATCH($D$2,$C$208:$K$208,0)),""))),IFERROR(INDEX($C$209:$K$209,MATCH($D$2,$C$208:$K$208,0)),"")))</f>
        <v/>
      </c>
      <c r="Y12" s="32" t="str">
        <f>IF($B$2="Todos",IF(COUNT($C$174:$K$174)=0,"",SUM($C$174:$K$174)),IFERROR(INDEX($C$174:$K$174,MATCH($D$2,$C$173:$K$173,0)),""))</f>
        <v/>
      </c>
      <c r="Z12" s="48" t="str">
        <f>IF(AND(ISNUMBER(Y12),ISNUMBER(X12)),IF(X12&gt;0,Y12/X12,""),"")</f>
        <v/>
      </c>
      <c r="AA12" s="32" t="str">
        <f>IF($B$2="Todos",IF(COUNT($C$244:$K$244)=0,"",SUM($C$244:$K$244)),IFERROR(INDEX($C$244:$K$244,MATCH($D$2,$C$243:$K$243,0)),""))</f>
        <v/>
      </c>
      <c r="AB12" s="32">
        <f>IF($B12="","",IF($B$2="Todos",SUMIFS(BD!$AA$3:$AA$5001,BD!$A$3:$A$5001,$B12),SUMIFS(BD!$AA$3:$AA$5001,BD!$A$3:$A$5001,$B12,BD!$B$3:$B$5001,$D$2)))</f>
        <v>0</v>
      </c>
      <c r="AC12" s="32">
        <f>IF($B12="","",IF($B$2="Todos",SUMIFS(BD!$AB$3:$AB$5001,BD!$A$3:$A$5001,$B12),SUMIFS(BD!$AB$3:$AB$5001,BD!$A$3:$A$5001,$B12,BD!$B$3:$B$5001,$D$2)))</f>
        <v>0</v>
      </c>
      <c r="AD12" s="32">
        <f>IF($B12="","",IF($B$2="Todos",SUMIFS(BD!$AC$3:$AC$5001,BD!$A$3:$A$5001,$B12),SUMIFS(BD!$AC$3:$AC$5001,BD!$A$3:$A$5001,$B12,BD!$B$3:$B$5001,$D$2)))</f>
        <v>0</v>
      </c>
      <c r="AE12" s="32">
        <f>IF($B12="","",IF($B$2="Todos",SUMIFS(BD!$AD$3:$AD$5001,BD!$A$3:$A$5001,$B12),SUMIFS(BD!$AD$3:$AD$5001,BD!$A$3:$A$5001,$B12,BD!$B$3:$B$5001,$D$2)))</f>
        <v>0</v>
      </c>
      <c r="AF12" s="32">
        <f>IF($B12="","",IF($B$2="Todos",SUMIFS(BD!$AE$3:$AE$5001,BD!$A$3:$A$5001,$B12),SUMIFS(BD!$AE$3:$AE$5001,BD!$A$3:$A$5001,$B12,BD!$B$3:$B$5001,$D$2)))</f>
        <v>0</v>
      </c>
      <c r="AG12" s="32">
        <f>IF($B12="","",IF($B$2="Todos",SUMIFS(BD!$AF$3:$AF$5001,BD!$A$3:$A$5001,$B12),SUMIFS(BD!$AF$3:$AF$5001,BD!$A$3:$A$5001,$B12,BD!$B$3:$B$5001,$D$2)))</f>
        <v>0</v>
      </c>
      <c r="AH12" s="32">
        <f>IF($B12="","",IF($B$2="Todos",SUMIFS(BD!$AG$3:$AG$5001,BD!$A$3:$A$5001,$B12),SUMIFS(BD!$AG$3:$AG$5001,BD!$A$3:$A$5001,$B12,BD!$B$3:$B$5001,$D$2)))</f>
        <v>0</v>
      </c>
      <c r="AI12" s="49">
        <f>$B$5</f>
        <v>0.7</v>
      </c>
      <c r="AJ12" s="49">
        <f>$B$6</f>
        <v>0.9</v>
      </c>
      <c r="AM12" s="29" t="inlineStr">
        <is>
          <t xml:space="preserve">JANEIRO · 2026</t>
        </is>
      </c>
      <c r="AO12" s="29" t="inlineStr">
        <is>
          <t xml:space="preserve">Todos</t>
        </is>
      </c>
      <c r="AP12" s="28" t="inlineStr">
        <is>
          <t xml:space="preserve">TPC</t>
        </is>
      </c>
      <c r="AR12" s="29" t="str">
        <f>"MOVIMENTAÇÃO FROTA/DIA — "&amp;IF($B$2="Todos","TODOS OS CLIENTES",UPPER($B$2))</f>
        <v>MOVIMENTAÇÃO FROTA/DIA — TODOS OS CLIENTES</v>
      </c>
      <c r="AU12" s="37" t="inlineStr">
        <is>
          <t xml:space="preserve">Capacidade por depósito</t>
        </is>
      </c>
      <c r="AV12" s="37" t="inlineStr">
        <is>
          <t xml:space="preserve">Posições</t>
        </is>
      </c>
    </row>
    <row r="13">
      <c r="A13" s="28">
        <v>2</v>
      </c>
      <c r="B13" s="45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6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32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>
        <f>IF($B13="","",IF($B$2="Todos",SUMIFS(BD!$K$3:$K$5001,BD!$A$3:$A$5001,$B13),SUMIFS(BD!$K$3:$K$5001,BD!$A$3:$A$5001,$B13,BD!$B$3:$B$5001,$D$2)))</f>
        <v>0</v>
      </c>
      <c r="L13" s="32">
        <f>IF($B13="","",IF($B$2="Todos",SUMIFS(BD!$L$3:$L$5001,BD!$A$3:$A$5001,$B13),SUMIFS(BD!$L$3:$L$5001,BD!$A$3:$A$5001,$B13,BD!$B$3:$B$5001,$D$2)))</f>
        <v>0</v>
      </c>
      <c r="M13" s="32">
        <f>IF($B13="","",IF($B$2="Todos",SUMIFS(BD!$M$3:$M$5001,BD!$A$3:$A$5001,$B13),SUMIFS(BD!$M$3:$M$5001,BD!$A$3:$A$5001,$B13,BD!$B$3:$B$5001,$D$2)))</f>
        <v>0</v>
      </c>
      <c r="N13" s="32">
        <f>IF($B13="","",IF($B$2="Todos",SUMIFS(BD!$N$3:$N$5001,BD!$A$3:$A$5001,$B13),SUMIFS(BD!$N$3:$N$5001,BD!$A$3:$A$5001,$B13,BD!$B$3:$B$5001,$D$2)))</f>
        <v>0</v>
      </c>
      <c r="O13" s="32">
        <f>IF($B13="","",IF($B$2="Todos",SUMIFS(BD!$O$3:$O$5001,BD!$A$3:$A$5001,$B13),SUMIFS(BD!$O$3:$O$5001,BD!$A$3:$A$5001,$B13,BD!$B$3:$B$5001,$D$2)))</f>
        <v>0</v>
      </c>
      <c r="P13" s="32">
        <f>IF($B13="","",IF($B$2="Todos",SUMIFS(BD!$P$3:$P$5001,BD!$A$3:$A$5001,$B13),SUMIFS(BD!$P$3:$P$5001,BD!$A$3:$A$5001,$B13,BD!$B$3:$B$5001,$D$2)))</f>
        <v>0</v>
      </c>
      <c r="Q13" s="32">
        <f>IF($B13="","",IF($B$2="Todos",SUMIFS(BD!$Q$3:$Q$5001,BD!$A$3:$A$5001,$B13),SUMIFS(BD!$Q$3:$Q$5001,BD!$A$3:$A$5001,$B13,BD!$B$3:$B$5001,$D$2)))</f>
        <v>0</v>
      </c>
      <c r="R13" s="32">
        <f>IF($B13="","",IF($B$2="Todos",SUMIFS(BD!$R$3:$R$5001,BD!$A$3:$A$5001,$B13),SUMIFS(BD!$R$3:$R$5001,BD!$A$3:$A$5001,$B13,BD!$B$3:$B$5001,$D$2)))</f>
        <v>0</v>
      </c>
      <c r="S13" s="32">
        <f>IF($B13="","",IF($B$2="Todos",SUMIFS(BD!$S$3:$S$5001,BD!$A$3:$A$5001,$B13),SUMIFS(BD!$S$3:$S$5001,BD!$A$3:$A$5001,$B13,BD!$B$3:$B$5001,$D$2)))</f>
        <v>0</v>
      </c>
      <c r="T13" s="46">
        <f>IF($B13="","",IF($B$2="Todos",SUMIFS(BD!$T$3:$T$5001,BD!$A$3:$A$5001,$B13),SUMIFS(BD!$T$3:$T$5001,BD!$A$3:$A$5001,$B13,BD!$B$3:$B$5001,$D$2)))</f>
        <v>0</v>
      </c>
      <c r="U13" s="32">
        <f>IF($B13="","",IF($B$2="Todos",SUMIFS(BD!$U$3:$U$5001,BD!$A$3:$A$5001,$B13),SUMIFS(BD!$U$3:$U$5001,BD!$A$3:$A$5001,$B13,BD!$B$3:$B$5001,$D$2)))</f>
        <v>0</v>
      </c>
      <c r="V13" s="32">
        <f>IF($B13="","",IF($B$2="Todos",SUMIFS(BD!$V$3:$V$5001,BD!$A$3:$A$5001,$B13),SUMIFS(BD!$V$3:$V$5001,BD!$A$3:$A$5001,$B13,BD!$B$3:$B$5001,$D$2)))</f>
        <v>0</v>
      </c>
      <c r="W13" s="32" t="str">
        <f>IF($B$2="Todos",IF(COUNT($C$140:$K$140)=0,"",SUM($C$140:$K$140)),IFERROR(INDEX($C$140:$K$140,MATCH($D$2,$C$138:$K$138,0)),""))</f>
        <v/>
      </c>
      <c r="X13" s="47" t="str">
        <f>IF(Y13="","",IF($B$2="Todos",IF($B$4&gt;0,$B$4,IF($B$2="Todos",IF(COUNT($C$210:$K$210)=0,"",SUM($C$210:$K$210)),IFERROR(INDEX($C$210:$K$210,MATCH($D$2,$C$208:$K$208,0)),""))),IFERROR(INDEX($C$210:$K$210,MATCH($D$2,$C$208:$K$208,0)),"")))</f>
        <v/>
      </c>
      <c r="Y13" s="32" t="str">
        <f>IF($B$2="Todos",IF(COUNT($C$175:$K$175)=0,"",SUM($C$175:$K$175)),IFERROR(INDEX($C$175:$K$175,MATCH($D$2,$C$173:$K$173,0)),""))</f>
        <v/>
      </c>
      <c r="Z13" s="48" t="str">
        <f>IF(AND(ISNUMBER(Y13),ISNUMBER(X13)),IF(X13&gt;0,Y13/X13,""),"")</f>
        <v/>
      </c>
      <c r="AA13" s="32" t="str">
        <f>IF($B$2="Todos",IF(COUNT($C$245:$K$245)=0,"",SUM($C$245:$K$245)),IFERROR(INDEX($C$245:$K$245,MATCH($D$2,$C$243:$K$243,0)),""))</f>
        <v/>
      </c>
      <c r="AB13" s="32">
        <f>IF($B13="","",IF($B$2="Todos",SUMIFS(BD!$AA$3:$AA$5001,BD!$A$3:$A$5001,$B13),SUMIFS(BD!$AA$3:$AA$5001,BD!$A$3:$A$5001,$B13,BD!$B$3:$B$5001,$D$2)))</f>
        <v>0</v>
      </c>
      <c r="AC13" s="32">
        <f>IF($B13="","",IF($B$2="Todos",SUMIFS(BD!$AB$3:$AB$5001,BD!$A$3:$A$5001,$B13),SUMIFS(BD!$AB$3:$AB$5001,BD!$A$3:$A$5001,$B13,BD!$B$3:$B$5001,$D$2)))</f>
        <v>0</v>
      </c>
      <c r="AD13" s="32">
        <f>IF($B13="","",IF($B$2="Todos",SUMIFS(BD!$AC$3:$AC$5001,BD!$A$3:$A$5001,$B13),SUMIFS(BD!$AC$3:$AC$5001,BD!$A$3:$A$5001,$B13,BD!$B$3:$B$5001,$D$2)))</f>
        <v>0</v>
      </c>
      <c r="AE13" s="32">
        <f>IF($B13="","",IF($B$2="Todos",SUMIFS(BD!$AD$3:$AD$5001,BD!$A$3:$A$5001,$B13),SUMIFS(BD!$AD$3:$AD$5001,BD!$A$3:$A$5001,$B13,BD!$B$3:$B$5001,$D$2)))</f>
        <v>0</v>
      </c>
      <c r="AF13" s="32">
        <f>IF($B13="","",IF($B$2="Todos",SUMIFS(BD!$AE$3:$AE$5001,BD!$A$3:$A$5001,$B13),SUMIFS(BD!$AE$3:$AE$5001,BD!$A$3:$A$5001,$B13,BD!$B$3:$B$5001,$D$2)))</f>
        <v>0</v>
      </c>
      <c r="AG13" s="32">
        <f>IF($B13="","",IF($B$2="Todos",SUMIFS(BD!$AF$3:$AF$5001,BD!$A$3:$A$5001,$B13),SUMIFS(BD!$AF$3:$AF$5001,BD!$A$3:$A$5001,$B13,BD!$B$3:$B$5001,$D$2)))</f>
        <v>0</v>
      </c>
      <c r="AH13" s="32">
        <f>IF($B13="","",IF($B$2="Todos",SUMIFS(BD!$AG$3:$AG$5001,BD!$A$3:$A$5001,$B13),SUMIFS(BD!$AG$3:$AG$5001,BD!$A$3:$A$5001,$B13,BD!$B$3:$B$5001,$D$2)))</f>
        <v>0</v>
      </c>
      <c r="AI13" s="49">
        <f>$B$5</f>
        <v>0.7</v>
      </c>
      <c r="AJ13" s="49">
        <f>$B$6</f>
        <v>0.9</v>
      </c>
      <c r="AM13" s="29" t="inlineStr">
        <is>
          <t xml:space="preserve">FEVEREIRO · 2026</t>
        </is>
      </c>
      <c r="AO13" s="29" t="inlineStr">
        <is>
          <t xml:space="preserve">Alpargatas</t>
        </is>
      </c>
      <c r="AP13" s="28" t="inlineStr">
        <is>
          <t xml:space="preserve">TPC</t>
        </is>
      </c>
      <c r="AR13" s="29" t="str">
        <f>"OCUPAÇÃO DIÁRIA — "&amp;IF($B$2="Todos","TODOS OS CLIENTES",UPPER($B$2))</f>
        <v>OCUPAÇÃO DIÁRIA — TODOS OS CLIENTES</v>
      </c>
      <c r="AU13" s="38" t="inlineStr">
        <is>
          <t xml:space="preserve">TPC</t>
        </is>
      </c>
      <c r="AV13" s="39">
        <v>0</v>
      </c>
      <c r="AW13" s="31"/>
    </row>
    <row r="14">
      <c r="A14" s="28">
        <v>3</v>
      </c>
      <c r="B14" s="45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6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32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>
        <f>IF($B14="","",IF($B$2="Todos",SUMIFS(BD!$K$3:$K$5001,BD!$A$3:$A$5001,$B14),SUMIFS(BD!$K$3:$K$5001,BD!$A$3:$A$5001,$B14,BD!$B$3:$B$5001,$D$2)))</f>
        <v>0</v>
      </c>
      <c r="L14" s="32">
        <f>IF($B14="","",IF($B$2="Todos",SUMIFS(BD!$L$3:$L$5001,BD!$A$3:$A$5001,$B14),SUMIFS(BD!$L$3:$L$5001,BD!$A$3:$A$5001,$B14,BD!$B$3:$B$5001,$D$2)))</f>
        <v>0</v>
      </c>
      <c r="M14" s="32">
        <f>IF($B14="","",IF($B$2="Todos",SUMIFS(BD!$M$3:$M$5001,BD!$A$3:$A$5001,$B14),SUMIFS(BD!$M$3:$M$5001,BD!$A$3:$A$5001,$B14,BD!$B$3:$B$5001,$D$2)))</f>
        <v>0</v>
      </c>
      <c r="N14" s="32">
        <f>IF($B14="","",IF($B$2="Todos",SUMIFS(BD!$N$3:$N$5001,BD!$A$3:$A$5001,$B14),SUMIFS(BD!$N$3:$N$5001,BD!$A$3:$A$5001,$B14,BD!$B$3:$B$5001,$D$2)))</f>
        <v>0</v>
      </c>
      <c r="O14" s="32">
        <f>IF($B14="","",IF($B$2="Todos",SUMIFS(BD!$O$3:$O$5001,BD!$A$3:$A$5001,$B14),SUMIFS(BD!$O$3:$O$5001,BD!$A$3:$A$5001,$B14,BD!$B$3:$B$5001,$D$2)))</f>
        <v>0</v>
      </c>
      <c r="P14" s="32">
        <f>IF($B14="","",IF($B$2="Todos",SUMIFS(BD!$P$3:$P$5001,BD!$A$3:$A$5001,$B14),SUMIFS(BD!$P$3:$P$5001,BD!$A$3:$A$5001,$B14,BD!$B$3:$B$5001,$D$2)))</f>
        <v>0</v>
      </c>
      <c r="Q14" s="32">
        <f>IF($B14="","",IF($B$2="Todos",SUMIFS(BD!$Q$3:$Q$5001,BD!$A$3:$A$5001,$B14),SUMIFS(BD!$Q$3:$Q$5001,BD!$A$3:$A$5001,$B14,BD!$B$3:$B$5001,$D$2)))</f>
        <v>0</v>
      </c>
      <c r="R14" s="32">
        <f>IF($B14="","",IF($B$2="Todos",SUMIFS(BD!$R$3:$R$5001,BD!$A$3:$A$5001,$B14),SUMIFS(BD!$R$3:$R$5001,BD!$A$3:$A$5001,$B14,BD!$B$3:$B$5001,$D$2)))</f>
        <v>0</v>
      </c>
      <c r="S14" s="32">
        <f>IF($B14="","",IF($B$2="Todos",SUMIFS(BD!$S$3:$S$5001,BD!$A$3:$A$5001,$B14),SUMIFS(BD!$S$3:$S$5001,BD!$A$3:$A$5001,$B14,BD!$B$3:$B$5001,$D$2)))</f>
        <v>0</v>
      </c>
      <c r="T14" s="46">
        <f>IF($B14="","",IF($B$2="Todos",SUMIFS(BD!$T$3:$T$5001,BD!$A$3:$A$5001,$B14),SUMIFS(BD!$T$3:$T$5001,BD!$A$3:$A$5001,$B14,BD!$B$3:$B$5001,$D$2)))</f>
        <v>0</v>
      </c>
      <c r="U14" s="32">
        <f>IF($B14="","",IF($B$2="Todos",SUMIFS(BD!$U$3:$U$5001,BD!$A$3:$A$5001,$B14),SUMIFS(BD!$U$3:$U$5001,BD!$A$3:$A$5001,$B14,BD!$B$3:$B$5001,$D$2)))</f>
        <v>0</v>
      </c>
      <c r="V14" s="32">
        <f>IF($B14="","",IF($B$2="Todos",SUMIFS(BD!$V$3:$V$5001,BD!$A$3:$A$5001,$B14),SUMIFS(BD!$V$3:$V$5001,BD!$A$3:$A$5001,$B14,BD!$B$3:$B$5001,$D$2)))</f>
        <v>0</v>
      </c>
      <c r="W14" s="32" t="str">
        <f>IF($B$2="Todos",IF(COUNT($C$141:$K$141)=0,"",SUM($C$141:$K$141)),IFERROR(INDEX($C$141:$K$141,MATCH($D$2,$C$138:$K$138,0)),""))</f>
        <v/>
      </c>
      <c r="X14" s="47" t="str">
        <f>IF(Y14="","",IF($B$2="Todos",IF($B$4&gt;0,$B$4,IF($B$2="Todos",IF(COUNT($C$211:$K$211)=0,"",SUM($C$211:$K$211)),IFERROR(INDEX($C$211:$K$211,MATCH($D$2,$C$208:$K$208,0)),""))),IFERROR(INDEX($C$211:$K$211,MATCH($D$2,$C$208:$K$208,0)),"")))</f>
        <v/>
      </c>
      <c r="Y14" s="32" t="str">
        <f>IF($B$2="Todos",IF(COUNT($C$176:$K$176)=0,"",SUM($C$176:$K$176)),IFERROR(INDEX($C$176:$K$176,MATCH($D$2,$C$173:$K$173,0)),""))</f>
        <v/>
      </c>
      <c r="Z14" s="48" t="str">
        <f>IF(AND(ISNUMBER(Y14),ISNUMBER(X14)),IF(X14&gt;0,Y14/X14,""),"")</f>
        <v/>
      </c>
      <c r="AA14" s="32" t="str">
        <f>IF($B$2="Todos",IF(COUNT($C$246:$K$246)=0,"",SUM($C$246:$K$246)),IFERROR(INDEX($C$246:$K$246,MATCH($D$2,$C$243:$K$243,0)),""))</f>
        <v/>
      </c>
      <c r="AB14" s="32">
        <f>IF($B14="","",IF($B$2="Todos",SUMIFS(BD!$AA$3:$AA$5001,BD!$A$3:$A$5001,$B14),SUMIFS(BD!$AA$3:$AA$5001,BD!$A$3:$A$5001,$B14,BD!$B$3:$B$5001,$D$2)))</f>
        <v>0</v>
      </c>
      <c r="AC14" s="32">
        <f>IF($B14="","",IF($B$2="Todos",SUMIFS(BD!$AB$3:$AB$5001,BD!$A$3:$A$5001,$B14),SUMIFS(BD!$AB$3:$AB$5001,BD!$A$3:$A$5001,$B14,BD!$B$3:$B$5001,$D$2)))</f>
        <v>0</v>
      </c>
      <c r="AD14" s="32">
        <f>IF($B14="","",IF($B$2="Todos",SUMIFS(BD!$AC$3:$AC$5001,BD!$A$3:$A$5001,$B14),SUMIFS(BD!$AC$3:$AC$5001,BD!$A$3:$A$5001,$B14,BD!$B$3:$B$5001,$D$2)))</f>
        <v>0</v>
      </c>
      <c r="AE14" s="32">
        <f>IF($B14="","",IF($B$2="Todos",SUMIFS(BD!$AD$3:$AD$5001,BD!$A$3:$A$5001,$B14),SUMIFS(BD!$AD$3:$AD$5001,BD!$A$3:$A$5001,$B14,BD!$B$3:$B$5001,$D$2)))</f>
        <v>0</v>
      </c>
      <c r="AF14" s="32">
        <f>IF($B14="","",IF($B$2="Todos",SUMIFS(BD!$AE$3:$AE$5001,BD!$A$3:$A$5001,$B14),SUMIFS(BD!$AE$3:$AE$5001,BD!$A$3:$A$5001,$B14,BD!$B$3:$B$5001,$D$2)))</f>
        <v>0</v>
      </c>
      <c r="AG14" s="32">
        <f>IF($B14="","",IF($B$2="Todos",SUMIFS(BD!$AF$3:$AF$5001,BD!$A$3:$A$5001,$B14),SUMIFS(BD!$AF$3:$AF$5001,BD!$A$3:$A$5001,$B14,BD!$B$3:$B$5001,$D$2)))</f>
        <v>0</v>
      </c>
      <c r="AH14" s="32">
        <f>IF($B14="","",IF($B$2="Todos",SUMIFS(BD!$AG$3:$AG$5001,BD!$A$3:$A$5001,$B14),SUMIFS(BD!$AG$3:$AG$5001,BD!$A$3:$A$5001,$B14,BD!$B$3:$B$5001,$D$2)))</f>
        <v>0</v>
      </c>
      <c r="AI14" s="49">
        <f>$B$5</f>
        <v>0.7</v>
      </c>
      <c r="AJ14" s="49">
        <f>$B$6</f>
        <v>0.9</v>
      </c>
      <c r="AM14" s="29" t="inlineStr">
        <is>
          <t xml:space="preserve">MARÇO · 2026</t>
        </is>
      </c>
      <c r="AO14" s="29" t="inlineStr">
        <is>
          <t xml:space="preserve">Basf</t>
        </is>
      </c>
      <c r="AP14" s="28" t="inlineStr">
        <is>
          <t xml:space="preserve">TPC</t>
        </is>
      </c>
      <c r="AR14" s="29" t="str">
        <f>"MOVIMENTAÇÃO PALETES/DIA — "&amp;IF($B$2="Todos","TODOS OS CLIENTES",UPPER($B$2))</f>
        <v>MOVIMENTAÇÃO PALETES/DIA — TODOS OS CLIENTES</v>
      </c>
    </row>
    <row r="15">
      <c r="A15" s="28">
        <v>4</v>
      </c>
      <c r="B15" s="45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6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32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>
        <f>IF($B15="","",IF($B$2="Todos",SUMIFS(BD!$K$3:$K$5001,BD!$A$3:$A$5001,$B15),SUMIFS(BD!$K$3:$K$5001,BD!$A$3:$A$5001,$B15,BD!$B$3:$B$5001,$D$2)))</f>
        <v>0</v>
      </c>
      <c r="L15" s="32">
        <f>IF($B15="","",IF($B$2="Todos",SUMIFS(BD!$L$3:$L$5001,BD!$A$3:$A$5001,$B15),SUMIFS(BD!$L$3:$L$5001,BD!$A$3:$A$5001,$B15,BD!$B$3:$B$5001,$D$2)))</f>
        <v>0</v>
      </c>
      <c r="M15" s="32">
        <f>IF($B15="","",IF($B$2="Todos",SUMIFS(BD!$M$3:$M$5001,BD!$A$3:$A$5001,$B15),SUMIFS(BD!$M$3:$M$5001,BD!$A$3:$A$5001,$B15,BD!$B$3:$B$5001,$D$2)))</f>
        <v>0</v>
      </c>
      <c r="N15" s="32">
        <f>IF($B15="","",IF($B$2="Todos",SUMIFS(BD!$N$3:$N$5001,BD!$A$3:$A$5001,$B15),SUMIFS(BD!$N$3:$N$5001,BD!$A$3:$A$5001,$B15,BD!$B$3:$B$5001,$D$2)))</f>
        <v>0</v>
      </c>
      <c r="O15" s="32">
        <f>IF($B15="","",IF($B$2="Todos",SUMIFS(BD!$O$3:$O$5001,BD!$A$3:$A$5001,$B15),SUMIFS(BD!$O$3:$O$5001,BD!$A$3:$A$5001,$B15,BD!$B$3:$B$5001,$D$2)))</f>
        <v>0</v>
      </c>
      <c r="P15" s="32">
        <f>IF($B15="","",IF($B$2="Todos",SUMIFS(BD!$P$3:$P$5001,BD!$A$3:$A$5001,$B15),SUMIFS(BD!$P$3:$P$5001,BD!$A$3:$A$5001,$B15,BD!$B$3:$B$5001,$D$2)))</f>
        <v>0</v>
      </c>
      <c r="Q15" s="32">
        <f>IF($B15="","",IF($B$2="Todos",SUMIFS(BD!$Q$3:$Q$5001,BD!$A$3:$A$5001,$B15),SUMIFS(BD!$Q$3:$Q$5001,BD!$A$3:$A$5001,$B15,BD!$B$3:$B$5001,$D$2)))</f>
        <v>0</v>
      </c>
      <c r="R15" s="32">
        <f>IF($B15="","",IF($B$2="Todos",SUMIFS(BD!$R$3:$R$5001,BD!$A$3:$A$5001,$B15),SUMIFS(BD!$R$3:$R$5001,BD!$A$3:$A$5001,$B15,BD!$B$3:$B$5001,$D$2)))</f>
        <v>0</v>
      </c>
      <c r="S15" s="32">
        <f>IF($B15="","",IF($B$2="Todos",SUMIFS(BD!$S$3:$S$5001,BD!$A$3:$A$5001,$B15),SUMIFS(BD!$S$3:$S$5001,BD!$A$3:$A$5001,$B15,BD!$B$3:$B$5001,$D$2)))</f>
        <v>0</v>
      </c>
      <c r="T15" s="46">
        <f>IF($B15="","",IF($B$2="Todos",SUMIFS(BD!$T$3:$T$5001,BD!$A$3:$A$5001,$B15),SUMIFS(BD!$T$3:$T$5001,BD!$A$3:$A$5001,$B15,BD!$B$3:$B$5001,$D$2)))</f>
        <v>0</v>
      </c>
      <c r="U15" s="32">
        <f>IF($B15="","",IF($B$2="Todos",SUMIFS(BD!$U$3:$U$5001,BD!$A$3:$A$5001,$B15),SUMIFS(BD!$U$3:$U$5001,BD!$A$3:$A$5001,$B15,BD!$B$3:$B$5001,$D$2)))</f>
        <v>0</v>
      </c>
      <c r="V15" s="32">
        <f>IF($B15="","",IF($B$2="Todos",SUMIFS(BD!$V$3:$V$5001,BD!$A$3:$A$5001,$B15),SUMIFS(BD!$V$3:$V$5001,BD!$A$3:$A$5001,$B15,BD!$B$3:$B$5001,$D$2)))</f>
        <v>0</v>
      </c>
      <c r="W15" s="32" t="str">
        <f>IF($B$2="Todos",IF(COUNT($C$142:$K$142)=0,"",SUM($C$142:$K$142)),IFERROR(INDEX($C$142:$K$142,MATCH($D$2,$C$138:$K$138,0)),""))</f>
        <v/>
      </c>
      <c r="X15" s="47" t="str">
        <f>IF(Y15="","",IF($B$2="Todos",IF($B$4&gt;0,$B$4,IF($B$2="Todos",IF(COUNT($C$212:$K$212)=0,"",SUM($C$212:$K$212)),IFERROR(INDEX($C$212:$K$212,MATCH($D$2,$C$208:$K$208,0)),""))),IFERROR(INDEX($C$212:$K$212,MATCH($D$2,$C$208:$K$208,0)),"")))</f>
        <v/>
      </c>
      <c r="Y15" s="32" t="str">
        <f>IF($B$2="Todos",IF(COUNT($C$177:$K$177)=0,"",SUM($C$177:$K$177)),IFERROR(INDEX($C$177:$K$177,MATCH($D$2,$C$173:$K$173,0)),""))</f>
        <v/>
      </c>
      <c r="Z15" s="48" t="str">
        <f>IF(AND(ISNUMBER(Y15),ISNUMBER(X15)),IF(X15&gt;0,Y15/X15,""),"")</f>
        <v/>
      </c>
      <c r="AA15" s="32" t="str">
        <f>IF($B$2="Todos",IF(COUNT($C$247:$K$247)=0,"",SUM($C$247:$K$247)),IFERROR(INDEX($C$247:$K$247,MATCH($D$2,$C$243:$K$243,0)),""))</f>
        <v/>
      </c>
      <c r="AB15" s="32">
        <f>IF($B15="","",IF($B$2="Todos",SUMIFS(BD!$AA$3:$AA$5001,BD!$A$3:$A$5001,$B15),SUMIFS(BD!$AA$3:$AA$5001,BD!$A$3:$A$5001,$B15,BD!$B$3:$B$5001,$D$2)))</f>
        <v>0</v>
      </c>
      <c r="AC15" s="32">
        <f>IF($B15="","",IF($B$2="Todos",SUMIFS(BD!$AB$3:$AB$5001,BD!$A$3:$A$5001,$B15),SUMIFS(BD!$AB$3:$AB$5001,BD!$A$3:$A$5001,$B15,BD!$B$3:$B$5001,$D$2)))</f>
        <v>0</v>
      </c>
      <c r="AD15" s="32">
        <f>IF($B15="","",IF($B$2="Todos",SUMIFS(BD!$AC$3:$AC$5001,BD!$A$3:$A$5001,$B15),SUMIFS(BD!$AC$3:$AC$5001,BD!$A$3:$A$5001,$B15,BD!$B$3:$B$5001,$D$2)))</f>
        <v>0</v>
      </c>
      <c r="AE15" s="32">
        <f>IF($B15="","",IF($B$2="Todos",SUMIFS(BD!$AD$3:$AD$5001,BD!$A$3:$A$5001,$B15),SUMIFS(BD!$AD$3:$AD$5001,BD!$A$3:$A$5001,$B15,BD!$B$3:$B$5001,$D$2)))</f>
        <v>0</v>
      </c>
      <c r="AF15" s="32">
        <f>IF($B15="","",IF($B$2="Todos",SUMIFS(BD!$AE$3:$AE$5001,BD!$A$3:$A$5001,$B15),SUMIFS(BD!$AE$3:$AE$5001,BD!$A$3:$A$5001,$B15,BD!$B$3:$B$5001,$D$2)))</f>
        <v>0</v>
      </c>
      <c r="AG15" s="32">
        <f>IF($B15="","",IF($B$2="Todos",SUMIFS(BD!$AF$3:$AF$5001,BD!$A$3:$A$5001,$B15),SUMIFS(BD!$AF$3:$AF$5001,BD!$A$3:$A$5001,$B15,BD!$B$3:$B$5001,$D$2)))</f>
        <v>0</v>
      </c>
      <c r="AH15" s="32">
        <f>IF($B15="","",IF($B$2="Todos",SUMIFS(BD!$AG$3:$AG$5001,BD!$A$3:$A$5001,$B15),SUMIFS(BD!$AG$3:$AG$5001,BD!$A$3:$A$5001,$B15,BD!$B$3:$B$5001,$D$2)))</f>
        <v>0</v>
      </c>
      <c r="AI15" s="49">
        <f>$B$5</f>
        <v>0.7</v>
      </c>
      <c r="AJ15" s="49">
        <f>$B$6</f>
        <v>0.9</v>
      </c>
      <c r="AM15" s="29" t="inlineStr">
        <is>
          <t xml:space="preserve">ABRIL · 2026</t>
        </is>
      </c>
      <c r="AO15" s="29" t="inlineStr">
        <is>
          <t xml:space="preserve">Beautybiz</t>
        </is>
      </c>
      <c r="AP15" s="28" t="inlineStr">
        <is>
          <t xml:space="preserve">TPC</t>
        </is>
      </c>
      <c r="AR15" s="29" t="str">
        <f>"MOVIMENTAÇÃO TONS/DIA — "&amp;IF($B$2="Todos","TODOS OS CLIENTES",UPPER($B$2))</f>
        <v>MOVIMENTAÇÃO TONS/DIA — TODOS OS CLIENTES</v>
      </c>
    </row>
    <row r="16">
      <c r="A16" s="28">
        <v>5</v>
      </c>
      <c r="B16" s="45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6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32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>
        <f>IF($B16="","",IF($B$2="Todos",SUMIFS(BD!$K$3:$K$5001,BD!$A$3:$A$5001,$B16),SUMIFS(BD!$K$3:$K$5001,BD!$A$3:$A$5001,$B16,BD!$B$3:$B$5001,$D$2)))</f>
        <v>0</v>
      </c>
      <c r="L16" s="32">
        <f>IF($B16="","",IF($B$2="Todos",SUMIFS(BD!$L$3:$L$5001,BD!$A$3:$A$5001,$B16),SUMIFS(BD!$L$3:$L$5001,BD!$A$3:$A$5001,$B16,BD!$B$3:$B$5001,$D$2)))</f>
        <v>0</v>
      </c>
      <c r="M16" s="32">
        <f>IF($B16="","",IF($B$2="Todos",SUMIFS(BD!$M$3:$M$5001,BD!$A$3:$A$5001,$B16),SUMIFS(BD!$M$3:$M$5001,BD!$A$3:$A$5001,$B16,BD!$B$3:$B$5001,$D$2)))</f>
        <v>0</v>
      </c>
      <c r="N16" s="32">
        <f>IF($B16="","",IF($B$2="Todos",SUMIFS(BD!$N$3:$N$5001,BD!$A$3:$A$5001,$B16),SUMIFS(BD!$N$3:$N$5001,BD!$A$3:$A$5001,$B16,BD!$B$3:$B$5001,$D$2)))</f>
        <v>0</v>
      </c>
      <c r="O16" s="32">
        <f>IF($B16="","",IF($B$2="Todos",SUMIFS(BD!$O$3:$O$5001,BD!$A$3:$A$5001,$B16),SUMIFS(BD!$O$3:$O$5001,BD!$A$3:$A$5001,$B16,BD!$B$3:$B$5001,$D$2)))</f>
        <v>0</v>
      </c>
      <c r="P16" s="32">
        <f>IF($B16="","",IF($B$2="Todos",SUMIFS(BD!$P$3:$P$5001,BD!$A$3:$A$5001,$B16),SUMIFS(BD!$P$3:$P$5001,BD!$A$3:$A$5001,$B16,BD!$B$3:$B$5001,$D$2)))</f>
        <v>0</v>
      </c>
      <c r="Q16" s="32">
        <f>IF($B16="","",IF($B$2="Todos",SUMIFS(BD!$Q$3:$Q$5001,BD!$A$3:$A$5001,$B16),SUMIFS(BD!$Q$3:$Q$5001,BD!$A$3:$A$5001,$B16,BD!$B$3:$B$5001,$D$2)))</f>
        <v>0</v>
      </c>
      <c r="R16" s="32">
        <f>IF($B16="","",IF($B$2="Todos",SUMIFS(BD!$R$3:$R$5001,BD!$A$3:$A$5001,$B16),SUMIFS(BD!$R$3:$R$5001,BD!$A$3:$A$5001,$B16,BD!$B$3:$B$5001,$D$2)))</f>
        <v>0</v>
      </c>
      <c r="S16" s="32">
        <f>IF($B16="","",IF($B$2="Todos",SUMIFS(BD!$S$3:$S$5001,BD!$A$3:$A$5001,$B16),SUMIFS(BD!$S$3:$S$5001,BD!$A$3:$A$5001,$B16,BD!$B$3:$B$5001,$D$2)))</f>
        <v>0</v>
      </c>
      <c r="T16" s="46">
        <f>IF($B16="","",IF($B$2="Todos",SUMIFS(BD!$T$3:$T$5001,BD!$A$3:$A$5001,$B16),SUMIFS(BD!$T$3:$T$5001,BD!$A$3:$A$5001,$B16,BD!$B$3:$B$5001,$D$2)))</f>
        <v>0</v>
      </c>
      <c r="U16" s="32">
        <f>IF($B16="","",IF($B$2="Todos",SUMIFS(BD!$U$3:$U$5001,BD!$A$3:$A$5001,$B16),SUMIFS(BD!$U$3:$U$5001,BD!$A$3:$A$5001,$B16,BD!$B$3:$B$5001,$D$2)))</f>
        <v>0</v>
      </c>
      <c r="V16" s="32">
        <f>IF($B16="","",IF($B$2="Todos",SUMIFS(BD!$V$3:$V$5001,BD!$A$3:$A$5001,$B16),SUMIFS(BD!$V$3:$V$5001,BD!$A$3:$A$5001,$B16,BD!$B$3:$B$5001,$D$2)))</f>
        <v>0</v>
      </c>
      <c r="W16" s="32" t="str">
        <f>IF($B$2="Todos",IF(COUNT($C$143:$K$143)=0,"",SUM($C$143:$K$143)),IFERROR(INDEX($C$143:$K$143,MATCH($D$2,$C$138:$K$138,0)),""))</f>
        <v/>
      </c>
      <c r="X16" s="47" t="str">
        <f>IF(Y16="","",IF($B$2="Todos",IF($B$4&gt;0,$B$4,IF($B$2="Todos",IF(COUNT($C$213:$K$213)=0,"",SUM($C$213:$K$213)),IFERROR(INDEX($C$213:$K$213,MATCH($D$2,$C$208:$K$208,0)),""))),IFERROR(INDEX($C$213:$K$213,MATCH($D$2,$C$208:$K$208,0)),"")))</f>
        <v/>
      </c>
      <c r="Y16" s="32" t="str">
        <f>IF($B$2="Todos",IF(COUNT($C$178:$K$178)=0,"",SUM($C$178:$K$178)),IFERROR(INDEX($C$178:$K$178,MATCH($D$2,$C$173:$K$173,0)),""))</f>
        <v/>
      </c>
      <c r="Z16" s="48" t="str">
        <f>IF(AND(ISNUMBER(Y16),ISNUMBER(X16)),IF(X16&gt;0,Y16/X16,""),"")</f>
        <v/>
      </c>
      <c r="AA16" s="32" t="str">
        <f>IF($B$2="Todos",IF(COUNT($C$248:$K$248)=0,"",SUM($C$248:$K$248)),IFERROR(INDEX($C$248:$K$248,MATCH($D$2,$C$243:$K$243,0)),""))</f>
        <v/>
      </c>
      <c r="AB16" s="32">
        <f>IF($B16="","",IF($B$2="Todos",SUMIFS(BD!$AA$3:$AA$5001,BD!$A$3:$A$5001,$B16),SUMIFS(BD!$AA$3:$AA$5001,BD!$A$3:$A$5001,$B16,BD!$B$3:$B$5001,$D$2)))</f>
        <v>0</v>
      </c>
      <c r="AC16" s="32">
        <f>IF($B16="","",IF($B$2="Todos",SUMIFS(BD!$AB$3:$AB$5001,BD!$A$3:$A$5001,$B16),SUMIFS(BD!$AB$3:$AB$5001,BD!$A$3:$A$5001,$B16,BD!$B$3:$B$5001,$D$2)))</f>
        <v>0</v>
      </c>
      <c r="AD16" s="32">
        <f>IF($B16="","",IF($B$2="Todos",SUMIFS(BD!$AC$3:$AC$5001,BD!$A$3:$A$5001,$B16),SUMIFS(BD!$AC$3:$AC$5001,BD!$A$3:$A$5001,$B16,BD!$B$3:$B$5001,$D$2)))</f>
        <v>0</v>
      </c>
      <c r="AE16" s="32">
        <f>IF($B16="","",IF($B$2="Todos",SUMIFS(BD!$AD$3:$AD$5001,BD!$A$3:$A$5001,$B16),SUMIFS(BD!$AD$3:$AD$5001,BD!$A$3:$A$5001,$B16,BD!$B$3:$B$5001,$D$2)))</f>
        <v>0</v>
      </c>
      <c r="AF16" s="32">
        <f>IF($B16="","",IF($B$2="Todos",SUMIFS(BD!$AE$3:$AE$5001,BD!$A$3:$A$5001,$B16),SUMIFS(BD!$AE$3:$AE$5001,BD!$A$3:$A$5001,$B16,BD!$B$3:$B$5001,$D$2)))</f>
        <v>0</v>
      </c>
      <c r="AG16" s="32">
        <f>IF($B16="","",IF($B$2="Todos",SUMIFS(BD!$AF$3:$AF$5001,BD!$A$3:$A$5001,$B16),SUMIFS(BD!$AF$3:$AF$5001,BD!$A$3:$A$5001,$B16,BD!$B$3:$B$5001,$D$2)))</f>
        <v>0</v>
      </c>
      <c r="AH16" s="32">
        <f>IF($B16="","",IF($B$2="Todos",SUMIFS(BD!$AG$3:$AG$5001,BD!$A$3:$A$5001,$B16),SUMIFS(BD!$AG$3:$AG$5001,BD!$A$3:$A$5001,$B16,BD!$B$3:$B$5001,$D$2)))</f>
        <v>0</v>
      </c>
      <c r="AI16" s="49">
        <f>$B$5</f>
        <v>0.7</v>
      </c>
      <c r="AJ16" s="49">
        <f>$B$6</f>
        <v>0.9</v>
      </c>
      <c r="AM16" s="29" t="inlineStr">
        <is>
          <t xml:space="preserve">MAIO · 2026</t>
        </is>
      </c>
      <c r="AO16" s="29" t="inlineStr">
        <is>
          <t xml:space="preserve">Boticário</t>
        </is>
      </c>
      <c r="AP16" s="28" t="inlineStr">
        <is>
          <t xml:space="preserve">TPC</t>
        </is>
      </c>
      <c r="AR16" s="29" t="str">
        <f>"ACUMULADO SEMANAL PALETES — "&amp;IF($B$2="Todos","TODOS OS CLIENTES",UPPER($B$2))</f>
        <v>ACUMULADO SEMANAL PALETES — TODOS OS CLIENTES</v>
      </c>
    </row>
    <row r="17">
      <c r="A17" s="28">
        <v>6</v>
      </c>
      <c r="B17" s="45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6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32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>
        <f>IF($B17="","",IF($B$2="Todos",SUMIFS(BD!$K$3:$K$5001,BD!$A$3:$A$5001,$B17),SUMIFS(BD!$K$3:$K$5001,BD!$A$3:$A$5001,$B17,BD!$B$3:$B$5001,$D$2)))</f>
        <v>0</v>
      </c>
      <c r="L17" s="32">
        <f>IF($B17="","",IF($B$2="Todos",SUMIFS(BD!$L$3:$L$5001,BD!$A$3:$A$5001,$B17),SUMIFS(BD!$L$3:$L$5001,BD!$A$3:$A$5001,$B17,BD!$B$3:$B$5001,$D$2)))</f>
        <v>0</v>
      </c>
      <c r="M17" s="32">
        <f>IF($B17="","",IF($B$2="Todos",SUMIFS(BD!$M$3:$M$5001,BD!$A$3:$A$5001,$B17),SUMIFS(BD!$M$3:$M$5001,BD!$A$3:$A$5001,$B17,BD!$B$3:$B$5001,$D$2)))</f>
        <v>0</v>
      </c>
      <c r="N17" s="32">
        <f>IF($B17="","",IF($B$2="Todos",SUMIFS(BD!$N$3:$N$5001,BD!$A$3:$A$5001,$B17),SUMIFS(BD!$N$3:$N$5001,BD!$A$3:$A$5001,$B17,BD!$B$3:$B$5001,$D$2)))</f>
        <v>0</v>
      </c>
      <c r="O17" s="32">
        <f>IF($B17="","",IF($B$2="Todos",SUMIFS(BD!$O$3:$O$5001,BD!$A$3:$A$5001,$B17),SUMIFS(BD!$O$3:$O$5001,BD!$A$3:$A$5001,$B17,BD!$B$3:$B$5001,$D$2)))</f>
        <v>0</v>
      </c>
      <c r="P17" s="32">
        <f>IF($B17="","",IF($B$2="Todos",SUMIFS(BD!$P$3:$P$5001,BD!$A$3:$A$5001,$B17),SUMIFS(BD!$P$3:$P$5001,BD!$A$3:$A$5001,$B17,BD!$B$3:$B$5001,$D$2)))</f>
        <v>0</v>
      </c>
      <c r="Q17" s="32">
        <f>IF($B17="","",IF($B$2="Todos",SUMIFS(BD!$Q$3:$Q$5001,BD!$A$3:$A$5001,$B17),SUMIFS(BD!$Q$3:$Q$5001,BD!$A$3:$A$5001,$B17,BD!$B$3:$B$5001,$D$2)))</f>
        <v>0</v>
      </c>
      <c r="R17" s="32">
        <f>IF($B17="","",IF($B$2="Todos",SUMIFS(BD!$R$3:$R$5001,BD!$A$3:$A$5001,$B17),SUMIFS(BD!$R$3:$R$5001,BD!$A$3:$A$5001,$B17,BD!$B$3:$B$5001,$D$2)))</f>
        <v>0</v>
      </c>
      <c r="S17" s="32">
        <f>IF($B17="","",IF($B$2="Todos",SUMIFS(BD!$S$3:$S$5001,BD!$A$3:$A$5001,$B17),SUMIFS(BD!$S$3:$S$5001,BD!$A$3:$A$5001,$B17,BD!$B$3:$B$5001,$D$2)))</f>
        <v>0</v>
      </c>
      <c r="T17" s="46">
        <f>IF($B17="","",IF($B$2="Todos",SUMIFS(BD!$T$3:$T$5001,BD!$A$3:$A$5001,$B17),SUMIFS(BD!$T$3:$T$5001,BD!$A$3:$A$5001,$B17,BD!$B$3:$B$5001,$D$2)))</f>
        <v>0</v>
      </c>
      <c r="U17" s="32">
        <f>IF($B17="","",IF($B$2="Todos",SUMIFS(BD!$U$3:$U$5001,BD!$A$3:$A$5001,$B17),SUMIFS(BD!$U$3:$U$5001,BD!$A$3:$A$5001,$B17,BD!$B$3:$B$5001,$D$2)))</f>
        <v>0</v>
      </c>
      <c r="V17" s="32">
        <f>IF($B17="","",IF($B$2="Todos",SUMIFS(BD!$V$3:$V$5001,BD!$A$3:$A$5001,$B17),SUMIFS(BD!$V$3:$V$5001,BD!$A$3:$A$5001,$B17,BD!$B$3:$B$5001,$D$2)))</f>
        <v>0</v>
      </c>
      <c r="W17" s="32" t="str">
        <f>IF($B$2="Todos",IF(COUNT($C$144:$K$144)=0,"",SUM($C$144:$K$144)),IFERROR(INDEX($C$144:$K$144,MATCH($D$2,$C$138:$K$138,0)),""))</f>
        <v/>
      </c>
      <c r="X17" s="47" t="str">
        <f>IF(Y17="","",IF($B$2="Todos",IF($B$4&gt;0,$B$4,IF($B$2="Todos",IF(COUNT($C$214:$K$214)=0,"",SUM($C$214:$K$214)),IFERROR(INDEX($C$214:$K$214,MATCH($D$2,$C$208:$K$208,0)),""))),IFERROR(INDEX($C$214:$K$214,MATCH($D$2,$C$208:$K$208,0)),"")))</f>
        <v/>
      </c>
      <c r="Y17" s="32" t="str">
        <f>IF($B$2="Todos",IF(COUNT($C$179:$K$179)=0,"",SUM($C$179:$K$179)),IFERROR(INDEX($C$179:$K$179,MATCH($D$2,$C$173:$K$173,0)),""))</f>
        <v/>
      </c>
      <c r="Z17" s="48" t="str">
        <f>IF(AND(ISNUMBER(Y17),ISNUMBER(X17)),IF(X17&gt;0,Y17/X17,""),"")</f>
        <v/>
      </c>
      <c r="AA17" s="32" t="str">
        <f>IF($B$2="Todos",IF(COUNT($C$249:$K$249)=0,"",SUM($C$249:$K$249)),IFERROR(INDEX($C$249:$K$249,MATCH($D$2,$C$243:$K$243,0)),""))</f>
        <v/>
      </c>
      <c r="AB17" s="32">
        <f>IF($B17="","",IF($B$2="Todos",SUMIFS(BD!$AA$3:$AA$5001,BD!$A$3:$A$5001,$B17),SUMIFS(BD!$AA$3:$AA$5001,BD!$A$3:$A$5001,$B17,BD!$B$3:$B$5001,$D$2)))</f>
        <v>0</v>
      </c>
      <c r="AC17" s="32">
        <f>IF($B17="","",IF($B$2="Todos",SUMIFS(BD!$AB$3:$AB$5001,BD!$A$3:$A$5001,$B17),SUMIFS(BD!$AB$3:$AB$5001,BD!$A$3:$A$5001,$B17,BD!$B$3:$B$5001,$D$2)))</f>
        <v>0</v>
      </c>
      <c r="AD17" s="32">
        <f>IF($B17="","",IF($B$2="Todos",SUMIFS(BD!$AC$3:$AC$5001,BD!$A$3:$A$5001,$B17),SUMIFS(BD!$AC$3:$AC$5001,BD!$A$3:$A$5001,$B17,BD!$B$3:$B$5001,$D$2)))</f>
        <v>0</v>
      </c>
      <c r="AE17" s="32">
        <f>IF($B17="","",IF($B$2="Todos",SUMIFS(BD!$AD$3:$AD$5001,BD!$A$3:$A$5001,$B17),SUMIFS(BD!$AD$3:$AD$5001,BD!$A$3:$A$5001,$B17,BD!$B$3:$B$5001,$D$2)))</f>
        <v>0</v>
      </c>
      <c r="AF17" s="32">
        <f>IF($B17="","",IF($B$2="Todos",SUMIFS(BD!$AE$3:$AE$5001,BD!$A$3:$A$5001,$B17),SUMIFS(BD!$AE$3:$AE$5001,BD!$A$3:$A$5001,$B17,BD!$B$3:$B$5001,$D$2)))</f>
        <v>0</v>
      </c>
      <c r="AG17" s="32">
        <f>IF($B17="","",IF($B$2="Todos",SUMIFS(BD!$AF$3:$AF$5001,BD!$A$3:$A$5001,$B17),SUMIFS(BD!$AF$3:$AF$5001,BD!$A$3:$A$5001,$B17,BD!$B$3:$B$5001,$D$2)))</f>
        <v>0</v>
      </c>
      <c r="AH17" s="32">
        <f>IF($B17="","",IF($B$2="Todos",SUMIFS(BD!$AG$3:$AG$5001,BD!$A$3:$A$5001,$B17),SUMIFS(BD!$AG$3:$AG$5001,BD!$A$3:$A$5001,$B17,BD!$B$3:$B$5001,$D$2)))</f>
        <v>0</v>
      </c>
      <c r="AI17" s="49">
        <f>$B$5</f>
        <v>0.7</v>
      </c>
      <c r="AJ17" s="49">
        <f>$B$6</f>
        <v>0.9</v>
      </c>
      <c r="AM17" s="29" t="inlineStr">
        <is>
          <t xml:space="preserve">JUNHO · 2026</t>
        </is>
      </c>
      <c r="AO17" s="29" t="inlineStr">
        <is>
          <t xml:space="preserve">GE Vernova</t>
        </is>
      </c>
      <c r="AP17" s="28" t="inlineStr">
        <is>
          <t xml:space="preserve">TPC</t>
        </is>
      </c>
      <c r="AR17" s="29" t="str">
        <f>"ACUMULADO SEMANAL TONS — "&amp;IF($B$2="Todos","TODOS OS CLIENTES",UPPER($B$2))</f>
        <v>ACUMULADO SEMANAL TONS — TODOS OS CLIENTES</v>
      </c>
    </row>
    <row r="18">
      <c r="A18" s="28">
        <v>7</v>
      </c>
      <c r="B18" s="45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6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32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>
        <f>IF($B18="","",IF($B$2="Todos",SUMIFS(BD!$K$3:$K$5001,BD!$A$3:$A$5001,$B18),SUMIFS(BD!$K$3:$K$5001,BD!$A$3:$A$5001,$B18,BD!$B$3:$B$5001,$D$2)))</f>
        <v>0</v>
      </c>
      <c r="L18" s="32">
        <f>IF($B18="","",IF($B$2="Todos",SUMIFS(BD!$L$3:$L$5001,BD!$A$3:$A$5001,$B18),SUMIFS(BD!$L$3:$L$5001,BD!$A$3:$A$5001,$B18,BD!$B$3:$B$5001,$D$2)))</f>
        <v>0</v>
      </c>
      <c r="M18" s="32">
        <f>IF($B18="","",IF($B$2="Todos",SUMIFS(BD!$M$3:$M$5001,BD!$A$3:$A$5001,$B18),SUMIFS(BD!$M$3:$M$5001,BD!$A$3:$A$5001,$B18,BD!$B$3:$B$5001,$D$2)))</f>
        <v>0</v>
      </c>
      <c r="N18" s="32">
        <f>IF($B18="","",IF($B$2="Todos",SUMIFS(BD!$N$3:$N$5001,BD!$A$3:$A$5001,$B18),SUMIFS(BD!$N$3:$N$5001,BD!$A$3:$A$5001,$B18,BD!$B$3:$B$5001,$D$2)))</f>
        <v>0</v>
      </c>
      <c r="O18" s="32">
        <f>IF($B18="","",IF($B$2="Todos",SUMIFS(BD!$O$3:$O$5001,BD!$A$3:$A$5001,$B18),SUMIFS(BD!$O$3:$O$5001,BD!$A$3:$A$5001,$B18,BD!$B$3:$B$5001,$D$2)))</f>
        <v>0</v>
      </c>
      <c r="P18" s="32">
        <f>IF($B18="","",IF($B$2="Todos",SUMIFS(BD!$P$3:$P$5001,BD!$A$3:$A$5001,$B18),SUMIFS(BD!$P$3:$P$5001,BD!$A$3:$A$5001,$B18,BD!$B$3:$B$5001,$D$2)))</f>
        <v>0</v>
      </c>
      <c r="Q18" s="32">
        <f>IF($B18="","",IF($B$2="Todos",SUMIFS(BD!$Q$3:$Q$5001,BD!$A$3:$A$5001,$B18),SUMIFS(BD!$Q$3:$Q$5001,BD!$A$3:$A$5001,$B18,BD!$B$3:$B$5001,$D$2)))</f>
        <v>0</v>
      </c>
      <c r="R18" s="32">
        <f>IF($B18="","",IF($B$2="Todos",SUMIFS(BD!$R$3:$R$5001,BD!$A$3:$A$5001,$B18),SUMIFS(BD!$R$3:$R$5001,BD!$A$3:$A$5001,$B18,BD!$B$3:$B$5001,$D$2)))</f>
        <v>0</v>
      </c>
      <c r="S18" s="32">
        <f>IF($B18="","",IF($B$2="Todos",SUMIFS(BD!$S$3:$S$5001,BD!$A$3:$A$5001,$B18),SUMIFS(BD!$S$3:$S$5001,BD!$A$3:$A$5001,$B18,BD!$B$3:$B$5001,$D$2)))</f>
        <v>0</v>
      </c>
      <c r="T18" s="46">
        <f>IF($B18="","",IF($B$2="Todos",SUMIFS(BD!$T$3:$T$5001,BD!$A$3:$A$5001,$B18),SUMIFS(BD!$T$3:$T$5001,BD!$A$3:$A$5001,$B18,BD!$B$3:$B$5001,$D$2)))</f>
        <v>0</v>
      </c>
      <c r="U18" s="32">
        <f>IF($B18="","",IF($B$2="Todos",SUMIFS(BD!$U$3:$U$5001,BD!$A$3:$A$5001,$B18),SUMIFS(BD!$U$3:$U$5001,BD!$A$3:$A$5001,$B18,BD!$B$3:$B$5001,$D$2)))</f>
        <v>0</v>
      </c>
      <c r="V18" s="32">
        <f>IF($B18="","",IF($B$2="Todos",SUMIFS(BD!$V$3:$V$5001,BD!$A$3:$A$5001,$B18),SUMIFS(BD!$V$3:$V$5001,BD!$A$3:$A$5001,$B18,BD!$B$3:$B$5001,$D$2)))</f>
        <v>0</v>
      </c>
      <c r="W18" s="32" t="str">
        <f>IF($B$2="Todos",IF(COUNT($C$145:$K$145)=0,"",SUM($C$145:$K$145)),IFERROR(INDEX($C$145:$K$145,MATCH($D$2,$C$138:$K$138,0)),""))</f>
        <v/>
      </c>
      <c r="X18" s="47" t="str">
        <f>IF(Y18="","",IF($B$2="Todos",IF($B$4&gt;0,$B$4,IF($B$2="Todos",IF(COUNT($C$215:$K$215)=0,"",SUM($C$215:$K$215)),IFERROR(INDEX($C$215:$K$215,MATCH($D$2,$C$208:$K$208,0)),""))),IFERROR(INDEX($C$215:$K$215,MATCH($D$2,$C$208:$K$208,0)),"")))</f>
        <v/>
      </c>
      <c r="Y18" s="32" t="str">
        <f>IF($B$2="Todos",IF(COUNT($C$180:$K$180)=0,"",SUM($C$180:$K$180)),IFERROR(INDEX($C$180:$K$180,MATCH($D$2,$C$173:$K$173,0)),""))</f>
        <v/>
      </c>
      <c r="Z18" s="48" t="str">
        <f>IF(AND(ISNUMBER(Y18),ISNUMBER(X18)),IF(X18&gt;0,Y18/X18,""),"")</f>
        <v/>
      </c>
      <c r="AA18" s="32" t="str">
        <f>IF($B$2="Todos",IF(COUNT($C$250:$K$250)=0,"",SUM($C$250:$K$250)),IFERROR(INDEX($C$250:$K$250,MATCH($D$2,$C$243:$K$243,0)),""))</f>
        <v/>
      </c>
      <c r="AB18" s="32">
        <f>IF($B18="","",IF($B$2="Todos",SUMIFS(BD!$AA$3:$AA$5001,BD!$A$3:$A$5001,$B18),SUMIFS(BD!$AA$3:$AA$5001,BD!$A$3:$A$5001,$B18,BD!$B$3:$B$5001,$D$2)))</f>
        <v>0</v>
      </c>
      <c r="AC18" s="32">
        <f>IF($B18="","",IF($B$2="Todos",SUMIFS(BD!$AB$3:$AB$5001,BD!$A$3:$A$5001,$B18),SUMIFS(BD!$AB$3:$AB$5001,BD!$A$3:$A$5001,$B18,BD!$B$3:$B$5001,$D$2)))</f>
        <v>0</v>
      </c>
      <c r="AD18" s="32">
        <f>IF($B18="","",IF($B$2="Todos",SUMIFS(BD!$AC$3:$AC$5001,BD!$A$3:$A$5001,$B18),SUMIFS(BD!$AC$3:$AC$5001,BD!$A$3:$A$5001,$B18,BD!$B$3:$B$5001,$D$2)))</f>
        <v>0</v>
      </c>
      <c r="AE18" s="32">
        <f>IF($B18="","",IF($B$2="Todos",SUMIFS(BD!$AD$3:$AD$5001,BD!$A$3:$A$5001,$B18),SUMIFS(BD!$AD$3:$AD$5001,BD!$A$3:$A$5001,$B18,BD!$B$3:$B$5001,$D$2)))</f>
        <v>0</v>
      </c>
      <c r="AF18" s="32">
        <f>IF($B18="","",IF($B$2="Todos",SUMIFS(BD!$AE$3:$AE$5001,BD!$A$3:$A$5001,$B18),SUMIFS(BD!$AE$3:$AE$5001,BD!$A$3:$A$5001,$B18,BD!$B$3:$B$5001,$D$2)))</f>
        <v>0</v>
      </c>
      <c r="AG18" s="32">
        <f>IF($B18="","",IF($B$2="Todos",SUMIFS(BD!$AF$3:$AF$5001,BD!$A$3:$A$5001,$B18),SUMIFS(BD!$AF$3:$AF$5001,BD!$A$3:$A$5001,$B18,BD!$B$3:$B$5001,$D$2)))</f>
        <v>0</v>
      </c>
      <c r="AH18" s="32">
        <f>IF($B18="","",IF($B$2="Todos",SUMIFS(BD!$AG$3:$AG$5001,BD!$A$3:$A$5001,$B18),SUMIFS(BD!$AG$3:$AG$5001,BD!$A$3:$A$5001,$B18,BD!$B$3:$B$5001,$D$2)))</f>
        <v>0</v>
      </c>
      <c r="AI18" s="49">
        <f>$B$5</f>
        <v>0.7</v>
      </c>
      <c r="AJ18" s="49">
        <f>$B$6</f>
        <v>0.9</v>
      </c>
      <c r="AM18" s="29" t="inlineStr">
        <is>
          <t xml:space="preserve">JULHO · 2026</t>
        </is>
      </c>
      <c r="AO18" s="29" t="inlineStr">
        <is>
          <t xml:space="preserve">Omnilife</t>
        </is>
      </c>
      <c r="AP18" s="28" t="inlineStr">
        <is>
          <t xml:space="preserve">TPC</t>
        </is>
      </c>
    </row>
    <row r="19">
      <c r="A19" s="28">
        <v>8</v>
      </c>
      <c r="B19" s="45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6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32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>
        <f>IF($B19="","",IF($B$2="Todos",SUMIFS(BD!$K$3:$K$5001,BD!$A$3:$A$5001,$B19),SUMIFS(BD!$K$3:$K$5001,BD!$A$3:$A$5001,$B19,BD!$B$3:$B$5001,$D$2)))</f>
        <v>0</v>
      </c>
      <c r="L19" s="32">
        <f>IF($B19="","",IF($B$2="Todos",SUMIFS(BD!$L$3:$L$5001,BD!$A$3:$A$5001,$B19),SUMIFS(BD!$L$3:$L$5001,BD!$A$3:$A$5001,$B19,BD!$B$3:$B$5001,$D$2)))</f>
        <v>0</v>
      </c>
      <c r="M19" s="32">
        <f>IF($B19="","",IF($B$2="Todos",SUMIFS(BD!$M$3:$M$5001,BD!$A$3:$A$5001,$B19),SUMIFS(BD!$M$3:$M$5001,BD!$A$3:$A$5001,$B19,BD!$B$3:$B$5001,$D$2)))</f>
        <v>0</v>
      </c>
      <c r="N19" s="32">
        <f>IF($B19="","",IF($B$2="Todos",SUMIFS(BD!$N$3:$N$5001,BD!$A$3:$A$5001,$B19),SUMIFS(BD!$N$3:$N$5001,BD!$A$3:$A$5001,$B19,BD!$B$3:$B$5001,$D$2)))</f>
        <v>0</v>
      </c>
      <c r="O19" s="32">
        <f>IF($B19="","",IF($B$2="Todos",SUMIFS(BD!$O$3:$O$5001,BD!$A$3:$A$5001,$B19),SUMIFS(BD!$O$3:$O$5001,BD!$A$3:$A$5001,$B19,BD!$B$3:$B$5001,$D$2)))</f>
        <v>0</v>
      </c>
      <c r="P19" s="32">
        <f>IF($B19="","",IF($B$2="Todos",SUMIFS(BD!$P$3:$P$5001,BD!$A$3:$A$5001,$B19),SUMIFS(BD!$P$3:$P$5001,BD!$A$3:$A$5001,$B19,BD!$B$3:$B$5001,$D$2)))</f>
        <v>0</v>
      </c>
      <c r="Q19" s="32">
        <f>IF($B19="","",IF($B$2="Todos",SUMIFS(BD!$Q$3:$Q$5001,BD!$A$3:$A$5001,$B19),SUMIFS(BD!$Q$3:$Q$5001,BD!$A$3:$A$5001,$B19,BD!$B$3:$B$5001,$D$2)))</f>
        <v>0</v>
      </c>
      <c r="R19" s="32">
        <f>IF($B19="","",IF($B$2="Todos",SUMIFS(BD!$R$3:$R$5001,BD!$A$3:$A$5001,$B19),SUMIFS(BD!$R$3:$R$5001,BD!$A$3:$A$5001,$B19,BD!$B$3:$B$5001,$D$2)))</f>
        <v>0</v>
      </c>
      <c r="S19" s="32">
        <f>IF($B19="","",IF($B$2="Todos",SUMIFS(BD!$S$3:$S$5001,BD!$A$3:$A$5001,$B19),SUMIFS(BD!$S$3:$S$5001,BD!$A$3:$A$5001,$B19,BD!$B$3:$B$5001,$D$2)))</f>
        <v>0</v>
      </c>
      <c r="T19" s="46">
        <f>IF($B19="","",IF($B$2="Todos",SUMIFS(BD!$T$3:$T$5001,BD!$A$3:$A$5001,$B19),SUMIFS(BD!$T$3:$T$5001,BD!$A$3:$A$5001,$B19,BD!$B$3:$B$5001,$D$2)))</f>
        <v>0</v>
      </c>
      <c r="U19" s="32">
        <f>IF($B19="","",IF($B$2="Todos",SUMIFS(BD!$U$3:$U$5001,BD!$A$3:$A$5001,$B19),SUMIFS(BD!$U$3:$U$5001,BD!$A$3:$A$5001,$B19,BD!$B$3:$B$5001,$D$2)))</f>
        <v>0</v>
      </c>
      <c r="V19" s="32">
        <f>IF($B19="","",IF($B$2="Todos",SUMIFS(BD!$V$3:$V$5001,BD!$A$3:$A$5001,$B19),SUMIFS(BD!$V$3:$V$5001,BD!$A$3:$A$5001,$B19,BD!$B$3:$B$5001,$D$2)))</f>
        <v>0</v>
      </c>
      <c r="W19" s="32" t="str">
        <f>IF($B$2="Todos",IF(COUNT($C$146:$K$146)=0,"",SUM($C$146:$K$146)),IFERROR(INDEX($C$146:$K$146,MATCH($D$2,$C$138:$K$138,0)),""))</f>
        <v/>
      </c>
      <c r="X19" s="47" t="str">
        <f>IF(Y19="","",IF($B$2="Todos",IF($B$4&gt;0,$B$4,IF($B$2="Todos",IF(COUNT($C$216:$K$216)=0,"",SUM($C$216:$K$216)),IFERROR(INDEX($C$216:$K$216,MATCH($D$2,$C$208:$K$208,0)),""))),IFERROR(INDEX($C$216:$K$216,MATCH($D$2,$C$208:$K$208,0)),"")))</f>
        <v/>
      </c>
      <c r="Y19" s="32" t="str">
        <f>IF($B$2="Todos",IF(COUNT($C$181:$K$181)=0,"",SUM($C$181:$K$181)),IFERROR(INDEX($C$181:$K$181,MATCH($D$2,$C$173:$K$173,0)),""))</f>
        <v/>
      </c>
      <c r="Z19" s="48" t="str">
        <f>IF(AND(ISNUMBER(Y19),ISNUMBER(X19)),IF(X19&gt;0,Y19/X19,""),"")</f>
        <v/>
      </c>
      <c r="AA19" s="32" t="str">
        <f>IF($B$2="Todos",IF(COUNT($C$251:$K$251)=0,"",SUM($C$251:$K$251)),IFERROR(INDEX($C$251:$K$251,MATCH($D$2,$C$243:$K$243,0)),""))</f>
        <v/>
      </c>
      <c r="AB19" s="32">
        <f>IF($B19="","",IF($B$2="Todos",SUMIFS(BD!$AA$3:$AA$5001,BD!$A$3:$A$5001,$B19),SUMIFS(BD!$AA$3:$AA$5001,BD!$A$3:$A$5001,$B19,BD!$B$3:$B$5001,$D$2)))</f>
        <v>0</v>
      </c>
      <c r="AC19" s="32">
        <f>IF($B19="","",IF($B$2="Todos",SUMIFS(BD!$AB$3:$AB$5001,BD!$A$3:$A$5001,$B19),SUMIFS(BD!$AB$3:$AB$5001,BD!$A$3:$A$5001,$B19,BD!$B$3:$B$5001,$D$2)))</f>
        <v>0</v>
      </c>
      <c r="AD19" s="32">
        <f>IF($B19="","",IF($B$2="Todos",SUMIFS(BD!$AC$3:$AC$5001,BD!$A$3:$A$5001,$B19),SUMIFS(BD!$AC$3:$AC$5001,BD!$A$3:$A$5001,$B19,BD!$B$3:$B$5001,$D$2)))</f>
        <v>0</v>
      </c>
      <c r="AE19" s="32">
        <f>IF($B19="","",IF($B$2="Todos",SUMIFS(BD!$AD$3:$AD$5001,BD!$A$3:$A$5001,$B19),SUMIFS(BD!$AD$3:$AD$5001,BD!$A$3:$A$5001,$B19,BD!$B$3:$B$5001,$D$2)))</f>
        <v>0</v>
      </c>
      <c r="AF19" s="32">
        <f>IF($B19="","",IF($B$2="Todos",SUMIFS(BD!$AE$3:$AE$5001,BD!$A$3:$A$5001,$B19),SUMIFS(BD!$AE$3:$AE$5001,BD!$A$3:$A$5001,$B19,BD!$B$3:$B$5001,$D$2)))</f>
        <v>0</v>
      </c>
      <c r="AG19" s="32">
        <f>IF($B19="","",IF($B$2="Todos",SUMIFS(BD!$AF$3:$AF$5001,BD!$A$3:$A$5001,$B19),SUMIFS(BD!$AF$3:$AF$5001,BD!$A$3:$A$5001,$B19,BD!$B$3:$B$5001,$D$2)))</f>
        <v>0</v>
      </c>
      <c r="AH19" s="32">
        <f>IF($B19="","",IF($B$2="Todos",SUMIFS(BD!$AG$3:$AG$5001,BD!$A$3:$A$5001,$B19),SUMIFS(BD!$AG$3:$AG$5001,BD!$A$3:$A$5001,$B19,BD!$B$3:$B$5001,$D$2)))</f>
        <v>0</v>
      </c>
      <c r="AI19" s="49">
        <f>$B$5</f>
        <v>0.7</v>
      </c>
      <c r="AJ19" s="49">
        <f>$B$6</f>
        <v>0.9</v>
      </c>
      <c r="AM19" s="29" t="inlineStr">
        <is>
          <t xml:space="preserve">AGOSTO · 2026</t>
        </is>
      </c>
      <c r="AO19" s="29" t="inlineStr">
        <is>
          <t xml:space="preserve">Supply</t>
        </is>
      </c>
      <c r="AP19" s="28" t="inlineStr">
        <is>
          <t xml:space="preserve">TPC</t>
        </is>
      </c>
    </row>
    <row r="20">
      <c r="A20" s="28">
        <v>9</v>
      </c>
      <c r="B20" s="45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6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32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>
        <f>IF($B20="","",IF($B$2="Todos",SUMIFS(BD!$K$3:$K$5001,BD!$A$3:$A$5001,$B20),SUMIFS(BD!$K$3:$K$5001,BD!$A$3:$A$5001,$B20,BD!$B$3:$B$5001,$D$2)))</f>
        <v>0</v>
      </c>
      <c r="L20" s="32">
        <f>IF($B20="","",IF($B$2="Todos",SUMIFS(BD!$L$3:$L$5001,BD!$A$3:$A$5001,$B20),SUMIFS(BD!$L$3:$L$5001,BD!$A$3:$A$5001,$B20,BD!$B$3:$B$5001,$D$2)))</f>
        <v>0</v>
      </c>
      <c r="M20" s="32">
        <f>IF($B20="","",IF($B$2="Todos",SUMIFS(BD!$M$3:$M$5001,BD!$A$3:$A$5001,$B20),SUMIFS(BD!$M$3:$M$5001,BD!$A$3:$A$5001,$B20,BD!$B$3:$B$5001,$D$2)))</f>
        <v>0</v>
      </c>
      <c r="N20" s="32">
        <f>IF($B20="","",IF($B$2="Todos",SUMIFS(BD!$N$3:$N$5001,BD!$A$3:$A$5001,$B20),SUMIFS(BD!$N$3:$N$5001,BD!$A$3:$A$5001,$B20,BD!$B$3:$B$5001,$D$2)))</f>
        <v>0</v>
      </c>
      <c r="O20" s="32">
        <f>IF($B20="","",IF($B$2="Todos",SUMIFS(BD!$O$3:$O$5001,BD!$A$3:$A$5001,$B20),SUMIFS(BD!$O$3:$O$5001,BD!$A$3:$A$5001,$B20,BD!$B$3:$B$5001,$D$2)))</f>
        <v>0</v>
      </c>
      <c r="P20" s="32">
        <f>IF($B20="","",IF($B$2="Todos",SUMIFS(BD!$P$3:$P$5001,BD!$A$3:$A$5001,$B20),SUMIFS(BD!$P$3:$P$5001,BD!$A$3:$A$5001,$B20,BD!$B$3:$B$5001,$D$2)))</f>
        <v>0</v>
      </c>
      <c r="Q20" s="32">
        <f>IF($B20="","",IF($B$2="Todos",SUMIFS(BD!$Q$3:$Q$5001,BD!$A$3:$A$5001,$B20),SUMIFS(BD!$Q$3:$Q$5001,BD!$A$3:$A$5001,$B20,BD!$B$3:$B$5001,$D$2)))</f>
        <v>0</v>
      </c>
      <c r="R20" s="32">
        <f>IF($B20="","",IF($B$2="Todos",SUMIFS(BD!$R$3:$R$5001,BD!$A$3:$A$5001,$B20),SUMIFS(BD!$R$3:$R$5001,BD!$A$3:$A$5001,$B20,BD!$B$3:$B$5001,$D$2)))</f>
        <v>0</v>
      </c>
      <c r="S20" s="32">
        <f>IF($B20="","",IF($B$2="Todos",SUMIFS(BD!$S$3:$S$5001,BD!$A$3:$A$5001,$B20),SUMIFS(BD!$S$3:$S$5001,BD!$A$3:$A$5001,$B20,BD!$B$3:$B$5001,$D$2)))</f>
        <v>0</v>
      </c>
      <c r="T20" s="46">
        <f>IF($B20="","",IF($B$2="Todos",SUMIFS(BD!$T$3:$T$5001,BD!$A$3:$A$5001,$B20),SUMIFS(BD!$T$3:$T$5001,BD!$A$3:$A$5001,$B20,BD!$B$3:$B$5001,$D$2)))</f>
        <v>0</v>
      </c>
      <c r="U20" s="32">
        <f>IF($B20="","",IF($B$2="Todos",SUMIFS(BD!$U$3:$U$5001,BD!$A$3:$A$5001,$B20),SUMIFS(BD!$U$3:$U$5001,BD!$A$3:$A$5001,$B20,BD!$B$3:$B$5001,$D$2)))</f>
        <v>0</v>
      </c>
      <c r="V20" s="32">
        <f>IF($B20="","",IF($B$2="Todos",SUMIFS(BD!$V$3:$V$5001,BD!$A$3:$A$5001,$B20),SUMIFS(BD!$V$3:$V$5001,BD!$A$3:$A$5001,$B20,BD!$B$3:$B$5001,$D$2)))</f>
        <v>0</v>
      </c>
      <c r="W20" s="32" t="str">
        <f>IF($B$2="Todos",IF(COUNT($C$147:$K$147)=0,"",SUM($C$147:$K$147)),IFERROR(INDEX($C$147:$K$147,MATCH($D$2,$C$138:$K$138,0)),""))</f>
        <v/>
      </c>
      <c r="X20" s="47" t="str">
        <f>IF(Y20="","",IF($B$2="Todos",IF($B$4&gt;0,$B$4,IF($B$2="Todos",IF(COUNT($C$217:$K$217)=0,"",SUM($C$217:$K$217)),IFERROR(INDEX($C$217:$K$217,MATCH($D$2,$C$208:$K$208,0)),""))),IFERROR(INDEX($C$217:$K$217,MATCH($D$2,$C$208:$K$208,0)),"")))</f>
        <v/>
      </c>
      <c r="Y20" s="32" t="str">
        <f>IF($B$2="Todos",IF(COUNT($C$182:$K$182)=0,"",SUM($C$182:$K$182)),IFERROR(INDEX($C$182:$K$182,MATCH($D$2,$C$173:$K$173,0)),""))</f>
        <v/>
      </c>
      <c r="Z20" s="48" t="str">
        <f>IF(AND(ISNUMBER(Y20),ISNUMBER(X20)),IF(X20&gt;0,Y20/X20,""),"")</f>
        <v/>
      </c>
      <c r="AA20" s="32" t="str">
        <f>IF($B$2="Todos",IF(COUNT($C$252:$K$252)=0,"",SUM($C$252:$K$252)),IFERROR(INDEX($C$252:$K$252,MATCH($D$2,$C$243:$K$243,0)),""))</f>
        <v/>
      </c>
      <c r="AB20" s="32">
        <f>IF($B20="","",IF($B$2="Todos",SUMIFS(BD!$AA$3:$AA$5001,BD!$A$3:$A$5001,$B20),SUMIFS(BD!$AA$3:$AA$5001,BD!$A$3:$A$5001,$B20,BD!$B$3:$B$5001,$D$2)))</f>
        <v>0</v>
      </c>
      <c r="AC20" s="32">
        <f>IF($B20="","",IF($B$2="Todos",SUMIFS(BD!$AB$3:$AB$5001,BD!$A$3:$A$5001,$B20),SUMIFS(BD!$AB$3:$AB$5001,BD!$A$3:$A$5001,$B20,BD!$B$3:$B$5001,$D$2)))</f>
        <v>0</v>
      </c>
      <c r="AD20" s="32">
        <f>IF($B20="","",IF($B$2="Todos",SUMIFS(BD!$AC$3:$AC$5001,BD!$A$3:$A$5001,$B20),SUMIFS(BD!$AC$3:$AC$5001,BD!$A$3:$A$5001,$B20,BD!$B$3:$B$5001,$D$2)))</f>
        <v>0</v>
      </c>
      <c r="AE20" s="32">
        <f>IF($B20="","",IF($B$2="Todos",SUMIFS(BD!$AD$3:$AD$5001,BD!$A$3:$A$5001,$B20),SUMIFS(BD!$AD$3:$AD$5001,BD!$A$3:$A$5001,$B20,BD!$B$3:$B$5001,$D$2)))</f>
        <v>0</v>
      </c>
      <c r="AF20" s="32">
        <f>IF($B20="","",IF($B$2="Todos",SUMIFS(BD!$AE$3:$AE$5001,BD!$A$3:$A$5001,$B20),SUMIFS(BD!$AE$3:$AE$5001,BD!$A$3:$A$5001,$B20,BD!$B$3:$B$5001,$D$2)))</f>
        <v>0</v>
      </c>
      <c r="AG20" s="32">
        <f>IF($B20="","",IF($B$2="Todos",SUMIFS(BD!$AF$3:$AF$5001,BD!$A$3:$A$5001,$B20),SUMIFS(BD!$AF$3:$AF$5001,BD!$A$3:$A$5001,$B20,BD!$B$3:$B$5001,$D$2)))</f>
        <v>0</v>
      </c>
      <c r="AH20" s="32">
        <f>IF($B20="","",IF($B$2="Todos",SUMIFS(BD!$AG$3:$AG$5001,BD!$A$3:$A$5001,$B20),SUMIFS(BD!$AG$3:$AG$5001,BD!$A$3:$A$5001,$B20,BD!$B$3:$B$5001,$D$2)))</f>
        <v>0</v>
      </c>
      <c r="AI20" s="49">
        <f>$B$5</f>
        <v>0.7</v>
      </c>
      <c r="AJ20" s="49">
        <f>$B$6</f>
        <v>0.9</v>
      </c>
      <c r="AM20" s="29" t="inlineStr">
        <is>
          <t xml:space="preserve">SETEMBRO · 2026</t>
        </is>
      </c>
      <c r="AO20" s="29" t="inlineStr">
        <is>
          <t xml:space="preserve">Vedacit</t>
        </is>
      </c>
      <c r="AP20" s="28" t="inlineStr">
        <is>
          <t xml:space="preserve">TPC</t>
        </is>
      </c>
    </row>
    <row r="21">
      <c r="A21" s="28">
        <v>10</v>
      </c>
      <c r="B21" s="45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6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32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>
        <f>IF($B21="","",IF($B$2="Todos",SUMIFS(BD!$K$3:$K$5001,BD!$A$3:$A$5001,$B21),SUMIFS(BD!$K$3:$K$5001,BD!$A$3:$A$5001,$B21,BD!$B$3:$B$5001,$D$2)))</f>
        <v>0</v>
      </c>
      <c r="L21" s="32">
        <f>IF($B21="","",IF($B$2="Todos",SUMIFS(BD!$L$3:$L$5001,BD!$A$3:$A$5001,$B21),SUMIFS(BD!$L$3:$L$5001,BD!$A$3:$A$5001,$B21,BD!$B$3:$B$5001,$D$2)))</f>
        <v>0</v>
      </c>
      <c r="M21" s="32">
        <f>IF($B21="","",IF($B$2="Todos",SUMIFS(BD!$M$3:$M$5001,BD!$A$3:$A$5001,$B21),SUMIFS(BD!$M$3:$M$5001,BD!$A$3:$A$5001,$B21,BD!$B$3:$B$5001,$D$2)))</f>
        <v>0</v>
      </c>
      <c r="N21" s="32">
        <f>IF($B21="","",IF($B$2="Todos",SUMIFS(BD!$N$3:$N$5001,BD!$A$3:$A$5001,$B21),SUMIFS(BD!$N$3:$N$5001,BD!$A$3:$A$5001,$B21,BD!$B$3:$B$5001,$D$2)))</f>
        <v>0</v>
      </c>
      <c r="O21" s="32">
        <f>IF($B21="","",IF($B$2="Todos",SUMIFS(BD!$O$3:$O$5001,BD!$A$3:$A$5001,$B21),SUMIFS(BD!$O$3:$O$5001,BD!$A$3:$A$5001,$B21,BD!$B$3:$B$5001,$D$2)))</f>
        <v>0</v>
      </c>
      <c r="P21" s="32">
        <f>IF($B21="","",IF($B$2="Todos",SUMIFS(BD!$P$3:$P$5001,BD!$A$3:$A$5001,$B21),SUMIFS(BD!$P$3:$P$5001,BD!$A$3:$A$5001,$B21,BD!$B$3:$B$5001,$D$2)))</f>
        <v>0</v>
      </c>
      <c r="Q21" s="32">
        <f>IF($B21="","",IF($B$2="Todos",SUMIFS(BD!$Q$3:$Q$5001,BD!$A$3:$A$5001,$B21),SUMIFS(BD!$Q$3:$Q$5001,BD!$A$3:$A$5001,$B21,BD!$B$3:$B$5001,$D$2)))</f>
        <v>0</v>
      </c>
      <c r="R21" s="32">
        <f>IF($B21="","",IF($B$2="Todos",SUMIFS(BD!$R$3:$R$5001,BD!$A$3:$A$5001,$B21),SUMIFS(BD!$R$3:$R$5001,BD!$A$3:$A$5001,$B21,BD!$B$3:$B$5001,$D$2)))</f>
        <v>0</v>
      </c>
      <c r="S21" s="32">
        <f>IF($B21="","",IF($B$2="Todos",SUMIFS(BD!$S$3:$S$5001,BD!$A$3:$A$5001,$B21),SUMIFS(BD!$S$3:$S$5001,BD!$A$3:$A$5001,$B21,BD!$B$3:$B$5001,$D$2)))</f>
        <v>0</v>
      </c>
      <c r="T21" s="46">
        <f>IF($B21="","",IF($B$2="Todos",SUMIFS(BD!$T$3:$T$5001,BD!$A$3:$A$5001,$B21),SUMIFS(BD!$T$3:$T$5001,BD!$A$3:$A$5001,$B21,BD!$B$3:$B$5001,$D$2)))</f>
        <v>0</v>
      </c>
      <c r="U21" s="32">
        <f>IF($B21="","",IF($B$2="Todos",SUMIFS(BD!$U$3:$U$5001,BD!$A$3:$A$5001,$B21),SUMIFS(BD!$U$3:$U$5001,BD!$A$3:$A$5001,$B21,BD!$B$3:$B$5001,$D$2)))</f>
        <v>0</v>
      </c>
      <c r="V21" s="32">
        <f>IF($B21="","",IF($B$2="Todos",SUMIFS(BD!$V$3:$V$5001,BD!$A$3:$A$5001,$B21),SUMIFS(BD!$V$3:$V$5001,BD!$A$3:$A$5001,$B21,BD!$B$3:$B$5001,$D$2)))</f>
        <v>0</v>
      </c>
      <c r="W21" s="32" t="str">
        <f>IF($B$2="Todos",IF(COUNT($C$148:$K$148)=0,"",SUM($C$148:$K$148)),IFERROR(INDEX($C$148:$K$148,MATCH($D$2,$C$138:$K$138,0)),""))</f>
        <v/>
      </c>
      <c r="X21" s="47" t="str">
        <f>IF(Y21="","",IF($B$2="Todos",IF($B$4&gt;0,$B$4,IF($B$2="Todos",IF(COUNT($C$218:$K$218)=0,"",SUM($C$218:$K$218)),IFERROR(INDEX($C$218:$K$218,MATCH($D$2,$C$208:$K$208,0)),""))),IFERROR(INDEX($C$218:$K$218,MATCH($D$2,$C$208:$K$208,0)),"")))</f>
        <v/>
      </c>
      <c r="Y21" s="32" t="str">
        <f>IF($B$2="Todos",IF(COUNT($C$183:$K$183)=0,"",SUM($C$183:$K$183)),IFERROR(INDEX($C$183:$K$183,MATCH($D$2,$C$173:$K$173,0)),""))</f>
        <v/>
      </c>
      <c r="Z21" s="48" t="str">
        <f>IF(AND(ISNUMBER(Y21),ISNUMBER(X21)),IF(X21&gt;0,Y21/X21,""),"")</f>
        <v/>
      </c>
      <c r="AA21" s="32" t="str">
        <f>IF($B$2="Todos",IF(COUNT($C$253:$K$253)=0,"",SUM($C$253:$K$253)),IFERROR(INDEX($C$253:$K$253,MATCH($D$2,$C$243:$K$243,0)),""))</f>
        <v/>
      </c>
      <c r="AB21" s="32">
        <f>IF($B21="","",IF($B$2="Todos",SUMIFS(BD!$AA$3:$AA$5001,BD!$A$3:$A$5001,$B21),SUMIFS(BD!$AA$3:$AA$5001,BD!$A$3:$A$5001,$B21,BD!$B$3:$B$5001,$D$2)))</f>
        <v>0</v>
      </c>
      <c r="AC21" s="32">
        <f>IF($B21="","",IF($B$2="Todos",SUMIFS(BD!$AB$3:$AB$5001,BD!$A$3:$A$5001,$B21),SUMIFS(BD!$AB$3:$AB$5001,BD!$A$3:$A$5001,$B21,BD!$B$3:$B$5001,$D$2)))</f>
        <v>0</v>
      </c>
      <c r="AD21" s="32">
        <f>IF($B21="","",IF($B$2="Todos",SUMIFS(BD!$AC$3:$AC$5001,BD!$A$3:$A$5001,$B21),SUMIFS(BD!$AC$3:$AC$5001,BD!$A$3:$A$5001,$B21,BD!$B$3:$B$5001,$D$2)))</f>
        <v>0</v>
      </c>
      <c r="AE21" s="32">
        <f>IF($B21="","",IF($B$2="Todos",SUMIFS(BD!$AD$3:$AD$5001,BD!$A$3:$A$5001,$B21),SUMIFS(BD!$AD$3:$AD$5001,BD!$A$3:$A$5001,$B21,BD!$B$3:$B$5001,$D$2)))</f>
        <v>0</v>
      </c>
      <c r="AF21" s="32">
        <f>IF($B21="","",IF($B$2="Todos",SUMIFS(BD!$AE$3:$AE$5001,BD!$A$3:$A$5001,$B21),SUMIFS(BD!$AE$3:$AE$5001,BD!$A$3:$A$5001,$B21,BD!$B$3:$B$5001,$D$2)))</f>
        <v>0</v>
      </c>
      <c r="AG21" s="32">
        <f>IF($B21="","",IF($B$2="Todos",SUMIFS(BD!$AF$3:$AF$5001,BD!$A$3:$A$5001,$B21),SUMIFS(BD!$AF$3:$AF$5001,BD!$A$3:$A$5001,$B21,BD!$B$3:$B$5001,$D$2)))</f>
        <v>0</v>
      </c>
      <c r="AH21" s="32">
        <f>IF($B21="","",IF($B$2="Todos",SUMIFS(BD!$AG$3:$AG$5001,BD!$A$3:$A$5001,$B21),SUMIFS(BD!$AG$3:$AG$5001,BD!$A$3:$A$5001,$B21,BD!$B$3:$B$5001,$D$2)))</f>
        <v>0</v>
      </c>
      <c r="AI21" s="49">
        <f>$B$5</f>
        <v>0.7</v>
      </c>
      <c r="AJ21" s="49">
        <f>$B$6</f>
        <v>0.9</v>
      </c>
      <c r="AM21" s="29" t="inlineStr">
        <is>
          <t xml:space="preserve">OUTUBRO · 2026</t>
        </is>
      </c>
      <c r="AO21" s="29" t="inlineStr">
        <is>
          <t xml:space="preserve">Vestas</t>
        </is>
      </c>
      <c r="AP21" s="28" t="inlineStr">
        <is>
          <t xml:space="preserve">TPC</t>
        </is>
      </c>
    </row>
    <row r="22">
      <c r="A22" s="28">
        <v>11</v>
      </c>
      <c r="B22" s="45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6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32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>
        <f>IF($B22="","",IF($B$2="Todos",SUMIFS(BD!$K$3:$K$5001,BD!$A$3:$A$5001,$B22),SUMIFS(BD!$K$3:$K$5001,BD!$A$3:$A$5001,$B22,BD!$B$3:$B$5001,$D$2)))</f>
        <v>0</v>
      </c>
      <c r="L22" s="32">
        <f>IF($B22="","",IF($B$2="Todos",SUMIFS(BD!$L$3:$L$5001,BD!$A$3:$A$5001,$B22),SUMIFS(BD!$L$3:$L$5001,BD!$A$3:$A$5001,$B22,BD!$B$3:$B$5001,$D$2)))</f>
        <v>0</v>
      </c>
      <c r="M22" s="32">
        <f>IF($B22="","",IF($B$2="Todos",SUMIFS(BD!$M$3:$M$5001,BD!$A$3:$A$5001,$B22),SUMIFS(BD!$M$3:$M$5001,BD!$A$3:$A$5001,$B22,BD!$B$3:$B$5001,$D$2)))</f>
        <v>0</v>
      </c>
      <c r="N22" s="32">
        <f>IF($B22="","",IF($B$2="Todos",SUMIFS(BD!$N$3:$N$5001,BD!$A$3:$A$5001,$B22),SUMIFS(BD!$N$3:$N$5001,BD!$A$3:$A$5001,$B22,BD!$B$3:$B$5001,$D$2)))</f>
        <v>0</v>
      </c>
      <c r="O22" s="32">
        <f>IF($B22="","",IF($B$2="Todos",SUMIFS(BD!$O$3:$O$5001,BD!$A$3:$A$5001,$B22),SUMIFS(BD!$O$3:$O$5001,BD!$A$3:$A$5001,$B22,BD!$B$3:$B$5001,$D$2)))</f>
        <v>0</v>
      </c>
      <c r="P22" s="32">
        <f>IF($B22="","",IF($B$2="Todos",SUMIFS(BD!$P$3:$P$5001,BD!$A$3:$A$5001,$B22),SUMIFS(BD!$P$3:$P$5001,BD!$A$3:$A$5001,$B22,BD!$B$3:$B$5001,$D$2)))</f>
        <v>0</v>
      </c>
      <c r="Q22" s="32">
        <f>IF($B22="","",IF($B$2="Todos",SUMIFS(BD!$Q$3:$Q$5001,BD!$A$3:$A$5001,$B22),SUMIFS(BD!$Q$3:$Q$5001,BD!$A$3:$A$5001,$B22,BD!$B$3:$B$5001,$D$2)))</f>
        <v>0</v>
      </c>
      <c r="R22" s="32">
        <f>IF($B22="","",IF($B$2="Todos",SUMIFS(BD!$R$3:$R$5001,BD!$A$3:$A$5001,$B22),SUMIFS(BD!$R$3:$R$5001,BD!$A$3:$A$5001,$B22,BD!$B$3:$B$5001,$D$2)))</f>
        <v>0</v>
      </c>
      <c r="S22" s="32">
        <f>IF($B22="","",IF($B$2="Todos",SUMIFS(BD!$S$3:$S$5001,BD!$A$3:$A$5001,$B22),SUMIFS(BD!$S$3:$S$5001,BD!$A$3:$A$5001,$B22,BD!$B$3:$B$5001,$D$2)))</f>
        <v>0</v>
      </c>
      <c r="T22" s="46">
        <f>IF($B22="","",IF($B$2="Todos",SUMIFS(BD!$T$3:$T$5001,BD!$A$3:$A$5001,$B22),SUMIFS(BD!$T$3:$T$5001,BD!$A$3:$A$5001,$B22,BD!$B$3:$B$5001,$D$2)))</f>
        <v>0</v>
      </c>
      <c r="U22" s="32">
        <f>IF($B22="","",IF($B$2="Todos",SUMIFS(BD!$U$3:$U$5001,BD!$A$3:$A$5001,$B22),SUMIFS(BD!$U$3:$U$5001,BD!$A$3:$A$5001,$B22,BD!$B$3:$B$5001,$D$2)))</f>
        <v>0</v>
      </c>
      <c r="V22" s="32">
        <f>IF($B22="","",IF($B$2="Todos",SUMIFS(BD!$V$3:$V$5001,BD!$A$3:$A$5001,$B22),SUMIFS(BD!$V$3:$V$5001,BD!$A$3:$A$5001,$B22,BD!$B$3:$B$5001,$D$2)))</f>
        <v>0</v>
      </c>
      <c r="W22" s="32" t="str">
        <f>IF($B$2="Todos",IF(COUNT($C$149:$K$149)=0,"",SUM($C$149:$K$149)),IFERROR(INDEX($C$149:$K$149,MATCH($D$2,$C$138:$K$138,0)),""))</f>
        <v/>
      </c>
      <c r="X22" s="47" t="str">
        <f>IF(Y22="","",IF($B$2="Todos",IF($B$4&gt;0,$B$4,IF($B$2="Todos",IF(COUNT($C$219:$K$219)=0,"",SUM($C$219:$K$219)),IFERROR(INDEX($C$219:$K$219,MATCH($D$2,$C$208:$K$208,0)),""))),IFERROR(INDEX($C$219:$K$219,MATCH($D$2,$C$208:$K$208,0)),"")))</f>
        <v/>
      </c>
      <c r="Y22" s="32" t="str">
        <f>IF($B$2="Todos",IF(COUNT($C$184:$K$184)=0,"",SUM($C$184:$K$184)),IFERROR(INDEX($C$184:$K$184,MATCH($D$2,$C$173:$K$173,0)),""))</f>
        <v/>
      </c>
      <c r="Z22" s="48" t="str">
        <f>IF(AND(ISNUMBER(Y22),ISNUMBER(X22)),IF(X22&gt;0,Y22/X22,""),"")</f>
        <v/>
      </c>
      <c r="AA22" s="32" t="str">
        <f>IF($B$2="Todos",IF(COUNT($C$254:$K$254)=0,"",SUM($C$254:$K$254)),IFERROR(INDEX($C$254:$K$254,MATCH($D$2,$C$243:$K$243,0)),""))</f>
        <v/>
      </c>
      <c r="AB22" s="32">
        <f>IF($B22="","",IF($B$2="Todos",SUMIFS(BD!$AA$3:$AA$5001,BD!$A$3:$A$5001,$B22),SUMIFS(BD!$AA$3:$AA$5001,BD!$A$3:$A$5001,$B22,BD!$B$3:$B$5001,$D$2)))</f>
        <v>0</v>
      </c>
      <c r="AC22" s="32">
        <f>IF($B22="","",IF($B$2="Todos",SUMIFS(BD!$AB$3:$AB$5001,BD!$A$3:$A$5001,$B22),SUMIFS(BD!$AB$3:$AB$5001,BD!$A$3:$A$5001,$B22,BD!$B$3:$B$5001,$D$2)))</f>
        <v>0</v>
      </c>
      <c r="AD22" s="32">
        <f>IF($B22="","",IF($B$2="Todos",SUMIFS(BD!$AC$3:$AC$5001,BD!$A$3:$A$5001,$B22),SUMIFS(BD!$AC$3:$AC$5001,BD!$A$3:$A$5001,$B22,BD!$B$3:$B$5001,$D$2)))</f>
        <v>0</v>
      </c>
      <c r="AE22" s="32">
        <f>IF($B22="","",IF($B$2="Todos",SUMIFS(BD!$AD$3:$AD$5001,BD!$A$3:$A$5001,$B22),SUMIFS(BD!$AD$3:$AD$5001,BD!$A$3:$A$5001,$B22,BD!$B$3:$B$5001,$D$2)))</f>
        <v>0</v>
      </c>
      <c r="AF22" s="32">
        <f>IF($B22="","",IF($B$2="Todos",SUMIFS(BD!$AE$3:$AE$5001,BD!$A$3:$A$5001,$B22),SUMIFS(BD!$AE$3:$AE$5001,BD!$A$3:$A$5001,$B22,BD!$B$3:$B$5001,$D$2)))</f>
        <v>0</v>
      </c>
      <c r="AG22" s="32">
        <f>IF($B22="","",IF($B$2="Todos",SUMIFS(BD!$AF$3:$AF$5001,BD!$A$3:$A$5001,$B22),SUMIFS(BD!$AF$3:$AF$5001,BD!$A$3:$A$5001,$B22,BD!$B$3:$B$5001,$D$2)))</f>
        <v>0</v>
      </c>
      <c r="AH22" s="32">
        <f>IF($B22="","",IF($B$2="Todos",SUMIFS(BD!$AG$3:$AG$5001,BD!$A$3:$A$5001,$B22),SUMIFS(BD!$AG$3:$AG$5001,BD!$A$3:$A$5001,$B22,BD!$B$3:$B$5001,$D$2)))</f>
        <v>0</v>
      </c>
      <c r="AI22" s="49">
        <f>$B$5</f>
        <v>0.7</v>
      </c>
      <c r="AJ22" s="49">
        <f>$B$6</f>
        <v>0.9</v>
      </c>
      <c r="AM22" s="29" t="inlineStr">
        <is>
          <t xml:space="preserve">NOVEMBRO · 2026</t>
        </is>
      </c>
    </row>
    <row r="23">
      <c r="A23" s="28">
        <v>12</v>
      </c>
      <c r="B23" s="45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6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32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>
        <f>IF($B23="","",IF($B$2="Todos",SUMIFS(BD!$K$3:$K$5001,BD!$A$3:$A$5001,$B23),SUMIFS(BD!$K$3:$K$5001,BD!$A$3:$A$5001,$B23,BD!$B$3:$B$5001,$D$2)))</f>
        <v>0</v>
      </c>
      <c r="L23" s="32">
        <f>IF($B23="","",IF($B$2="Todos",SUMIFS(BD!$L$3:$L$5001,BD!$A$3:$A$5001,$B23),SUMIFS(BD!$L$3:$L$5001,BD!$A$3:$A$5001,$B23,BD!$B$3:$B$5001,$D$2)))</f>
        <v>0</v>
      </c>
      <c r="M23" s="32">
        <f>IF($B23="","",IF($B$2="Todos",SUMIFS(BD!$M$3:$M$5001,BD!$A$3:$A$5001,$B23),SUMIFS(BD!$M$3:$M$5001,BD!$A$3:$A$5001,$B23,BD!$B$3:$B$5001,$D$2)))</f>
        <v>0</v>
      </c>
      <c r="N23" s="32">
        <f>IF($B23="","",IF($B$2="Todos",SUMIFS(BD!$N$3:$N$5001,BD!$A$3:$A$5001,$B23),SUMIFS(BD!$N$3:$N$5001,BD!$A$3:$A$5001,$B23,BD!$B$3:$B$5001,$D$2)))</f>
        <v>0</v>
      </c>
      <c r="O23" s="32">
        <f>IF($B23="","",IF($B$2="Todos",SUMIFS(BD!$O$3:$O$5001,BD!$A$3:$A$5001,$B23),SUMIFS(BD!$O$3:$O$5001,BD!$A$3:$A$5001,$B23,BD!$B$3:$B$5001,$D$2)))</f>
        <v>0</v>
      </c>
      <c r="P23" s="32">
        <f>IF($B23="","",IF($B$2="Todos",SUMIFS(BD!$P$3:$P$5001,BD!$A$3:$A$5001,$B23),SUMIFS(BD!$P$3:$P$5001,BD!$A$3:$A$5001,$B23,BD!$B$3:$B$5001,$D$2)))</f>
        <v>0</v>
      </c>
      <c r="Q23" s="32">
        <f>IF($B23="","",IF($B$2="Todos",SUMIFS(BD!$Q$3:$Q$5001,BD!$A$3:$A$5001,$B23),SUMIFS(BD!$Q$3:$Q$5001,BD!$A$3:$A$5001,$B23,BD!$B$3:$B$5001,$D$2)))</f>
        <v>0</v>
      </c>
      <c r="R23" s="32">
        <f>IF($B23="","",IF($B$2="Todos",SUMIFS(BD!$R$3:$R$5001,BD!$A$3:$A$5001,$B23),SUMIFS(BD!$R$3:$R$5001,BD!$A$3:$A$5001,$B23,BD!$B$3:$B$5001,$D$2)))</f>
        <v>0</v>
      </c>
      <c r="S23" s="32">
        <f>IF($B23="","",IF($B$2="Todos",SUMIFS(BD!$S$3:$S$5001,BD!$A$3:$A$5001,$B23),SUMIFS(BD!$S$3:$S$5001,BD!$A$3:$A$5001,$B23,BD!$B$3:$B$5001,$D$2)))</f>
        <v>0</v>
      </c>
      <c r="T23" s="46">
        <f>IF($B23="","",IF($B$2="Todos",SUMIFS(BD!$T$3:$T$5001,BD!$A$3:$A$5001,$B23),SUMIFS(BD!$T$3:$T$5001,BD!$A$3:$A$5001,$B23,BD!$B$3:$B$5001,$D$2)))</f>
        <v>0</v>
      </c>
      <c r="U23" s="32">
        <f>IF($B23="","",IF($B$2="Todos",SUMIFS(BD!$U$3:$U$5001,BD!$A$3:$A$5001,$B23),SUMIFS(BD!$U$3:$U$5001,BD!$A$3:$A$5001,$B23,BD!$B$3:$B$5001,$D$2)))</f>
        <v>0</v>
      </c>
      <c r="V23" s="32">
        <f>IF($B23="","",IF($B$2="Todos",SUMIFS(BD!$V$3:$V$5001,BD!$A$3:$A$5001,$B23),SUMIFS(BD!$V$3:$V$5001,BD!$A$3:$A$5001,$B23,BD!$B$3:$B$5001,$D$2)))</f>
        <v>0</v>
      </c>
      <c r="W23" s="32" t="str">
        <f>IF($B$2="Todos",IF(COUNT($C$150:$K$150)=0,"",SUM($C$150:$K$150)),IFERROR(INDEX($C$150:$K$150,MATCH($D$2,$C$138:$K$138,0)),""))</f>
        <v/>
      </c>
      <c r="X23" s="47" t="str">
        <f>IF(Y23="","",IF($B$2="Todos",IF($B$4&gt;0,$B$4,IF($B$2="Todos",IF(COUNT($C$220:$K$220)=0,"",SUM($C$220:$K$220)),IFERROR(INDEX($C$220:$K$220,MATCH($D$2,$C$208:$K$208,0)),""))),IFERROR(INDEX($C$220:$K$220,MATCH($D$2,$C$208:$K$208,0)),"")))</f>
        <v/>
      </c>
      <c r="Y23" s="32" t="str">
        <f>IF($B$2="Todos",IF(COUNT($C$185:$K$185)=0,"",SUM($C$185:$K$185)),IFERROR(INDEX($C$185:$K$185,MATCH($D$2,$C$173:$K$173,0)),""))</f>
        <v/>
      </c>
      <c r="Z23" s="48" t="str">
        <f>IF(AND(ISNUMBER(Y23),ISNUMBER(X23)),IF(X23&gt;0,Y23/X23,""),"")</f>
        <v/>
      </c>
      <c r="AA23" s="32" t="str">
        <f>IF($B$2="Todos",IF(COUNT($C$255:$K$255)=0,"",SUM($C$255:$K$255)),IFERROR(INDEX($C$255:$K$255,MATCH($D$2,$C$243:$K$243,0)),""))</f>
        <v/>
      </c>
      <c r="AB23" s="32">
        <f>IF($B23="","",IF($B$2="Todos",SUMIFS(BD!$AA$3:$AA$5001,BD!$A$3:$A$5001,$B23),SUMIFS(BD!$AA$3:$AA$5001,BD!$A$3:$A$5001,$B23,BD!$B$3:$B$5001,$D$2)))</f>
        <v>0</v>
      </c>
      <c r="AC23" s="32">
        <f>IF($B23="","",IF($B$2="Todos",SUMIFS(BD!$AB$3:$AB$5001,BD!$A$3:$A$5001,$B23),SUMIFS(BD!$AB$3:$AB$5001,BD!$A$3:$A$5001,$B23,BD!$B$3:$B$5001,$D$2)))</f>
        <v>0</v>
      </c>
      <c r="AD23" s="32">
        <f>IF($B23="","",IF($B$2="Todos",SUMIFS(BD!$AC$3:$AC$5001,BD!$A$3:$A$5001,$B23),SUMIFS(BD!$AC$3:$AC$5001,BD!$A$3:$A$5001,$B23,BD!$B$3:$B$5001,$D$2)))</f>
        <v>0</v>
      </c>
      <c r="AE23" s="32">
        <f>IF($B23="","",IF($B$2="Todos",SUMIFS(BD!$AD$3:$AD$5001,BD!$A$3:$A$5001,$B23),SUMIFS(BD!$AD$3:$AD$5001,BD!$A$3:$A$5001,$B23,BD!$B$3:$B$5001,$D$2)))</f>
        <v>0</v>
      </c>
      <c r="AF23" s="32">
        <f>IF($B23="","",IF($B$2="Todos",SUMIFS(BD!$AE$3:$AE$5001,BD!$A$3:$A$5001,$B23),SUMIFS(BD!$AE$3:$AE$5001,BD!$A$3:$A$5001,$B23,BD!$B$3:$B$5001,$D$2)))</f>
        <v>0</v>
      </c>
      <c r="AG23" s="32">
        <f>IF($B23="","",IF($B$2="Todos",SUMIFS(BD!$AF$3:$AF$5001,BD!$A$3:$A$5001,$B23),SUMIFS(BD!$AF$3:$AF$5001,BD!$A$3:$A$5001,$B23,BD!$B$3:$B$5001,$D$2)))</f>
        <v>0</v>
      </c>
      <c r="AH23" s="32">
        <f>IF($B23="","",IF($B$2="Todos",SUMIFS(BD!$AG$3:$AG$5001,BD!$A$3:$A$5001,$B23),SUMIFS(BD!$AG$3:$AG$5001,BD!$A$3:$A$5001,$B23,BD!$B$3:$B$5001,$D$2)))</f>
        <v>0</v>
      </c>
      <c r="AI23" s="49">
        <f>$B$5</f>
        <v>0.7</v>
      </c>
      <c r="AJ23" s="49">
        <f>$B$6</f>
        <v>0.9</v>
      </c>
      <c r="AM23" s="29" t="inlineStr">
        <is>
          <t xml:space="preserve">DEZEMBRO · 2026</t>
        </is>
      </c>
    </row>
    <row r="24">
      <c r="A24" s="28">
        <v>13</v>
      </c>
      <c r="B24" s="45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6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32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>
        <f>IF($B24="","",IF($B$2="Todos",SUMIFS(BD!$K$3:$K$5001,BD!$A$3:$A$5001,$B24),SUMIFS(BD!$K$3:$K$5001,BD!$A$3:$A$5001,$B24,BD!$B$3:$B$5001,$D$2)))</f>
        <v>0</v>
      </c>
      <c r="L24" s="32">
        <f>IF($B24="","",IF($B$2="Todos",SUMIFS(BD!$L$3:$L$5001,BD!$A$3:$A$5001,$B24),SUMIFS(BD!$L$3:$L$5001,BD!$A$3:$A$5001,$B24,BD!$B$3:$B$5001,$D$2)))</f>
        <v>0</v>
      </c>
      <c r="M24" s="32">
        <f>IF($B24="","",IF($B$2="Todos",SUMIFS(BD!$M$3:$M$5001,BD!$A$3:$A$5001,$B24),SUMIFS(BD!$M$3:$M$5001,BD!$A$3:$A$5001,$B24,BD!$B$3:$B$5001,$D$2)))</f>
        <v>0</v>
      </c>
      <c r="N24" s="32">
        <f>IF($B24="","",IF($B$2="Todos",SUMIFS(BD!$N$3:$N$5001,BD!$A$3:$A$5001,$B24),SUMIFS(BD!$N$3:$N$5001,BD!$A$3:$A$5001,$B24,BD!$B$3:$B$5001,$D$2)))</f>
        <v>0</v>
      </c>
      <c r="O24" s="32">
        <f>IF($B24="","",IF($B$2="Todos",SUMIFS(BD!$O$3:$O$5001,BD!$A$3:$A$5001,$B24),SUMIFS(BD!$O$3:$O$5001,BD!$A$3:$A$5001,$B24,BD!$B$3:$B$5001,$D$2)))</f>
        <v>0</v>
      </c>
      <c r="P24" s="32">
        <f>IF($B24="","",IF($B$2="Todos",SUMIFS(BD!$P$3:$P$5001,BD!$A$3:$A$5001,$B24),SUMIFS(BD!$P$3:$P$5001,BD!$A$3:$A$5001,$B24,BD!$B$3:$B$5001,$D$2)))</f>
        <v>0</v>
      </c>
      <c r="Q24" s="32">
        <f>IF($B24="","",IF($B$2="Todos",SUMIFS(BD!$Q$3:$Q$5001,BD!$A$3:$A$5001,$B24),SUMIFS(BD!$Q$3:$Q$5001,BD!$A$3:$A$5001,$B24,BD!$B$3:$B$5001,$D$2)))</f>
        <v>0</v>
      </c>
      <c r="R24" s="32">
        <f>IF($B24="","",IF($B$2="Todos",SUMIFS(BD!$R$3:$R$5001,BD!$A$3:$A$5001,$B24),SUMIFS(BD!$R$3:$R$5001,BD!$A$3:$A$5001,$B24,BD!$B$3:$B$5001,$D$2)))</f>
        <v>0</v>
      </c>
      <c r="S24" s="32">
        <f>IF($B24="","",IF($B$2="Todos",SUMIFS(BD!$S$3:$S$5001,BD!$A$3:$A$5001,$B24),SUMIFS(BD!$S$3:$S$5001,BD!$A$3:$A$5001,$B24,BD!$B$3:$B$5001,$D$2)))</f>
        <v>0</v>
      </c>
      <c r="T24" s="46">
        <f>IF($B24="","",IF($B$2="Todos",SUMIFS(BD!$T$3:$T$5001,BD!$A$3:$A$5001,$B24),SUMIFS(BD!$T$3:$T$5001,BD!$A$3:$A$5001,$B24,BD!$B$3:$B$5001,$D$2)))</f>
        <v>0</v>
      </c>
      <c r="U24" s="32">
        <f>IF($B24="","",IF($B$2="Todos",SUMIFS(BD!$U$3:$U$5001,BD!$A$3:$A$5001,$B24),SUMIFS(BD!$U$3:$U$5001,BD!$A$3:$A$5001,$B24,BD!$B$3:$B$5001,$D$2)))</f>
        <v>0</v>
      </c>
      <c r="V24" s="32">
        <f>IF($B24="","",IF($B$2="Todos",SUMIFS(BD!$V$3:$V$5001,BD!$A$3:$A$5001,$B24),SUMIFS(BD!$V$3:$V$5001,BD!$A$3:$A$5001,$B24,BD!$B$3:$B$5001,$D$2)))</f>
        <v>0</v>
      </c>
      <c r="W24" s="32" t="str">
        <f>IF($B$2="Todos",IF(COUNT($C$151:$K$151)=0,"",SUM($C$151:$K$151)),IFERROR(INDEX($C$151:$K$151,MATCH($D$2,$C$138:$K$138,0)),""))</f>
        <v/>
      </c>
      <c r="X24" s="47" t="str">
        <f>IF(Y24="","",IF($B$2="Todos",IF($B$4&gt;0,$B$4,IF($B$2="Todos",IF(COUNT($C$221:$K$221)=0,"",SUM($C$221:$K$221)),IFERROR(INDEX($C$221:$K$221,MATCH($D$2,$C$208:$K$208,0)),""))),IFERROR(INDEX($C$221:$K$221,MATCH($D$2,$C$208:$K$208,0)),"")))</f>
        <v/>
      </c>
      <c r="Y24" s="32" t="str">
        <f>IF($B$2="Todos",IF(COUNT($C$186:$K$186)=0,"",SUM($C$186:$K$186)),IFERROR(INDEX($C$186:$K$186,MATCH($D$2,$C$173:$K$173,0)),""))</f>
        <v/>
      </c>
      <c r="Z24" s="48" t="str">
        <f>IF(AND(ISNUMBER(Y24),ISNUMBER(X24)),IF(X24&gt;0,Y24/X24,""),"")</f>
        <v/>
      </c>
      <c r="AA24" s="32" t="str">
        <f>IF($B$2="Todos",IF(COUNT($C$256:$K$256)=0,"",SUM($C$256:$K$256)),IFERROR(INDEX($C$256:$K$256,MATCH($D$2,$C$243:$K$243,0)),""))</f>
        <v/>
      </c>
      <c r="AB24" s="32">
        <f>IF($B24="","",IF($B$2="Todos",SUMIFS(BD!$AA$3:$AA$5001,BD!$A$3:$A$5001,$B24),SUMIFS(BD!$AA$3:$AA$5001,BD!$A$3:$A$5001,$B24,BD!$B$3:$B$5001,$D$2)))</f>
        <v>0</v>
      </c>
      <c r="AC24" s="32">
        <f>IF($B24="","",IF($B$2="Todos",SUMIFS(BD!$AB$3:$AB$5001,BD!$A$3:$A$5001,$B24),SUMIFS(BD!$AB$3:$AB$5001,BD!$A$3:$A$5001,$B24,BD!$B$3:$B$5001,$D$2)))</f>
        <v>0</v>
      </c>
      <c r="AD24" s="32">
        <f>IF($B24="","",IF($B$2="Todos",SUMIFS(BD!$AC$3:$AC$5001,BD!$A$3:$A$5001,$B24),SUMIFS(BD!$AC$3:$AC$5001,BD!$A$3:$A$5001,$B24,BD!$B$3:$B$5001,$D$2)))</f>
        <v>0</v>
      </c>
      <c r="AE24" s="32">
        <f>IF($B24="","",IF($B$2="Todos",SUMIFS(BD!$AD$3:$AD$5001,BD!$A$3:$A$5001,$B24),SUMIFS(BD!$AD$3:$AD$5001,BD!$A$3:$A$5001,$B24,BD!$B$3:$B$5001,$D$2)))</f>
        <v>0</v>
      </c>
      <c r="AF24" s="32">
        <f>IF($B24="","",IF($B$2="Todos",SUMIFS(BD!$AE$3:$AE$5001,BD!$A$3:$A$5001,$B24),SUMIFS(BD!$AE$3:$AE$5001,BD!$A$3:$A$5001,$B24,BD!$B$3:$B$5001,$D$2)))</f>
        <v>0</v>
      </c>
      <c r="AG24" s="32">
        <f>IF($B24="","",IF($B$2="Todos",SUMIFS(BD!$AF$3:$AF$5001,BD!$A$3:$A$5001,$B24),SUMIFS(BD!$AF$3:$AF$5001,BD!$A$3:$A$5001,$B24,BD!$B$3:$B$5001,$D$2)))</f>
        <v>0</v>
      </c>
      <c r="AH24" s="32">
        <f>IF($B24="","",IF($B$2="Todos",SUMIFS(BD!$AG$3:$AG$5001,BD!$A$3:$A$5001,$B24),SUMIFS(BD!$AG$3:$AG$5001,BD!$A$3:$A$5001,$B24,BD!$B$3:$B$5001,$D$2)))</f>
        <v>0</v>
      </c>
      <c r="AI24" s="49">
        <f>$B$5</f>
        <v>0.7</v>
      </c>
      <c r="AJ24" s="49">
        <f>$B$6</f>
        <v>0.9</v>
      </c>
    </row>
    <row r="25">
      <c r="A25" s="28">
        <v>14</v>
      </c>
      <c r="B25" s="45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6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32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>
        <f>IF($B25="","",IF($B$2="Todos",SUMIFS(BD!$K$3:$K$5001,BD!$A$3:$A$5001,$B25),SUMIFS(BD!$K$3:$K$5001,BD!$A$3:$A$5001,$B25,BD!$B$3:$B$5001,$D$2)))</f>
        <v>0</v>
      </c>
      <c r="L25" s="32">
        <f>IF($B25="","",IF($B$2="Todos",SUMIFS(BD!$L$3:$L$5001,BD!$A$3:$A$5001,$B25),SUMIFS(BD!$L$3:$L$5001,BD!$A$3:$A$5001,$B25,BD!$B$3:$B$5001,$D$2)))</f>
        <v>0</v>
      </c>
      <c r="M25" s="32">
        <f>IF($B25="","",IF($B$2="Todos",SUMIFS(BD!$M$3:$M$5001,BD!$A$3:$A$5001,$B25),SUMIFS(BD!$M$3:$M$5001,BD!$A$3:$A$5001,$B25,BD!$B$3:$B$5001,$D$2)))</f>
        <v>0</v>
      </c>
      <c r="N25" s="32">
        <f>IF($B25="","",IF($B$2="Todos",SUMIFS(BD!$N$3:$N$5001,BD!$A$3:$A$5001,$B25),SUMIFS(BD!$N$3:$N$5001,BD!$A$3:$A$5001,$B25,BD!$B$3:$B$5001,$D$2)))</f>
        <v>0</v>
      </c>
      <c r="O25" s="32">
        <f>IF($B25="","",IF($B$2="Todos",SUMIFS(BD!$O$3:$O$5001,BD!$A$3:$A$5001,$B25),SUMIFS(BD!$O$3:$O$5001,BD!$A$3:$A$5001,$B25,BD!$B$3:$B$5001,$D$2)))</f>
        <v>0</v>
      </c>
      <c r="P25" s="32">
        <f>IF($B25="","",IF($B$2="Todos",SUMIFS(BD!$P$3:$P$5001,BD!$A$3:$A$5001,$B25),SUMIFS(BD!$P$3:$P$5001,BD!$A$3:$A$5001,$B25,BD!$B$3:$B$5001,$D$2)))</f>
        <v>0</v>
      </c>
      <c r="Q25" s="32">
        <f>IF($B25="","",IF($B$2="Todos",SUMIFS(BD!$Q$3:$Q$5001,BD!$A$3:$A$5001,$B25),SUMIFS(BD!$Q$3:$Q$5001,BD!$A$3:$A$5001,$B25,BD!$B$3:$B$5001,$D$2)))</f>
        <v>0</v>
      </c>
      <c r="R25" s="32">
        <f>IF($B25="","",IF($B$2="Todos",SUMIFS(BD!$R$3:$R$5001,BD!$A$3:$A$5001,$B25),SUMIFS(BD!$R$3:$R$5001,BD!$A$3:$A$5001,$B25,BD!$B$3:$B$5001,$D$2)))</f>
        <v>0</v>
      </c>
      <c r="S25" s="32">
        <f>IF($B25="","",IF($B$2="Todos",SUMIFS(BD!$S$3:$S$5001,BD!$A$3:$A$5001,$B25),SUMIFS(BD!$S$3:$S$5001,BD!$A$3:$A$5001,$B25,BD!$B$3:$B$5001,$D$2)))</f>
        <v>0</v>
      </c>
      <c r="T25" s="46">
        <f>IF($B25="","",IF($B$2="Todos",SUMIFS(BD!$T$3:$T$5001,BD!$A$3:$A$5001,$B25),SUMIFS(BD!$T$3:$T$5001,BD!$A$3:$A$5001,$B25,BD!$B$3:$B$5001,$D$2)))</f>
        <v>0</v>
      </c>
      <c r="U25" s="32">
        <f>IF($B25="","",IF($B$2="Todos",SUMIFS(BD!$U$3:$U$5001,BD!$A$3:$A$5001,$B25),SUMIFS(BD!$U$3:$U$5001,BD!$A$3:$A$5001,$B25,BD!$B$3:$B$5001,$D$2)))</f>
        <v>0</v>
      </c>
      <c r="V25" s="32">
        <f>IF($B25="","",IF($B$2="Todos",SUMIFS(BD!$V$3:$V$5001,BD!$A$3:$A$5001,$B25),SUMIFS(BD!$V$3:$V$5001,BD!$A$3:$A$5001,$B25,BD!$B$3:$B$5001,$D$2)))</f>
        <v>0</v>
      </c>
      <c r="W25" s="32" t="str">
        <f>IF($B$2="Todos",IF(COUNT($C$152:$K$152)=0,"",SUM($C$152:$K$152)),IFERROR(INDEX($C$152:$K$152,MATCH($D$2,$C$138:$K$138,0)),""))</f>
        <v/>
      </c>
      <c r="X25" s="47" t="str">
        <f>IF(Y25="","",IF($B$2="Todos",IF($B$4&gt;0,$B$4,IF($B$2="Todos",IF(COUNT($C$222:$K$222)=0,"",SUM($C$222:$K$222)),IFERROR(INDEX($C$222:$K$222,MATCH($D$2,$C$208:$K$208,0)),""))),IFERROR(INDEX($C$222:$K$222,MATCH($D$2,$C$208:$K$208,0)),"")))</f>
        <v/>
      </c>
      <c r="Y25" s="32" t="str">
        <f>IF($B$2="Todos",IF(COUNT($C$187:$K$187)=0,"",SUM($C$187:$K$187)),IFERROR(INDEX($C$187:$K$187,MATCH($D$2,$C$173:$K$173,0)),""))</f>
        <v/>
      </c>
      <c r="Z25" s="48" t="str">
        <f>IF(AND(ISNUMBER(Y25),ISNUMBER(X25)),IF(X25&gt;0,Y25/X25,""),"")</f>
        <v/>
      </c>
      <c r="AA25" s="32" t="str">
        <f>IF($B$2="Todos",IF(COUNT($C$257:$K$257)=0,"",SUM($C$257:$K$257)),IFERROR(INDEX($C$257:$K$257,MATCH($D$2,$C$243:$K$243,0)),""))</f>
        <v/>
      </c>
      <c r="AB25" s="32">
        <f>IF($B25="","",IF($B$2="Todos",SUMIFS(BD!$AA$3:$AA$5001,BD!$A$3:$A$5001,$B25),SUMIFS(BD!$AA$3:$AA$5001,BD!$A$3:$A$5001,$B25,BD!$B$3:$B$5001,$D$2)))</f>
        <v>0</v>
      </c>
      <c r="AC25" s="32">
        <f>IF($B25="","",IF($B$2="Todos",SUMIFS(BD!$AB$3:$AB$5001,BD!$A$3:$A$5001,$B25),SUMIFS(BD!$AB$3:$AB$5001,BD!$A$3:$A$5001,$B25,BD!$B$3:$B$5001,$D$2)))</f>
        <v>0</v>
      </c>
      <c r="AD25" s="32">
        <f>IF($B25="","",IF($B$2="Todos",SUMIFS(BD!$AC$3:$AC$5001,BD!$A$3:$A$5001,$B25),SUMIFS(BD!$AC$3:$AC$5001,BD!$A$3:$A$5001,$B25,BD!$B$3:$B$5001,$D$2)))</f>
        <v>0</v>
      </c>
      <c r="AE25" s="32">
        <f>IF($B25="","",IF($B$2="Todos",SUMIFS(BD!$AD$3:$AD$5001,BD!$A$3:$A$5001,$B25),SUMIFS(BD!$AD$3:$AD$5001,BD!$A$3:$A$5001,$B25,BD!$B$3:$B$5001,$D$2)))</f>
        <v>0</v>
      </c>
      <c r="AF25" s="32">
        <f>IF($B25="","",IF($B$2="Todos",SUMIFS(BD!$AE$3:$AE$5001,BD!$A$3:$A$5001,$B25),SUMIFS(BD!$AE$3:$AE$5001,BD!$A$3:$A$5001,$B25,BD!$B$3:$B$5001,$D$2)))</f>
        <v>0</v>
      </c>
      <c r="AG25" s="32">
        <f>IF($B25="","",IF($B$2="Todos",SUMIFS(BD!$AF$3:$AF$5001,BD!$A$3:$A$5001,$B25),SUMIFS(BD!$AF$3:$AF$5001,BD!$A$3:$A$5001,$B25,BD!$B$3:$B$5001,$D$2)))</f>
        <v>0</v>
      </c>
      <c r="AH25" s="32">
        <f>IF($B25="","",IF($B$2="Todos",SUMIFS(BD!$AG$3:$AG$5001,BD!$A$3:$A$5001,$B25),SUMIFS(BD!$AG$3:$AG$5001,BD!$A$3:$A$5001,$B25,BD!$B$3:$B$5001,$D$2)))</f>
        <v>0</v>
      </c>
      <c r="AI25" s="49">
        <f>$B$5</f>
        <v>0.7</v>
      </c>
      <c r="AJ25" s="49">
        <f>$B$6</f>
        <v>0.9</v>
      </c>
    </row>
    <row r="26">
      <c r="A26" s="28">
        <v>15</v>
      </c>
      <c r="B26" s="45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6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32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>
        <f>IF($B26="","",IF($B$2="Todos",SUMIFS(BD!$K$3:$K$5001,BD!$A$3:$A$5001,$B26),SUMIFS(BD!$K$3:$K$5001,BD!$A$3:$A$5001,$B26,BD!$B$3:$B$5001,$D$2)))</f>
        <v>0</v>
      </c>
      <c r="L26" s="32">
        <f>IF($B26="","",IF($B$2="Todos",SUMIFS(BD!$L$3:$L$5001,BD!$A$3:$A$5001,$B26),SUMIFS(BD!$L$3:$L$5001,BD!$A$3:$A$5001,$B26,BD!$B$3:$B$5001,$D$2)))</f>
        <v>0</v>
      </c>
      <c r="M26" s="32">
        <f>IF($B26="","",IF($B$2="Todos",SUMIFS(BD!$M$3:$M$5001,BD!$A$3:$A$5001,$B26),SUMIFS(BD!$M$3:$M$5001,BD!$A$3:$A$5001,$B26,BD!$B$3:$B$5001,$D$2)))</f>
        <v>0</v>
      </c>
      <c r="N26" s="32">
        <f>IF($B26="","",IF($B$2="Todos",SUMIFS(BD!$N$3:$N$5001,BD!$A$3:$A$5001,$B26),SUMIFS(BD!$N$3:$N$5001,BD!$A$3:$A$5001,$B26,BD!$B$3:$B$5001,$D$2)))</f>
        <v>0</v>
      </c>
      <c r="O26" s="32">
        <f>IF($B26="","",IF($B$2="Todos",SUMIFS(BD!$O$3:$O$5001,BD!$A$3:$A$5001,$B26),SUMIFS(BD!$O$3:$O$5001,BD!$A$3:$A$5001,$B26,BD!$B$3:$B$5001,$D$2)))</f>
        <v>0</v>
      </c>
      <c r="P26" s="32">
        <f>IF($B26="","",IF($B$2="Todos",SUMIFS(BD!$P$3:$P$5001,BD!$A$3:$A$5001,$B26),SUMIFS(BD!$P$3:$P$5001,BD!$A$3:$A$5001,$B26,BD!$B$3:$B$5001,$D$2)))</f>
        <v>0</v>
      </c>
      <c r="Q26" s="32">
        <f>IF($B26="","",IF($B$2="Todos",SUMIFS(BD!$Q$3:$Q$5001,BD!$A$3:$A$5001,$B26),SUMIFS(BD!$Q$3:$Q$5001,BD!$A$3:$A$5001,$B26,BD!$B$3:$B$5001,$D$2)))</f>
        <v>0</v>
      </c>
      <c r="R26" s="32">
        <f>IF($B26="","",IF($B$2="Todos",SUMIFS(BD!$R$3:$R$5001,BD!$A$3:$A$5001,$B26),SUMIFS(BD!$R$3:$R$5001,BD!$A$3:$A$5001,$B26,BD!$B$3:$B$5001,$D$2)))</f>
        <v>0</v>
      </c>
      <c r="S26" s="32">
        <f>IF($B26="","",IF($B$2="Todos",SUMIFS(BD!$S$3:$S$5001,BD!$A$3:$A$5001,$B26),SUMIFS(BD!$S$3:$S$5001,BD!$A$3:$A$5001,$B26,BD!$B$3:$B$5001,$D$2)))</f>
        <v>0</v>
      </c>
      <c r="T26" s="46">
        <f>IF($B26="","",IF($B$2="Todos",SUMIFS(BD!$T$3:$T$5001,BD!$A$3:$A$5001,$B26),SUMIFS(BD!$T$3:$T$5001,BD!$A$3:$A$5001,$B26,BD!$B$3:$B$5001,$D$2)))</f>
        <v>0</v>
      </c>
      <c r="U26" s="32">
        <f>IF($B26="","",IF($B$2="Todos",SUMIFS(BD!$U$3:$U$5001,BD!$A$3:$A$5001,$B26),SUMIFS(BD!$U$3:$U$5001,BD!$A$3:$A$5001,$B26,BD!$B$3:$B$5001,$D$2)))</f>
        <v>0</v>
      </c>
      <c r="V26" s="32">
        <f>IF($B26="","",IF($B$2="Todos",SUMIFS(BD!$V$3:$V$5001,BD!$A$3:$A$5001,$B26),SUMIFS(BD!$V$3:$V$5001,BD!$A$3:$A$5001,$B26,BD!$B$3:$B$5001,$D$2)))</f>
        <v>0</v>
      </c>
      <c r="W26" s="32" t="str">
        <f>IF($B$2="Todos",IF(COUNT($C$153:$K$153)=0,"",SUM($C$153:$K$153)),IFERROR(INDEX($C$153:$K$153,MATCH($D$2,$C$138:$K$138,0)),""))</f>
        <v/>
      </c>
      <c r="X26" s="47" t="str">
        <f>IF(Y26="","",IF($B$2="Todos",IF($B$4&gt;0,$B$4,IF($B$2="Todos",IF(COUNT($C$223:$K$223)=0,"",SUM($C$223:$K$223)),IFERROR(INDEX($C$223:$K$223,MATCH($D$2,$C$208:$K$208,0)),""))),IFERROR(INDEX($C$223:$K$223,MATCH($D$2,$C$208:$K$208,0)),"")))</f>
        <v/>
      </c>
      <c r="Y26" s="32" t="str">
        <f>IF($B$2="Todos",IF(COUNT($C$188:$K$188)=0,"",SUM($C$188:$K$188)),IFERROR(INDEX($C$188:$K$188,MATCH($D$2,$C$173:$K$173,0)),""))</f>
        <v/>
      </c>
      <c r="Z26" s="48" t="str">
        <f>IF(AND(ISNUMBER(Y26),ISNUMBER(X26)),IF(X26&gt;0,Y26/X26,""),"")</f>
        <v/>
      </c>
      <c r="AA26" s="32" t="str">
        <f>IF($B$2="Todos",IF(COUNT($C$258:$K$258)=0,"",SUM($C$258:$K$258)),IFERROR(INDEX($C$258:$K$258,MATCH($D$2,$C$243:$K$243,0)),""))</f>
        <v/>
      </c>
      <c r="AB26" s="32">
        <f>IF($B26="","",IF($B$2="Todos",SUMIFS(BD!$AA$3:$AA$5001,BD!$A$3:$A$5001,$B26),SUMIFS(BD!$AA$3:$AA$5001,BD!$A$3:$A$5001,$B26,BD!$B$3:$B$5001,$D$2)))</f>
        <v>0</v>
      </c>
      <c r="AC26" s="32">
        <f>IF($B26="","",IF($B$2="Todos",SUMIFS(BD!$AB$3:$AB$5001,BD!$A$3:$A$5001,$B26),SUMIFS(BD!$AB$3:$AB$5001,BD!$A$3:$A$5001,$B26,BD!$B$3:$B$5001,$D$2)))</f>
        <v>0</v>
      </c>
      <c r="AD26" s="32">
        <f>IF($B26="","",IF($B$2="Todos",SUMIFS(BD!$AC$3:$AC$5001,BD!$A$3:$A$5001,$B26),SUMIFS(BD!$AC$3:$AC$5001,BD!$A$3:$A$5001,$B26,BD!$B$3:$B$5001,$D$2)))</f>
        <v>0</v>
      </c>
      <c r="AE26" s="32">
        <f>IF($B26="","",IF($B$2="Todos",SUMIFS(BD!$AD$3:$AD$5001,BD!$A$3:$A$5001,$B26),SUMIFS(BD!$AD$3:$AD$5001,BD!$A$3:$A$5001,$B26,BD!$B$3:$B$5001,$D$2)))</f>
        <v>0</v>
      </c>
      <c r="AF26" s="32">
        <f>IF($B26="","",IF($B$2="Todos",SUMIFS(BD!$AE$3:$AE$5001,BD!$A$3:$A$5001,$B26),SUMIFS(BD!$AE$3:$AE$5001,BD!$A$3:$A$5001,$B26,BD!$B$3:$B$5001,$D$2)))</f>
        <v>0</v>
      </c>
      <c r="AG26" s="32">
        <f>IF($B26="","",IF($B$2="Todos",SUMIFS(BD!$AF$3:$AF$5001,BD!$A$3:$A$5001,$B26),SUMIFS(BD!$AF$3:$AF$5001,BD!$A$3:$A$5001,$B26,BD!$B$3:$B$5001,$D$2)))</f>
        <v>0</v>
      </c>
      <c r="AH26" s="32">
        <f>IF($B26="","",IF($B$2="Todos",SUMIFS(BD!$AG$3:$AG$5001,BD!$A$3:$A$5001,$B26),SUMIFS(BD!$AG$3:$AG$5001,BD!$A$3:$A$5001,$B26,BD!$B$3:$B$5001,$D$2)))</f>
        <v>0</v>
      </c>
      <c r="AI26" s="49">
        <f>$B$5</f>
        <v>0.7</v>
      </c>
      <c r="AJ26" s="49">
        <f>$B$6</f>
        <v>0.9</v>
      </c>
    </row>
    <row r="27">
      <c r="A27" s="28">
        <v>16</v>
      </c>
      <c r="B27" s="45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6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32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>
        <f>IF($B27="","",IF($B$2="Todos",SUMIFS(BD!$K$3:$K$5001,BD!$A$3:$A$5001,$B27),SUMIFS(BD!$K$3:$K$5001,BD!$A$3:$A$5001,$B27,BD!$B$3:$B$5001,$D$2)))</f>
        <v>0</v>
      </c>
      <c r="L27" s="32">
        <f>IF($B27="","",IF($B$2="Todos",SUMIFS(BD!$L$3:$L$5001,BD!$A$3:$A$5001,$B27),SUMIFS(BD!$L$3:$L$5001,BD!$A$3:$A$5001,$B27,BD!$B$3:$B$5001,$D$2)))</f>
        <v>0</v>
      </c>
      <c r="M27" s="32">
        <f>IF($B27="","",IF($B$2="Todos",SUMIFS(BD!$M$3:$M$5001,BD!$A$3:$A$5001,$B27),SUMIFS(BD!$M$3:$M$5001,BD!$A$3:$A$5001,$B27,BD!$B$3:$B$5001,$D$2)))</f>
        <v>0</v>
      </c>
      <c r="N27" s="32">
        <f>IF($B27="","",IF($B$2="Todos",SUMIFS(BD!$N$3:$N$5001,BD!$A$3:$A$5001,$B27),SUMIFS(BD!$N$3:$N$5001,BD!$A$3:$A$5001,$B27,BD!$B$3:$B$5001,$D$2)))</f>
        <v>0</v>
      </c>
      <c r="O27" s="32">
        <f>IF($B27="","",IF($B$2="Todos",SUMIFS(BD!$O$3:$O$5001,BD!$A$3:$A$5001,$B27),SUMIFS(BD!$O$3:$O$5001,BD!$A$3:$A$5001,$B27,BD!$B$3:$B$5001,$D$2)))</f>
        <v>0</v>
      </c>
      <c r="P27" s="32">
        <f>IF($B27="","",IF($B$2="Todos",SUMIFS(BD!$P$3:$P$5001,BD!$A$3:$A$5001,$B27),SUMIFS(BD!$P$3:$P$5001,BD!$A$3:$A$5001,$B27,BD!$B$3:$B$5001,$D$2)))</f>
        <v>0</v>
      </c>
      <c r="Q27" s="32">
        <f>IF($B27="","",IF($B$2="Todos",SUMIFS(BD!$Q$3:$Q$5001,BD!$A$3:$A$5001,$B27),SUMIFS(BD!$Q$3:$Q$5001,BD!$A$3:$A$5001,$B27,BD!$B$3:$B$5001,$D$2)))</f>
        <v>0</v>
      </c>
      <c r="R27" s="32">
        <f>IF($B27="","",IF($B$2="Todos",SUMIFS(BD!$R$3:$R$5001,BD!$A$3:$A$5001,$B27),SUMIFS(BD!$R$3:$R$5001,BD!$A$3:$A$5001,$B27,BD!$B$3:$B$5001,$D$2)))</f>
        <v>0</v>
      </c>
      <c r="S27" s="32">
        <f>IF($B27="","",IF($B$2="Todos",SUMIFS(BD!$S$3:$S$5001,BD!$A$3:$A$5001,$B27),SUMIFS(BD!$S$3:$S$5001,BD!$A$3:$A$5001,$B27,BD!$B$3:$B$5001,$D$2)))</f>
        <v>0</v>
      </c>
      <c r="T27" s="46">
        <f>IF($B27="","",IF($B$2="Todos",SUMIFS(BD!$T$3:$T$5001,BD!$A$3:$A$5001,$B27),SUMIFS(BD!$T$3:$T$5001,BD!$A$3:$A$5001,$B27,BD!$B$3:$B$5001,$D$2)))</f>
        <v>0</v>
      </c>
      <c r="U27" s="32">
        <f>IF($B27="","",IF($B$2="Todos",SUMIFS(BD!$U$3:$U$5001,BD!$A$3:$A$5001,$B27),SUMIFS(BD!$U$3:$U$5001,BD!$A$3:$A$5001,$B27,BD!$B$3:$B$5001,$D$2)))</f>
        <v>0</v>
      </c>
      <c r="V27" s="32">
        <f>IF($B27="","",IF($B$2="Todos",SUMIFS(BD!$V$3:$V$5001,BD!$A$3:$A$5001,$B27),SUMIFS(BD!$V$3:$V$5001,BD!$A$3:$A$5001,$B27,BD!$B$3:$B$5001,$D$2)))</f>
        <v>0</v>
      </c>
      <c r="W27" s="32" t="str">
        <f>IF($B$2="Todos",IF(COUNT($C$154:$K$154)=0,"",SUM($C$154:$K$154)),IFERROR(INDEX($C$154:$K$154,MATCH($D$2,$C$138:$K$138,0)),""))</f>
        <v/>
      </c>
      <c r="X27" s="47" t="str">
        <f>IF(Y27="","",IF($B$2="Todos",IF($B$4&gt;0,$B$4,IF($B$2="Todos",IF(COUNT($C$224:$K$224)=0,"",SUM($C$224:$K$224)),IFERROR(INDEX($C$224:$K$224,MATCH($D$2,$C$208:$K$208,0)),""))),IFERROR(INDEX($C$224:$K$224,MATCH($D$2,$C$208:$K$208,0)),"")))</f>
        <v/>
      </c>
      <c r="Y27" s="32" t="str">
        <f>IF($B$2="Todos",IF(COUNT($C$189:$K$189)=0,"",SUM($C$189:$K$189)),IFERROR(INDEX($C$189:$K$189,MATCH($D$2,$C$173:$K$173,0)),""))</f>
        <v/>
      </c>
      <c r="Z27" s="48" t="str">
        <f>IF(AND(ISNUMBER(Y27),ISNUMBER(X27)),IF(X27&gt;0,Y27/X27,""),"")</f>
        <v/>
      </c>
      <c r="AA27" s="32" t="str">
        <f>IF($B$2="Todos",IF(COUNT($C$259:$K$259)=0,"",SUM($C$259:$K$259)),IFERROR(INDEX($C$259:$K$259,MATCH($D$2,$C$243:$K$243,0)),""))</f>
        <v/>
      </c>
      <c r="AB27" s="32">
        <f>IF($B27="","",IF($B$2="Todos",SUMIFS(BD!$AA$3:$AA$5001,BD!$A$3:$A$5001,$B27),SUMIFS(BD!$AA$3:$AA$5001,BD!$A$3:$A$5001,$B27,BD!$B$3:$B$5001,$D$2)))</f>
        <v>0</v>
      </c>
      <c r="AC27" s="32">
        <f>IF($B27="","",IF($B$2="Todos",SUMIFS(BD!$AB$3:$AB$5001,BD!$A$3:$A$5001,$B27),SUMIFS(BD!$AB$3:$AB$5001,BD!$A$3:$A$5001,$B27,BD!$B$3:$B$5001,$D$2)))</f>
        <v>0</v>
      </c>
      <c r="AD27" s="32">
        <f>IF($B27="","",IF($B$2="Todos",SUMIFS(BD!$AC$3:$AC$5001,BD!$A$3:$A$5001,$B27),SUMIFS(BD!$AC$3:$AC$5001,BD!$A$3:$A$5001,$B27,BD!$B$3:$B$5001,$D$2)))</f>
        <v>0</v>
      </c>
      <c r="AE27" s="32">
        <f>IF($B27="","",IF($B$2="Todos",SUMIFS(BD!$AD$3:$AD$5001,BD!$A$3:$A$5001,$B27),SUMIFS(BD!$AD$3:$AD$5001,BD!$A$3:$A$5001,$B27,BD!$B$3:$B$5001,$D$2)))</f>
        <v>0</v>
      </c>
      <c r="AF27" s="32">
        <f>IF($B27="","",IF($B$2="Todos",SUMIFS(BD!$AE$3:$AE$5001,BD!$A$3:$A$5001,$B27),SUMIFS(BD!$AE$3:$AE$5001,BD!$A$3:$A$5001,$B27,BD!$B$3:$B$5001,$D$2)))</f>
        <v>0</v>
      </c>
      <c r="AG27" s="32">
        <f>IF($B27="","",IF($B$2="Todos",SUMIFS(BD!$AF$3:$AF$5001,BD!$A$3:$A$5001,$B27),SUMIFS(BD!$AF$3:$AF$5001,BD!$A$3:$A$5001,$B27,BD!$B$3:$B$5001,$D$2)))</f>
        <v>0</v>
      </c>
      <c r="AH27" s="32">
        <f>IF($B27="","",IF($B$2="Todos",SUMIFS(BD!$AG$3:$AG$5001,BD!$A$3:$A$5001,$B27),SUMIFS(BD!$AG$3:$AG$5001,BD!$A$3:$A$5001,$B27,BD!$B$3:$B$5001,$D$2)))</f>
        <v>0</v>
      </c>
      <c r="AI27" s="49">
        <f>$B$5</f>
        <v>0.7</v>
      </c>
      <c r="AJ27" s="49">
        <f>$B$6</f>
        <v>0.9</v>
      </c>
    </row>
    <row r="28">
      <c r="A28" s="28">
        <v>17</v>
      </c>
      <c r="B28" s="45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6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32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>
        <f>IF($B28="","",IF($B$2="Todos",SUMIFS(BD!$K$3:$K$5001,BD!$A$3:$A$5001,$B28),SUMIFS(BD!$K$3:$K$5001,BD!$A$3:$A$5001,$B28,BD!$B$3:$B$5001,$D$2)))</f>
        <v>0</v>
      </c>
      <c r="L28" s="32">
        <f>IF($B28="","",IF($B$2="Todos",SUMIFS(BD!$L$3:$L$5001,BD!$A$3:$A$5001,$B28),SUMIFS(BD!$L$3:$L$5001,BD!$A$3:$A$5001,$B28,BD!$B$3:$B$5001,$D$2)))</f>
        <v>0</v>
      </c>
      <c r="M28" s="32">
        <f>IF($B28="","",IF($B$2="Todos",SUMIFS(BD!$M$3:$M$5001,BD!$A$3:$A$5001,$B28),SUMIFS(BD!$M$3:$M$5001,BD!$A$3:$A$5001,$B28,BD!$B$3:$B$5001,$D$2)))</f>
        <v>0</v>
      </c>
      <c r="N28" s="32">
        <f>IF($B28="","",IF($B$2="Todos",SUMIFS(BD!$N$3:$N$5001,BD!$A$3:$A$5001,$B28),SUMIFS(BD!$N$3:$N$5001,BD!$A$3:$A$5001,$B28,BD!$B$3:$B$5001,$D$2)))</f>
        <v>0</v>
      </c>
      <c r="O28" s="32">
        <f>IF($B28="","",IF($B$2="Todos",SUMIFS(BD!$O$3:$O$5001,BD!$A$3:$A$5001,$B28),SUMIFS(BD!$O$3:$O$5001,BD!$A$3:$A$5001,$B28,BD!$B$3:$B$5001,$D$2)))</f>
        <v>0</v>
      </c>
      <c r="P28" s="32">
        <f>IF($B28="","",IF($B$2="Todos",SUMIFS(BD!$P$3:$P$5001,BD!$A$3:$A$5001,$B28),SUMIFS(BD!$P$3:$P$5001,BD!$A$3:$A$5001,$B28,BD!$B$3:$B$5001,$D$2)))</f>
        <v>0</v>
      </c>
      <c r="Q28" s="32">
        <f>IF($B28="","",IF($B$2="Todos",SUMIFS(BD!$Q$3:$Q$5001,BD!$A$3:$A$5001,$B28),SUMIFS(BD!$Q$3:$Q$5001,BD!$A$3:$A$5001,$B28,BD!$B$3:$B$5001,$D$2)))</f>
        <v>0</v>
      </c>
      <c r="R28" s="32">
        <f>IF($B28="","",IF($B$2="Todos",SUMIFS(BD!$R$3:$R$5001,BD!$A$3:$A$5001,$B28),SUMIFS(BD!$R$3:$R$5001,BD!$A$3:$A$5001,$B28,BD!$B$3:$B$5001,$D$2)))</f>
        <v>0</v>
      </c>
      <c r="S28" s="32">
        <f>IF($B28="","",IF($B$2="Todos",SUMIFS(BD!$S$3:$S$5001,BD!$A$3:$A$5001,$B28),SUMIFS(BD!$S$3:$S$5001,BD!$A$3:$A$5001,$B28,BD!$B$3:$B$5001,$D$2)))</f>
        <v>0</v>
      </c>
      <c r="T28" s="46">
        <f>IF($B28="","",IF($B$2="Todos",SUMIFS(BD!$T$3:$T$5001,BD!$A$3:$A$5001,$B28),SUMIFS(BD!$T$3:$T$5001,BD!$A$3:$A$5001,$B28,BD!$B$3:$B$5001,$D$2)))</f>
        <v>0</v>
      </c>
      <c r="U28" s="32">
        <f>IF($B28="","",IF($B$2="Todos",SUMIFS(BD!$U$3:$U$5001,BD!$A$3:$A$5001,$B28),SUMIFS(BD!$U$3:$U$5001,BD!$A$3:$A$5001,$B28,BD!$B$3:$B$5001,$D$2)))</f>
        <v>0</v>
      </c>
      <c r="V28" s="32">
        <f>IF($B28="","",IF($B$2="Todos",SUMIFS(BD!$V$3:$V$5001,BD!$A$3:$A$5001,$B28),SUMIFS(BD!$V$3:$V$5001,BD!$A$3:$A$5001,$B28,BD!$B$3:$B$5001,$D$2)))</f>
        <v>0</v>
      </c>
      <c r="W28" s="32" t="str">
        <f>IF($B$2="Todos",IF(COUNT($C$155:$K$155)=0,"",SUM($C$155:$K$155)),IFERROR(INDEX($C$155:$K$155,MATCH($D$2,$C$138:$K$138,0)),""))</f>
        <v/>
      </c>
      <c r="X28" s="47" t="str">
        <f>IF(Y28="","",IF($B$2="Todos",IF($B$4&gt;0,$B$4,IF($B$2="Todos",IF(COUNT($C$225:$K$225)=0,"",SUM($C$225:$K$225)),IFERROR(INDEX($C$225:$K$225,MATCH($D$2,$C$208:$K$208,0)),""))),IFERROR(INDEX($C$225:$K$225,MATCH($D$2,$C$208:$K$208,0)),"")))</f>
        <v/>
      </c>
      <c r="Y28" s="32" t="str">
        <f>IF($B$2="Todos",IF(COUNT($C$190:$K$190)=0,"",SUM($C$190:$K$190)),IFERROR(INDEX($C$190:$K$190,MATCH($D$2,$C$173:$K$173,0)),""))</f>
        <v/>
      </c>
      <c r="Z28" s="48" t="str">
        <f>IF(AND(ISNUMBER(Y28),ISNUMBER(X28)),IF(X28&gt;0,Y28/X28,""),"")</f>
        <v/>
      </c>
      <c r="AA28" s="32" t="str">
        <f>IF($B$2="Todos",IF(COUNT($C$260:$K$260)=0,"",SUM($C$260:$K$260)),IFERROR(INDEX($C$260:$K$260,MATCH($D$2,$C$243:$K$243,0)),""))</f>
        <v/>
      </c>
      <c r="AB28" s="32">
        <f>IF($B28="","",IF($B$2="Todos",SUMIFS(BD!$AA$3:$AA$5001,BD!$A$3:$A$5001,$B28),SUMIFS(BD!$AA$3:$AA$5001,BD!$A$3:$A$5001,$B28,BD!$B$3:$B$5001,$D$2)))</f>
        <v>0</v>
      </c>
      <c r="AC28" s="32">
        <f>IF($B28="","",IF($B$2="Todos",SUMIFS(BD!$AB$3:$AB$5001,BD!$A$3:$A$5001,$B28),SUMIFS(BD!$AB$3:$AB$5001,BD!$A$3:$A$5001,$B28,BD!$B$3:$B$5001,$D$2)))</f>
        <v>0</v>
      </c>
      <c r="AD28" s="32">
        <f>IF($B28="","",IF($B$2="Todos",SUMIFS(BD!$AC$3:$AC$5001,BD!$A$3:$A$5001,$B28),SUMIFS(BD!$AC$3:$AC$5001,BD!$A$3:$A$5001,$B28,BD!$B$3:$B$5001,$D$2)))</f>
        <v>0</v>
      </c>
      <c r="AE28" s="32">
        <f>IF($B28="","",IF($B$2="Todos",SUMIFS(BD!$AD$3:$AD$5001,BD!$A$3:$A$5001,$B28),SUMIFS(BD!$AD$3:$AD$5001,BD!$A$3:$A$5001,$B28,BD!$B$3:$B$5001,$D$2)))</f>
        <v>0</v>
      </c>
      <c r="AF28" s="32">
        <f>IF($B28="","",IF($B$2="Todos",SUMIFS(BD!$AE$3:$AE$5001,BD!$A$3:$A$5001,$B28),SUMIFS(BD!$AE$3:$AE$5001,BD!$A$3:$A$5001,$B28,BD!$B$3:$B$5001,$D$2)))</f>
        <v>0</v>
      </c>
      <c r="AG28" s="32">
        <f>IF($B28="","",IF($B$2="Todos",SUMIFS(BD!$AF$3:$AF$5001,BD!$A$3:$A$5001,$B28),SUMIFS(BD!$AF$3:$AF$5001,BD!$A$3:$A$5001,$B28,BD!$B$3:$B$5001,$D$2)))</f>
        <v>0</v>
      </c>
      <c r="AH28" s="32">
        <f>IF($B28="","",IF($B$2="Todos",SUMIFS(BD!$AG$3:$AG$5001,BD!$A$3:$A$5001,$B28),SUMIFS(BD!$AG$3:$AG$5001,BD!$A$3:$A$5001,$B28,BD!$B$3:$B$5001,$D$2)))</f>
        <v>0</v>
      </c>
      <c r="AI28" s="49">
        <f>$B$5</f>
        <v>0.7</v>
      </c>
      <c r="AJ28" s="49">
        <f>$B$6</f>
        <v>0.9</v>
      </c>
    </row>
    <row r="29">
      <c r="A29" s="28">
        <v>18</v>
      </c>
      <c r="B29" s="45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6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32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>
        <f>IF($B29="","",IF($B$2="Todos",SUMIFS(BD!$K$3:$K$5001,BD!$A$3:$A$5001,$B29),SUMIFS(BD!$K$3:$K$5001,BD!$A$3:$A$5001,$B29,BD!$B$3:$B$5001,$D$2)))</f>
        <v>0</v>
      </c>
      <c r="L29" s="32">
        <f>IF($B29="","",IF($B$2="Todos",SUMIFS(BD!$L$3:$L$5001,BD!$A$3:$A$5001,$B29),SUMIFS(BD!$L$3:$L$5001,BD!$A$3:$A$5001,$B29,BD!$B$3:$B$5001,$D$2)))</f>
        <v>0</v>
      </c>
      <c r="M29" s="32">
        <f>IF($B29="","",IF($B$2="Todos",SUMIFS(BD!$M$3:$M$5001,BD!$A$3:$A$5001,$B29),SUMIFS(BD!$M$3:$M$5001,BD!$A$3:$A$5001,$B29,BD!$B$3:$B$5001,$D$2)))</f>
        <v>0</v>
      </c>
      <c r="N29" s="32">
        <f>IF($B29="","",IF($B$2="Todos",SUMIFS(BD!$N$3:$N$5001,BD!$A$3:$A$5001,$B29),SUMIFS(BD!$N$3:$N$5001,BD!$A$3:$A$5001,$B29,BD!$B$3:$B$5001,$D$2)))</f>
        <v>0</v>
      </c>
      <c r="O29" s="32">
        <f>IF($B29="","",IF($B$2="Todos",SUMIFS(BD!$O$3:$O$5001,BD!$A$3:$A$5001,$B29),SUMIFS(BD!$O$3:$O$5001,BD!$A$3:$A$5001,$B29,BD!$B$3:$B$5001,$D$2)))</f>
        <v>0</v>
      </c>
      <c r="P29" s="32">
        <f>IF($B29="","",IF($B$2="Todos",SUMIFS(BD!$P$3:$P$5001,BD!$A$3:$A$5001,$B29),SUMIFS(BD!$P$3:$P$5001,BD!$A$3:$A$5001,$B29,BD!$B$3:$B$5001,$D$2)))</f>
        <v>0</v>
      </c>
      <c r="Q29" s="32">
        <f>IF($B29="","",IF($B$2="Todos",SUMIFS(BD!$Q$3:$Q$5001,BD!$A$3:$A$5001,$B29),SUMIFS(BD!$Q$3:$Q$5001,BD!$A$3:$A$5001,$B29,BD!$B$3:$B$5001,$D$2)))</f>
        <v>0</v>
      </c>
      <c r="R29" s="32">
        <f>IF($B29="","",IF($B$2="Todos",SUMIFS(BD!$R$3:$R$5001,BD!$A$3:$A$5001,$B29),SUMIFS(BD!$R$3:$R$5001,BD!$A$3:$A$5001,$B29,BD!$B$3:$B$5001,$D$2)))</f>
        <v>0</v>
      </c>
      <c r="S29" s="32">
        <f>IF($B29="","",IF($B$2="Todos",SUMIFS(BD!$S$3:$S$5001,BD!$A$3:$A$5001,$B29),SUMIFS(BD!$S$3:$S$5001,BD!$A$3:$A$5001,$B29,BD!$B$3:$B$5001,$D$2)))</f>
        <v>0</v>
      </c>
      <c r="T29" s="46">
        <f>IF($B29="","",IF($B$2="Todos",SUMIFS(BD!$T$3:$T$5001,BD!$A$3:$A$5001,$B29),SUMIFS(BD!$T$3:$T$5001,BD!$A$3:$A$5001,$B29,BD!$B$3:$B$5001,$D$2)))</f>
        <v>0</v>
      </c>
      <c r="U29" s="32">
        <f>IF($B29="","",IF($B$2="Todos",SUMIFS(BD!$U$3:$U$5001,BD!$A$3:$A$5001,$B29),SUMIFS(BD!$U$3:$U$5001,BD!$A$3:$A$5001,$B29,BD!$B$3:$B$5001,$D$2)))</f>
        <v>0</v>
      </c>
      <c r="V29" s="32">
        <f>IF($B29="","",IF($B$2="Todos",SUMIFS(BD!$V$3:$V$5001,BD!$A$3:$A$5001,$B29),SUMIFS(BD!$V$3:$V$5001,BD!$A$3:$A$5001,$B29,BD!$B$3:$B$5001,$D$2)))</f>
        <v>0</v>
      </c>
      <c r="W29" s="32" t="str">
        <f>IF($B$2="Todos",IF(COUNT($C$156:$K$156)=0,"",SUM($C$156:$K$156)),IFERROR(INDEX($C$156:$K$156,MATCH($D$2,$C$138:$K$138,0)),""))</f>
        <v/>
      </c>
      <c r="X29" s="47" t="str">
        <f>IF(Y29="","",IF($B$2="Todos",IF($B$4&gt;0,$B$4,IF($B$2="Todos",IF(COUNT($C$226:$K$226)=0,"",SUM($C$226:$K$226)),IFERROR(INDEX($C$226:$K$226,MATCH($D$2,$C$208:$K$208,0)),""))),IFERROR(INDEX($C$226:$K$226,MATCH($D$2,$C$208:$K$208,0)),"")))</f>
        <v/>
      </c>
      <c r="Y29" s="32" t="str">
        <f>IF($B$2="Todos",IF(COUNT($C$191:$K$191)=0,"",SUM($C$191:$K$191)),IFERROR(INDEX($C$191:$K$191,MATCH($D$2,$C$173:$K$173,0)),""))</f>
        <v/>
      </c>
      <c r="Z29" s="48" t="str">
        <f>IF(AND(ISNUMBER(Y29),ISNUMBER(X29)),IF(X29&gt;0,Y29/X29,""),"")</f>
        <v/>
      </c>
      <c r="AA29" s="32" t="str">
        <f>IF($B$2="Todos",IF(COUNT($C$261:$K$261)=0,"",SUM($C$261:$K$261)),IFERROR(INDEX($C$261:$K$261,MATCH($D$2,$C$243:$K$243,0)),""))</f>
        <v/>
      </c>
      <c r="AB29" s="32">
        <f>IF($B29="","",IF($B$2="Todos",SUMIFS(BD!$AA$3:$AA$5001,BD!$A$3:$A$5001,$B29),SUMIFS(BD!$AA$3:$AA$5001,BD!$A$3:$A$5001,$B29,BD!$B$3:$B$5001,$D$2)))</f>
        <v>0</v>
      </c>
      <c r="AC29" s="32">
        <f>IF($B29="","",IF($B$2="Todos",SUMIFS(BD!$AB$3:$AB$5001,BD!$A$3:$A$5001,$B29),SUMIFS(BD!$AB$3:$AB$5001,BD!$A$3:$A$5001,$B29,BD!$B$3:$B$5001,$D$2)))</f>
        <v>0</v>
      </c>
      <c r="AD29" s="32">
        <f>IF($B29="","",IF($B$2="Todos",SUMIFS(BD!$AC$3:$AC$5001,BD!$A$3:$A$5001,$B29),SUMIFS(BD!$AC$3:$AC$5001,BD!$A$3:$A$5001,$B29,BD!$B$3:$B$5001,$D$2)))</f>
        <v>0</v>
      </c>
      <c r="AE29" s="32">
        <f>IF($B29="","",IF($B$2="Todos",SUMIFS(BD!$AD$3:$AD$5001,BD!$A$3:$A$5001,$B29),SUMIFS(BD!$AD$3:$AD$5001,BD!$A$3:$A$5001,$B29,BD!$B$3:$B$5001,$D$2)))</f>
        <v>0</v>
      </c>
      <c r="AF29" s="32">
        <f>IF($B29="","",IF($B$2="Todos",SUMIFS(BD!$AE$3:$AE$5001,BD!$A$3:$A$5001,$B29),SUMIFS(BD!$AE$3:$AE$5001,BD!$A$3:$A$5001,$B29,BD!$B$3:$B$5001,$D$2)))</f>
        <v>0</v>
      </c>
      <c r="AG29" s="32">
        <f>IF($B29="","",IF($B$2="Todos",SUMIFS(BD!$AF$3:$AF$5001,BD!$A$3:$A$5001,$B29),SUMIFS(BD!$AF$3:$AF$5001,BD!$A$3:$A$5001,$B29,BD!$B$3:$B$5001,$D$2)))</f>
        <v>0</v>
      </c>
      <c r="AH29" s="32">
        <f>IF($B29="","",IF($B$2="Todos",SUMIFS(BD!$AG$3:$AG$5001,BD!$A$3:$A$5001,$B29),SUMIFS(BD!$AG$3:$AG$5001,BD!$A$3:$A$5001,$B29,BD!$B$3:$B$5001,$D$2)))</f>
        <v>0</v>
      </c>
      <c r="AI29" s="49">
        <f>$B$5</f>
        <v>0.7</v>
      </c>
      <c r="AJ29" s="49">
        <f>$B$6</f>
        <v>0.9</v>
      </c>
    </row>
    <row r="30">
      <c r="A30" s="28">
        <v>19</v>
      </c>
      <c r="B30" s="45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6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32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>
        <f>IF($B30="","",IF($B$2="Todos",SUMIFS(BD!$K$3:$K$5001,BD!$A$3:$A$5001,$B30),SUMIFS(BD!$K$3:$K$5001,BD!$A$3:$A$5001,$B30,BD!$B$3:$B$5001,$D$2)))</f>
        <v>0</v>
      </c>
      <c r="L30" s="32">
        <f>IF($B30="","",IF($B$2="Todos",SUMIFS(BD!$L$3:$L$5001,BD!$A$3:$A$5001,$B30),SUMIFS(BD!$L$3:$L$5001,BD!$A$3:$A$5001,$B30,BD!$B$3:$B$5001,$D$2)))</f>
        <v>0</v>
      </c>
      <c r="M30" s="32">
        <f>IF($B30="","",IF($B$2="Todos",SUMIFS(BD!$M$3:$M$5001,BD!$A$3:$A$5001,$B30),SUMIFS(BD!$M$3:$M$5001,BD!$A$3:$A$5001,$B30,BD!$B$3:$B$5001,$D$2)))</f>
        <v>0</v>
      </c>
      <c r="N30" s="32">
        <f>IF($B30="","",IF($B$2="Todos",SUMIFS(BD!$N$3:$N$5001,BD!$A$3:$A$5001,$B30),SUMIFS(BD!$N$3:$N$5001,BD!$A$3:$A$5001,$B30,BD!$B$3:$B$5001,$D$2)))</f>
        <v>0</v>
      </c>
      <c r="O30" s="32">
        <f>IF($B30="","",IF($B$2="Todos",SUMIFS(BD!$O$3:$O$5001,BD!$A$3:$A$5001,$B30),SUMIFS(BD!$O$3:$O$5001,BD!$A$3:$A$5001,$B30,BD!$B$3:$B$5001,$D$2)))</f>
        <v>0</v>
      </c>
      <c r="P30" s="32">
        <f>IF($B30="","",IF($B$2="Todos",SUMIFS(BD!$P$3:$P$5001,BD!$A$3:$A$5001,$B30),SUMIFS(BD!$P$3:$P$5001,BD!$A$3:$A$5001,$B30,BD!$B$3:$B$5001,$D$2)))</f>
        <v>0</v>
      </c>
      <c r="Q30" s="32">
        <f>IF($B30="","",IF($B$2="Todos",SUMIFS(BD!$Q$3:$Q$5001,BD!$A$3:$A$5001,$B30),SUMIFS(BD!$Q$3:$Q$5001,BD!$A$3:$A$5001,$B30,BD!$B$3:$B$5001,$D$2)))</f>
        <v>0</v>
      </c>
      <c r="R30" s="32">
        <f>IF($B30="","",IF($B$2="Todos",SUMIFS(BD!$R$3:$R$5001,BD!$A$3:$A$5001,$B30),SUMIFS(BD!$R$3:$R$5001,BD!$A$3:$A$5001,$B30,BD!$B$3:$B$5001,$D$2)))</f>
        <v>0</v>
      </c>
      <c r="S30" s="32">
        <f>IF($B30="","",IF($B$2="Todos",SUMIFS(BD!$S$3:$S$5001,BD!$A$3:$A$5001,$B30),SUMIFS(BD!$S$3:$S$5001,BD!$A$3:$A$5001,$B30,BD!$B$3:$B$5001,$D$2)))</f>
        <v>0</v>
      </c>
      <c r="T30" s="46">
        <f>IF($B30="","",IF($B$2="Todos",SUMIFS(BD!$T$3:$T$5001,BD!$A$3:$A$5001,$B30),SUMIFS(BD!$T$3:$T$5001,BD!$A$3:$A$5001,$B30,BD!$B$3:$B$5001,$D$2)))</f>
        <v>0</v>
      </c>
      <c r="U30" s="32">
        <f>IF($B30="","",IF($B$2="Todos",SUMIFS(BD!$U$3:$U$5001,BD!$A$3:$A$5001,$B30),SUMIFS(BD!$U$3:$U$5001,BD!$A$3:$A$5001,$B30,BD!$B$3:$B$5001,$D$2)))</f>
        <v>0</v>
      </c>
      <c r="V30" s="32">
        <f>IF($B30="","",IF($B$2="Todos",SUMIFS(BD!$V$3:$V$5001,BD!$A$3:$A$5001,$B30),SUMIFS(BD!$V$3:$V$5001,BD!$A$3:$A$5001,$B30,BD!$B$3:$B$5001,$D$2)))</f>
        <v>0</v>
      </c>
      <c r="W30" s="32" t="str">
        <f>IF($B$2="Todos",IF(COUNT($C$157:$K$157)=0,"",SUM($C$157:$K$157)),IFERROR(INDEX($C$157:$K$157,MATCH($D$2,$C$138:$K$138,0)),""))</f>
        <v/>
      </c>
      <c r="X30" s="47" t="str">
        <f>IF(Y30="","",IF($B$2="Todos",IF($B$4&gt;0,$B$4,IF($B$2="Todos",IF(COUNT($C$227:$K$227)=0,"",SUM($C$227:$K$227)),IFERROR(INDEX($C$227:$K$227,MATCH($D$2,$C$208:$K$208,0)),""))),IFERROR(INDEX($C$227:$K$227,MATCH($D$2,$C$208:$K$208,0)),"")))</f>
        <v/>
      </c>
      <c r="Y30" s="32" t="str">
        <f>IF($B$2="Todos",IF(COUNT($C$192:$K$192)=0,"",SUM($C$192:$K$192)),IFERROR(INDEX($C$192:$K$192,MATCH($D$2,$C$173:$K$173,0)),""))</f>
        <v/>
      </c>
      <c r="Z30" s="48" t="str">
        <f>IF(AND(ISNUMBER(Y30),ISNUMBER(X30)),IF(X30&gt;0,Y30/X30,""),"")</f>
        <v/>
      </c>
      <c r="AA30" s="32" t="str">
        <f>IF($B$2="Todos",IF(COUNT($C$262:$K$262)=0,"",SUM($C$262:$K$262)),IFERROR(INDEX($C$262:$K$262,MATCH($D$2,$C$243:$K$243,0)),""))</f>
        <v/>
      </c>
      <c r="AB30" s="32">
        <f>IF($B30="","",IF($B$2="Todos",SUMIFS(BD!$AA$3:$AA$5001,BD!$A$3:$A$5001,$B30),SUMIFS(BD!$AA$3:$AA$5001,BD!$A$3:$A$5001,$B30,BD!$B$3:$B$5001,$D$2)))</f>
        <v>0</v>
      </c>
      <c r="AC30" s="32">
        <f>IF($B30="","",IF($B$2="Todos",SUMIFS(BD!$AB$3:$AB$5001,BD!$A$3:$A$5001,$B30),SUMIFS(BD!$AB$3:$AB$5001,BD!$A$3:$A$5001,$B30,BD!$B$3:$B$5001,$D$2)))</f>
        <v>0</v>
      </c>
      <c r="AD30" s="32">
        <f>IF($B30="","",IF($B$2="Todos",SUMIFS(BD!$AC$3:$AC$5001,BD!$A$3:$A$5001,$B30),SUMIFS(BD!$AC$3:$AC$5001,BD!$A$3:$A$5001,$B30,BD!$B$3:$B$5001,$D$2)))</f>
        <v>0</v>
      </c>
      <c r="AE30" s="32">
        <f>IF($B30="","",IF($B$2="Todos",SUMIFS(BD!$AD$3:$AD$5001,BD!$A$3:$A$5001,$B30),SUMIFS(BD!$AD$3:$AD$5001,BD!$A$3:$A$5001,$B30,BD!$B$3:$B$5001,$D$2)))</f>
        <v>0</v>
      </c>
      <c r="AF30" s="32">
        <f>IF($B30="","",IF($B$2="Todos",SUMIFS(BD!$AE$3:$AE$5001,BD!$A$3:$A$5001,$B30),SUMIFS(BD!$AE$3:$AE$5001,BD!$A$3:$A$5001,$B30,BD!$B$3:$B$5001,$D$2)))</f>
        <v>0</v>
      </c>
      <c r="AG30" s="32">
        <f>IF($B30="","",IF($B$2="Todos",SUMIFS(BD!$AF$3:$AF$5001,BD!$A$3:$A$5001,$B30),SUMIFS(BD!$AF$3:$AF$5001,BD!$A$3:$A$5001,$B30,BD!$B$3:$B$5001,$D$2)))</f>
        <v>0</v>
      </c>
      <c r="AH30" s="32">
        <f>IF($B30="","",IF($B$2="Todos",SUMIFS(BD!$AG$3:$AG$5001,BD!$A$3:$A$5001,$B30),SUMIFS(BD!$AG$3:$AG$5001,BD!$A$3:$A$5001,$B30,BD!$B$3:$B$5001,$D$2)))</f>
        <v>0</v>
      </c>
      <c r="AI30" s="49">
        <f>$B$5</f>
        <v>0.7</v>
      </c>
      <c r="AJ30" s="49">
        <f>$B$6</f>
        <v>0.9</v>
      </c>
    </row>
    <row r="31">
      <c r="A31" s="28">
        <v>20</v>
      </c>
      <c r="B31" s="45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6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32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>
        <f>IF($B31="","",IF($B$2="Todos",SUMIFS(BD!$K$3:$K$5001,BD!$A$3:$A$5001,$B31),SUMIFS(BD!$K$3:$K$5001,BD!$A$3:$A$5001,$B31,BD!$B$3:$B$5001,$D$2)))</f>
        <v>0</v>
      </c>
      <c r="L31" s="32">
        <f>IF($B31="","",IF($B$2="Todos",SUMIFS(BD!$L$3:$L$5001,BD!$A$3:$A$5001,$B31),SUMIFS(BD!$L$3:$L$5001,BD!$A$3:$A$5001,$B31,BD!$B$3:$B$5001,$D$2)))</f>
        <v>0</v>
      </c>
      <c r="M31" s="32">
        <f>IF($B31="","",IF($B$2="Todos",SUMIFS(BD!$M$3:$M$5001,BD!$A$3:$A$5001,$B31),SUMIFS(BD!$M$3:$M$5001,BD!$A$3:$A$5001,$B31,BD!$B$3:$B$5001,$D$2)))</f>
        <v>0</v>
      </c>
      <c r="N31" s="32">
        <f>IF($B31="","",IF($B$2="Todos",SUMIFS(BD!$N$3:$N$5001,BD!$A$3:$A$5001,$B31),SUMIFS(BD!$N$3:$N$5001,BD!$A$3:$A$5001,$B31,BD!$B$3:$B$5001,$D$2)))</f>
        <v>0</v>
      </c>
      <c r="O31" s="32">
        <f>IF($B31="","",IF($B$2="Todos",SUMIFS(BD!$O$3:$O$5001,BD!$A$3:$A$5001,$B31),SUMIFS(BD!$O$3:$O$5001,BD!$A$3:$A$5001,$B31,BD!$B$3:$B$5001,$D$2)))</f>
        <v>0</v>
      </c>
      <c r="P31" s="32">
        <f>IF($B31="","",IF($B$2="Todos",SUMIFS(BD!$P$3:$P$5001,BD!$A$3:$A$5001,$B31),SUMIFS(BD!$P$3:$P$5001,BD!$A$3:$A$5001,$B31,BD!$B$3:$B$5001,$D$2)))</f>
        <v>0</v>
      </c>
      <c r="Q31" s="32">
        <f>IF($B31="","",IF($B$2="Todos",SUMIFS(BD!$Q$3:$Q$5001,BD!$A$3:$A$5001,$B31),SUMIFS(BD!$Q$3:$Q$5001,BD!$A$3:$A$5001,$B31,BD!$B$3:$B$5001,$D$2)))</f>
        <v>0</v>
      </c>
      <c r="R31" s="32">
        <f>IF($B31="","",IF($B$2="Todos",SUMIFS(BD!$R$3:$R$5001,BD!$A$3:$A$5001,$B31),SUMIFS(BD!$R$3:$R$5001,BD!$A$3:$A$5001,$B31,BD!$B$3:$B$5001,$D$2)))</f>
        <v>0</v>
      </c>
      <c r="S31" s="32">
        <f>IF($B31="","",IF($B$2="Todos",SUMIFS(BD!$S$3:$S$5001,BD!$A$3:$A$5001,$B31),SUMIFS(BD!$S$3:$S$5001,BD!$A$3:$A$5001,$B31,BD!$B$3:$B$5001,$D$2)))</f>
        <v>0</v>
      </c>
      <c r="T31" s="46">
        <f>IF($B31="","",IF($B$2="Todos",SUMIFS(BD!$T$3:$T$5001,BD!$A$3:$A$5001,$B31),SUMIFS(BD!$T$3:$T$5001,BD!$A$3:$A$5001,$B31,BD!$B$3:$B$5001,$D$2)))</f>
        <v>0</v>
      </c>
      <c r="U31" s="32">
        <f>IF($B31="","",IF($B$2="Todos",SUMIFS(BD!$U$3:$U$5001,BD!$A$3:$A$5001,$B31),SUMIFS(BD!$U$3:$U$5001,BD!$A$3:$A$5001,$B31,BD!$B$3:$B$5001,$D$2)))</f>
        <v>0</v>
      </c>
      <c r="V31" s="32">
        <f>IF($B31="","",IF($B$2="Todos",SUMIFS(BD!$V$3:$V$5001,BD!$A$3:$A$5001,$B31),SUMIFS(BD!$V$3:$V$5001,BD!$A$3:$A$5001,$B31,BD!$B$3:$B$5001,$D$2)))</f>
        <v>0</v>
      </c>
      <c r="W31" s="32" t="str">
        <f>IF($B$2="Todos",IF(COUNT($C$158:$K$158)=0,"",SUM($C$158:$K$158)),IFERROR(INDEX($C$158:$K$158,MATCH($D$2,$C$138:$K$138,0)),""))</f>
        <v/>
      </c>
      <c r="X31" s="47" t="str">
        <f>IF(Y31="","",IF($B$2="Todos",IF($B$4&gt;0,$B$4,IF($B$2="Todos",IF(COUNT($C$228:$K$228)=0,"",SUM($C$228:$K$228)),IFERROR(INDEX($C$228:$K$228,MATCH($D$2,$C$208:$K$208,0)),""))),IFERROR(INDEX($C$228:$K$228,MATCH($D$2,$C$208:$K$208,0)),"")))</f>
        <v/>
      </c>
      <c r="Y31" s="32" t="str">
        <f>IF($B$2="Todos",IF(COUNT($C$193:$K$193)=0,"",SUM($C$193:$K$193)),IFERROR(INDEX($C$193:$K$193,MATCH($D$2,$C$173:$K$173,0)),""))</f>
        <v/>
      </c>
      <c r="Z31" s="48" t="str">
        <f>IF(AND(ISNUMBER(Y31),ISNUMBER(X31)),IF(X31&gt;0,Y31/X31,""),"")</f>
        <v/>
      </c>
      <c r="AA31" s="32" t="str">
        <f>IF($B$2="Todos",IF(COUNT($C$263:$K$263)=0,"",SUM($C$263:$K$263)),IFERROR(INDEX($C$263:$K$263,MATCH($D$2,$C$243:$K$243,0)),""))</f>
        <v/>
      </c>
      <c r="AB31" s="32">
        <f>IF($B31="","",IF($B$2="Todos",SUMIFS(BD!$AA$3:$AA$5001,BD!$A$3:$A$5001,$B31),SUMIFS(BD!$AA$3:$AA$5001,BD!$A$3:$A$5001,$B31,BD!$B$3:$B$5001,$D$2)))</f>
        <v>0</v>
      </c>
      <c r="AC31" s="32">
        <f>IF($B31="","",IF($B$2="Todos",SUMIFS(BD!$AB$3:$AB$5001,BD!$A$3:$A$5001,$B31),SUMIFS(BD!$AB$3:$AB$5001,BD!$A$3:$A$5001,$B31,BD!$B$3:$B$5001,$D$2)))</f>
        <v>0</v>
      </c>
      <c r="AD31" s="32">
        <f>IF($B31="","",IF($B$2="Todos",SUMIFS(BD!$AC$3:$AC$5001,BD!$A$3:$A$5001,$B31),SUMIFS(BD!$AC$3:$AC$5001,BD!$A$3:$A$5001,$B31,BD!$B$3:$B$5001,$D$2)))</f>
        <v>0</v>
      </c>
      <c r="AE31" s="32">
        <f>IF($B31="","",IF($B$2="Todos",SUMIFS(BD!$AD$3:$AD$5001,BD!$A$3:$A$5001,$B31),SUMIFS(BD!$AD$3:$AD$5001,BD!$A$3:$A$5001,$B31,BD!$B$3:$B$5001,$D$2)))</f>
        <v>0</v>
      </c>
      <c r="AF31" s="32">
        <f>IF($B31="","",IF($B$2="Todos",SUMIFS(BD!$AE$3:$AE$5001,BD!$A$3:$A$5001,$B31),SUMIFS(BD!$AE$3:$AE$5001,BD!$A$3:$A$5001,$B31,BD!$B$3:$B$5001,$D$2)))</f>
        <v>0</v>
      </c>
      <c r="AG31" s="32">
        <f>IF($B31="","",IF($B$2="Todos",SUMIFS(BD!$AF$3:$AF$5001,BD!$A$3:$A$5001,$B31),SUMIFS(BD!$AF$3:$AF$5001,BD!$A$3:$A$5001,$B31,BD!$B$3:$B$5001,$D$2)))</f>
        <v>0</v>
      </c>
      <c r="AH31" s="32">
        <f>IF($B31="","",IF($B$2="Todos",SUMIFS(BD!$AG$3:$AG$5001,BD!$A$3:$A$5001,$B31),SUMIFS(BD!$AG$3:$AG$5001,BD!$A$3:$A$5001,$B31,BD!$B$3:$B$5001,$D$2)))</f>
        <v>0</v>
      </c>
      <c r="AI31" s="49">
        <f>$B$5</f>
        <v>0.7</v>
      </c>
      <c r="AJ31" s="49">
        <f>$B$6</f>
        <v>0.9</v>
      </c>
    </row>
    <row r="32">
      <c r="A32" s="28">
        <v>21</v>
      </c>
      <c r="B32" s="45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6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32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>
        <f>IF($B32="","",IF($B$2="Todos",SUMIFS(BD!$K$3:$K$5001,BD!$A$3:$A$5001,$B32),SUMIFS(BD!$K$3:$K$5001,BD!$A$3:$A$5001,$B32,BD!$B$3:$B$5001,$D$2)))</f>
        <v>0</v>
      </c>
      <c r="L32" s="32">
        <f>IF($B32="","",IF($B$2="Todos",SUMIFS(BD!$L$3:$L$5001,BD!$A$3:$A$5001,$B32),SUMIFS(BD!$L$3:$L$5001,BD!$A$3:$A$5001,$B32,BD!$B$3:$B$5001,$D$2)))</f>
        <v>0</v>
      </c>
      <c r="M32" s="32">
        <f>IF($B32="","",IF($B$2="Todos",SUMIFS(BD!$M$3:$M$5001,BD!$A$3:$A$5001,$B32),SUMIFS(BD!$M$3:$M$5001,BD!$A$3:$A$5001,$B32,BD!$B$3:$B$5001,$D$2)))</f>
        <v>0</v>
      </c>
      <c r="N32" s="32">
        <f>IF($B32="","",IF($B$2="Todos",SUMIFS(BD!$N$3:$N$5001,BD!$A$3:$A$5001,$B32),SUMIFS(BD!$N$3:$N$5001,BD!$A$3:$A$5001,$B32,BD!$B$3:$B$5001,$D$2)))</f>
        <v>0</v>
      </c>
      <c r="O32" s="32">
        <f>IF($B32="","",IF($B$2="Todos",SUMIFS(BD!$O$3:$O$5001,BD!$A$3:$A$5001,$B32),SUMIFS(BD!$O$3:$O$5001,BD!$A$3:$A$5001,$B32,BD!$B$3:$B$5001,$D$2)))</f>
        <v>0</v>
      </c>
      <c r="P32" s="32">
        <f>IF($B32="","",IF($B$2="Todos",SUMIFS(BD!$P$3:$P$5001,BD!$A$3:$A$5001,$B32),SUMIFS(BD!$P$3:$P$5001,BD!$A$3:$A$5001,$B32,BD!$B$3:$B$5001,$D$2)))</f>
        <v>0</v>
      </c>
      <c r="Q32" s="32">
        <f>IF($B32="","",IF($B$2="Todos",SUMIFS(BD!$Q$3:$Q$5001,BD!$A$3:$A$5001,$B32),SUMIFS(BD!$Q$3:$Q$5001,BD!$A$3:$A$5001,$B32,BD!$B$3:$B$5001,$D$2)))</f>
        <v>0</v>
      </c>
      <c r="R32" s="32">
        <f>IF($B32="","",IF($B$2="Todos",SUMIFS(BD!$R$3:$R$5001,BD!$A$3:$A$5001,$B32),SUMIFS(BD!$R$3:$R$5001,BD!$A$3:$A$5001,$B32,BD!$B$3:$B$5001,$D$2)))</f>
        <v>0</v>
      </c>
      <c r="S32" s="32">
        <f>IF($B32="","",IF($B$2="Todos",SUMIFS(BD!$S$3:$S$5001,BD!$A$3:$A$5001,$B32),SUMIFS(BD!$S$3:$S$5001,BD!$A$3:$A$5001,$B32,BD!$B$3:$B$5001,$D$2)))</f>
        <v>0</v>
      </c>
      <c r="T32" s="46">
        <f>IF($B32="","",IF($B$2="Todos",SUMIFS(BD!$T$3:$T$5001,BD!$A$3:$A$5001,$B32),SUMIFS(BD!$T$3:$T$5001,BD!$A$3:$A$5001,$B32,BD!$B$3:$B$5001,$D$2)))</f>
        <v>0</v>
      </c>
      <c r="U32" s="32">
        <f>IF($B32="","",IF($B$2="Todos",SUMIFS(BD!$U$3:$U$5001,BD!$A$3:$A$5001,$B32),SUMIFS(BD!$U$3:$U$5001,BD!$A$3:$A$5001,$B32,BD!$B$3:$B$5001,$D$2)))</f>
        <v>0</v>
      </c>
      <c r="V32" s="32">
        <f>IF($B32="","",IF($B$2="Todos",SUMIFS(BD!$V$3:$V$5001,BD!$A$3:$A$5001,$B32),SUMIFS(BD!$V$3:$V$5001,BD!$A$3:$A$5001,$B32,BD!$B$3:$B$5001,$D$2)))</f>
        <v>0</v>
      </c>
      <c r="W32" s="32" t="str">
        <f>IF($B$2="Todos",IF(COUNT($C$159:$K$159)=0,"",SUM($C$159:$K$159)),IFERROR(INDEX($C$159:$K$159,MATCH($D$2,$C$138:$K$138,0)),""))</f>
        <v/>
      </c>
      <c r="X32" s="47" t="str">
        <f>IF(Y32="","",IF($B$2="Todos",IF($B$4&gt;0,$B$4,IF($B$2="Todos",IF(COUNT($C$229:$K$229)=0,"",SUM($C$229:$K$229)),IFERROR(INDEX($C$229:$K$229,MATCH($D$2,$C$208:$K$208,0)),""))),IFERROR(INDEX($C$229:$K$229,MATCH($D$2,$C$208:$K$208,0)),"")))</f>
        <v/>
      </c>
      <c r="Y32" s="32" t="str">
        <f>IF($B$2="Todos",IF(COUNT($C$194:$K$194)=0,"",SUM($C$194:$K$194)),IFERROR(INDEX($C$194:$K$194,MATCH($D$2,$C$173:$K$173,0)),""))</f>
        <v/>
      </c>
      <c r="Z32" s="48" t="str">
        <f>IF(AND(ISNUMBER(Y32),ISNUMBER(X32)),IF(X32&gt;0,Y32/X32,""),"")</f>
        <v/>
      </c>
      <c r="AA32" s="32" t="str">
        <f>IF($B$2="Todos",IF(COUNT($C$264:$K$264)=0,"",SUM($C$264:$K$264)),IFERROR(INDEX($C$264:$K$264,MATCH($D$2,$C$243:$K$243,0)),""))</f>
        <v/>
      </c>
      <c r="AB32" s="32">
        <f>IF($B32="","",IF($B$2="Todos",SUMIFS(BD!$AA$3:$AA$5001,BD!$A$3:$A$5001,$B32),SUMIFS(BD!$AA$3:$AA$5001,BD!$A$3:$A$5001,$B32,BD!$B$3:$B$5001,$D$2)))</f>
        <v>0</v>
      </c>
      <c r="AC32" s="32">
        <f>IF($B32="","",IF($B$2="Todos",SUMIFS(BD!$AB$3:$AB$5001,BD!$A$3:$A$5001,$B32),SUMIFS(BD!$AB$3:$AB$5001,BD!$A$3:$A$5001,$B32,BD!$B$3:$B$5001,$D$2)))</f>
        <v>0</v>
      </c>
      <c r="AD32" s="32">
        <f>IF($B32="","",IF($B$2="Todos",SUMIFS(BD!$AC$3:$AC$5001,BD!$A$3:$A$5001,$B32),SUMIFS(BD!$AC$3:$AC$5001,BD!$A$3:$A$5001,$B32,BD!$B$3:$B$5001,$D$2)))</f>
        <v>0</v>
      </c>
      <c r="AE32" s="32">
        <f>IF($B32="","",IF($B$2="Todos",SUMIFS(BD!$AD$3:$AD$5001,BD!$A$3:$A$5001,$B32),SUMIFS(BD!$AD$3:$AD$5001,BD!$A$3:$A$5001,$B32,BD!$B$3:$B$5001,$D$2)))</f>
        <v>0</v>
      </c>
      <c r="AF32" s="32">
        <f>IF($B32="","",IF($B$2="Todos",SUMIFS(BD!$AE$3:$AE$5001,BD!$A$3:$A$5001,$B32),SUMIFS(BD!$AE$3:$AE$5001,BD!$A$3:$A$5001,$B32,BD!$B$3:$B$5001,$D$2)))</f>
        <v>0</v>
      </c>
      <c r="AG32" s="32">
        <f>IF($B32="","",IF($B$2="Todos",SUMIFS(BD!$AF$3:$AF$5001,BD!$A$3:$A$5001,$B32),SUMIFS(BD!$AF$3:$AF$5001,BD!$A$3:$A$5001,$B32,BD!$B$3:$B$5001,$D$2)))</f>
        <v>0</v>
      </c>
      <c r="AH32" s="32">
        <f>IF($B32="","",IF($B$2="Todos",SUMIFS(BD!$AG$3:$AG$5001,BD!$A$3:$A$5001,$B32),SUMIFS(BD!$AG$3:$AG$5001,BD!$A$3:$A$5001,$B32,BD!$B$3:$B$5001,$D$2)))</f>
        <v>0</v>
      </c>
      <c r="AI32" s="49">
        <f>$B$5</f>
        <v>0.7</v>
      </c>
      <c r="AJ32" s="49">
        <f>$B$6</f>
        <v>0.9</v>
      </c>
    </row>
    <row r="33">
      <c r="A33" s="28">
        <v>22</v>
      </c>
      <c r="B33" s="45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6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32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>
        <f>IF($B33="","",IF($B$2="Todos",SUMIFS(BD!$K$3:$K$5001,BD!$A$3:$A$5001,$B33),SUMIFS(BD!$K$3:$K$5001,BD!$A$3:$A$5001,$B33,BD!$B$3:$B$5001,$D$2)))</f>
        <v>0</v>
      </c>
      <c r="L33" s="32">
        <f>IF($B33="","",IF($B$2="Todos",SUMIFS(BD!$L$3:$L$5001,BD!$A$3:$A$5001,$B33),SUMIFS(BD!$L$3:$L$5001,BD!$A$3:$A$5001,$B33,BD!$B$3:$B$5001,$D$2)))</f>
        <v>0</v>
      </c>
      <c r="M33" s="32">
        <f>IF($B33="","",IF($B$2="Todos",SUMIFS(BD!$M$3:$M$5001,BD!$A$3:$A$5001,$B33),SUMIFS(BD!$M$3:$M$5001,BD!$A$3:$A$5001,$B33,BD!$B$3:$B$5001,$D$2)))</f>
        <v>0</v>
      </c>
      <c r="N33" s="32">
        <f>IF($B33="","",IF($B$2="Todos",SUMIFS(BD!$N$3:$N$5001,BD!$A$3:$A$5001,$B33),SUMIFS(BD!$N$3:$N$5001,BD!$A$3:$A$5001,$B33,BD!$B$3:$B$5001,$D$2)))</f>
        <v>0</v>
      </c>
      <c r="O33" s="32">
        <f>IF($B33="","",IF($B$2="Todos",SUMIFS(BD!$O$3:$O$5001,BD!$A$3:$A$5001,$B33),SUMIFS(BD!$O$3:$O$5001,BD!$A$3:$A$5001,$B33,BD!$B$3:$B$5001,$D$2)))</f>
        <v>0</v>
      </c>
      <c r="P33" s="32">
        <f>IF($B33="","",IF($B$2="Todos",SUMIFS(BD!$P$3:$P$5001,BD!$A$3:$A$5001,$B33),SUMIFS(BD!$P$3:$P$5001,BD!$A$3:$A$5001,$B33,BD!$B$3:$B$5001,$D$2)))</f>
        <v>0</v>
      </c>
      <c r="Q33" s="32">
        <f>IF($B33="","",IF($B$2="Todos",SUMIFS(BD!$Q$3:$Q$5001,BD!$A$3:$A$5001,$B33),SUMIFS(BD!$Q$3:$Q$5001,BD!$A$3:$A$5001,$B33,BD!$B$3:$B$5001,$D$2)))</f>
        <v>0</v>
      </c>
      <c r="R33" s="32">
        <f>IF($B33="","",IF($B$2="Todos",SUMIFS(BD!$R$3:$R$5001,BD!$A$3:$A$5001,$B33),SUMIFS(BD!$R$3:$R$5001,BD!$A$3:$A$5001,$B33,BD!$B$3:$B$5001,$D$2)))</f>
        <v>0</v>
      </c>
      <c r="S33" s="32">
        <f>IF($B33="","",IF($B$2="Todos",SUMIFS(BD!$S$3:$S$5001,BD!$A$3:$A$5001,$B33),SUMIFS(BD!$S$3:$S$5001,BD!$A$3:$A$5001,$B33,BD!$B$3:$B$5001,$D$2)))</f>
        <v>0</v>
      </c>
      <c r="T33" s="46">
        <f>IF($B33="","",IF($B$2="Todos",SUMIFS(BD!$T$3:$T$5001,BD!$A$3:$A$5001,$B33),SUMIFS(BD!$T$3:$T$5001,BD!$A$3:$A$5001,$B33,BD!$B$3:$B$5001,$D$2)))</f>
        <v>0</v>
      </c>
      <c r="U33" s="32">
        <f>IF($B33="","",IF($B$2="Todos",SUMIFS(BD!$U$3:$U$5001,BD!$A$3:$A$5001,$B33),SUMIFS(BD!$U$3:$U$5001,BD!$A$3:$A$5001,$B33,BD!$B$3:$B$5001,$D$2)))</f>
        <v>0</v>
      </c>
      <c r="V33" s="32">
        <f>IF($B33="","",IF($B$2="Todos",SUMIFS(BD!$V$3:$V$5001,BD!$A$3:$A$5001,$B33),SUMIFS(BD!$V$3:$V$5001,BD!$A$3:$A$5001,$B33,BD!$B$3:$B$5001,$D$2)))</f>
        <v>0</v>
      </c>
      <c r="W33" s="32" t="str">
        <f>IF($B$2="Todos",IF(COUNT($C$160:$K$160)=0,"",SUM($C$160:$K$160)),IFERROR(INDEX($C$160:$K$160,MATCH($D$2,$C$138:$K$138,0)),""))</f>
        <v/>
      </c>
      <c r="X33" s="47" t="str">
        <f>IF(Y33="","",IF($B$2="Todos",IF($B$4&gt;0,$B$4,IF($B$2="Todos",IF(COUNT($C$230:$K$230)=0,"",SUM($C$230:$K$230)),IFERROR(INDEX($C$230:$K$230,MATCH($D$2,$C$208:$K$208,0)),""))),IFERROR(INDEX($C$230:$K$230,MATCH($D$2,$C$208:$K$208,0)),"")))</f>
        <v/>
      </c>
      <c r="Y33" s="32" t="str">
        <f>IF($B$2="Todos",IF(COUNT($C$195:$K$195)=0,"",SUM($C$195:$K$195)),IFERROR(INDEX($C$195:$K$195,MATCH($D$2,$C$173:$K$173,0)),""))</f>
        <v/>
      </c>
      <c r="Z33" s="48" t="str">
        <f>IF(AND(ISNUMBER(Y33),ISNUMBER(X33)),IF(X33&gt;0,Y33/X33,""),"")</f>
        <v/>
      </c>
      <c r="AA33" s="32" t="str">
        <f>IF($B$2="Todos",IF(COUNT($C$265:$K$265)=0,"",SUM($C$265:$K$265)),IFERROR(INDEX($C$265:$K$265,MATCH($D$2,$C$243:$K$243,0)),""))</f>
        <v/>
      </c>
      <c r="AB33" s="32">
        <f>IF($B33="","",IF($B$2="Todos",SUMIFS(BD!$AA$3:$AA$5001,BD!$A$3:$A$5001,$B33),SUMIFS(BD!$AA$3:$AA$5001,BD!$A$3:$A$5001,$B33,BD!$B$3:$B$5001,$D$2)))</f>
        <v>0</v>
      </c>
      <c r="AC33" s="32">
        <f>IF($B33="","",IF($B$2="Todos",SUMIFS(BD!$AB$3:$AB$5001,BD!$A$3:$A$5001,$B33),SUMIFS(BD!$AB$3:$AB$5001,BD!$A$3:$A$5001,$B33,BD!$B$3:$B$5001,$D$2)))</f>
        <v>0</v>
      </c>
      <c r="AD33" s="32">
        <f>IF($B33="","",IF($B$2="Todos",SUMIFS(BD!$AC$3:$AC$5001,BD!$A$3:$A$5001,$B33),SUMIFS(BD!$AC$3:$AC$5001,BD!$A$3:$A$5001,$B33,BD!$B$3:$B$5001,$D$2)))</f>
        <v>0</v>
      </c>
      <c r="AE33" s="32">
        <f>IF($B33="","",IF($B$2="Todos",SUMIFS(BD!$AD$3:$AD$5001,BD!$A$3:$A$5001,$B33),SUMIFS(BD!$AD$3:$AD$5001,BD!$A$3:$A$5001,$B33,BD!$B$3:$B$5001,$D$2)))</f>
        <v>0</v>
      </c>
      <c r="AF33" s="32">
        <f>IF($B33="","",IF($B$2="Todos",SUMIFS(BD!$AE$3:$AE$5001,BD!$A$3:$A$5001,$B33),SUMIFS(BD!$AE$3:$AE$5001,BD!$A$3:$A$5001,$B33,BD!$B$3:$B$5001,$D$2)))</f>
        <v>0</v>
      </c>
      <c r="AG33" s="32">
        <f>IF($B33="","",IF($B$2="Todos",SUMIFS(BD!$AF$3:$AF$5001,BD!$A$3:$A$5001,$B33),SUMIFS(BD!$AF$3:$AF$5001,BD!$A$3:$A$5001,$B33,BD!$B$3:$B$5001,$D$2)))</f>
        <v>0</v>
      </c>
      <c r="AH33" s="32">
        <f>IF($B33="","",IF($B$2="Todos",SUMIFS(BD!$AG$3:$AG$5001,BD!$A$3:$A$5001,$B33),SUMIFS(BD!$AG$3:$AG$5001,BD!$A$3:$A$5001,$B33,BD!$B$3:$B$5001,$D$2)))</f>
        <v>0</v>
      </c>
      <c r="AI33" s="49">
        <f>$B$5</f>
        <v>0.7</v>
      </c>
      <c r="AJ33" s="49">
        <f>$B$6</f>
        <v>0.9</v>
      </c>
    </row>
    <row r="34">
      <c r="A34" s="28">
        <v>23</v>
      </c>
      <c r="B34" s="45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6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32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>
        <f>IF($B34="","",IF($B$2="Todos",SUMIFS(BD!$K$3:$K$5001,BD!$A$3:$A$5001,$B34),SUMIFS(BD!$K$3:$K$5001,BD!$A$3:$A$5001,$B34,BD!$B$3:$B$5001,$D$2)))</f>
        <v>0</v>
      </c>
      <c r="L34" s="32">
        <f>IF($B34="","",IF($B$2="Todos",SUMIFS(BD!$L$3:$L$5001,BD!$A$3:$A$5001,$B34),SUMIFS(BD!$L$3:$L$5001,BD!$A$3:$A$5001,$B34,BD!$B$3:$B$5001,$D$2)))</f>
        <v>0</v>
      </c>
      <c r="M34" s="32">
        <f>IF($B34="","",IF($B$2="Todos",SUMIFS(BD!$M$3:$M$5001,BD!$A$3:$A$5001,$B34),SUMIFS(BD!$M$3:$M$5001,BD!$A$3:$A$5001,$B34,BD!$B$3:$B$5001,$D$2)))</f>
        <v>0</v>
      </c>
      <c r="N34" s="32">
        <f>IF($B34="","",IF($B$2="Todos",SUMIFS(BD!$N$3:$N$5001,BD!$A$3:$A$5001,$B34),SUMIFS(BD!$N$3:$N$5001,BD!$A$3:$A$5001,$B34,BD!$B$3:$B$5001,$D$2)))</f>
        <v>0</v>
      </c>
      <c r="O34" s="32">
        <f>IF($B34="","",IF($B$2="Todos",SUMIFS(BD!$O$3:$O$5001,BD!$A$3:$A$5001,$B34),SUMIFS(BD!$O$3:$O$5001,BD!$A$3:$A$5001,$B34,BD!$B$3:$B$5001,$D$2)))</f>
        <v>0</v>
      </c>
      <c r="P34" s="32">
        <f>IF($B34="","",IF($B$2="Todos",SUMIFS(BD!$P$3:$P$5001,BD!$A$3:$A$5001,$B34),SUMIFS(BD!$P$3:$P$5001,BD!$A$3:$A$5001,$B34,BD!$B$3:$B$5001,$D$2)))</f>
        <v>0</v>
      </c>
      <c r="Q34" s="32">
        <f>IF($B34="","",IF($B$2="Todos",SUMIFS(BD!$Q$3:$Q$5001,BD!$A$3:$A$5001,$B34),SUMIFS(BD!$Q$3:$Q$5001,BD!$A$3:$A$5001,$B34,BD!$B$3:$B$5001,$D$2)))</f>
        <v>0</v>
      </c>
      <c r="R34" s="32">
        <f>IF($B34="","",IF($B$2="Todos",SUMIFS(BD!$R$3:$R$5001,BD!$A$3:$A$5001,$B34),SUMIFS(BD!$R$3:$R$5001,BD!$A$3:$A$5001,$B34,BD!$B$3:$B$5001,$D$2)))</f>
        <v>0</v>
      </c>
      <c r="S34" s="32">
        <f>IF($B34="","",IF($B$2="Todos",SUMIFS(BD!$S$3:$S$5001,BD!$A$3:$A$5001,$B34),SUMIFS(BD!$S$3:$S$5001,BD!$A$3:$A$5001,$B34,BD!$B$3:$B$5001,$D$2)))</f>
        <v>0</v>
      </c>
      <c r="T34" s="46">
        <f>IF($B34="","",IF($B$2="Todos",SUMIFS(BD!$T$3:$T$5001,BD!$A$3:$A$5001,$B34),SUMIFS(BD!$T$3:$T$5001,BD!$A$3:$A$5001,$B34,BD!$B$3:$B$5001,$D$2)))</f>
        <v>0</v>
      </c>
      <c r="U34" s="32">
        <f>IF($B34="","",IF($B$2="Todos",SUMIFS(BD!$U$3:$U$5001,BD!$A$3:$A$5001,$B34),SUMIFS(BD!$U$3:$U$5001,BD!$A$3:$A$5001,$B34,BD!$B$3:$B$5001,$D$2)))</f>
        <v>0</v>
      </c>
      <c r="V34" s="32">
        <f>IF($B34="","",IF($B$2="Todos",SUMIFS(BD!$V$3:$V$5001,BD!$A$3:$A$5001,$B34),SUMIFS(BD!$V$3:$V$5001,BD!$A$3:$A$5001,$B34,BD!$B$3:$B$5001,$D$2)))</f>
        <v>0</v>
      </c>
      <c r="W34" s="32" t="str">
        <f>IF($B$2="Todos",IF(COUNT($C$161:$K$161)=0,"",SUM($C$161:$K$161)),IFERROR(INDEX($C$161:$K$161,MATCH($D$2,$C$138:$K$138,0)),""))</f>
        <v/>
      </c>
      <c r="X34" s="47" t="str">
        <f>IF(Y34="","",IF($B$2="Todos",IF($B$4&gt;0,$B$4,IF($B$2="Todos",IF(COUNT($C$231:$K$231)=0,"",SUM($C$231:$K$231)),IFERROR(INDEX($C$231:$K$231,MATCH($D$2,$C$208:$K$208,0)),""))),IFERROR(INDEX($C$231:$K$231,MATCH($D$2,$C$208:$K$208,0)),"")))</f>
        <v/>
      </c>
      <c r="Y34" s="32" t="str">
        <f>IF($B$2="Todos",IF(COUNT($C$196:$K$196)=0,"",SUM($C$196:$K$196)),IFERROR(INDEX($C$196:$K$196,MATCH($D$2,$C$173:$K$173,0)),""))</f>
        <v/>
      </c>
      <c r="Z34" s="48" t="str">
        <f>IF(AND(ISNUMBER(Y34),ISNUMBER(X34)),IF(X34&gt;0,Y34/X34,""),"")</f>
        <v/>
      </c>
      <c r="AA34" s="32" t="str">
        <f>IF($B$2="Todos",IF(COUNT($C$266:$K$266)=0,"",SUM($C$266:$K$266)),IFERROR(INDEX($C$266:$K$266,MATCH($D$2,$C$243:$K$243,0)),""))</f>
        <v/>
      </c>
      <c r="AB34" s="32">
        <f>IF($B34="","",IF($B$2="Todos",SUMIFS(BD!$AA$3:$AA$5001,BD!$A$3:$A$5001,$B34),SUMIFS(BD!$AA$3:$AA$5001,BD!$A$3:$A$5001,$B34,BD!$B$3:$B$5001,$D$2)))</f>
        <v>0</v>
      </c>
      <c r="AC34" s="32">
        <f>IF($B34="","",IF($B$2="Todos",SUMIFS(BD!$AB$3:$AB$5001,BD!$A$3:$A$5001,$B34),SUMIFS(BD!$AB$3:$AB$5001,BD!$A$3:$A$5001,$B34,BD!$B$3:$B$5001,$D$2)))</f>
        <v>0</v>
      </c>
      <c r="AD34" s="32">
        <f>IF($B34="","",IF($B$2="Todos",SUMIFS(BD!$AC$3:$AC$5001,BD!$A$3:$A$5001,$B34),SUMIFS(BD!$AC$3:$AC$5001,BD!$A$3:$A$5001,$B34,BD!$B$3:$B$5001,$D$2)))</f>
        <v>0</v>
      </c>
      <c r="AE34" s="32">
        <f>IF($B34="","",IF($B$2="Todos",SUMIFS(BD!$AD$3:$AD$5001,BD!$A$3:$A$5001,$B34),SUMIFS(BD!$AD$3:$AD$5001,BD!$A$3:$A$5001,$B34,BD!$B$3:$B$5001,$D$2)))</f>
        <v>0</v>
      </c>
      <c r="AF34" s="32">
        <f>IF($B34="","",IF($B$2="Todos",SUMIFS(BD!$AE$3:$AE$5001,BD!$A$3:$A$5001,$B34),SUMIFS(BD!$AE$3:$AE$5001,BD!$A$3:$A$5001,$B34,BD!$B$3:$B$5001,$D$2)))</f>
        <v>0</v>
      </c>
      <c r="AG34" s="32">
        <f>IF($B34="","",IF($B$2="Todos",SUMIFS(BD!$AF$3:$AF$5001,BD!$A$3:$A$5001,$B34),SUMIFS(BD!$AF$3:$AF$5001,BD!$A$3:$A$5001,$B34,BD!$B$3:$B$5001,$D$2)))</f>
        <v>0</v>
      </c>
      <c r="AH34" s="32">
        <f>IF($B34="","",IF($B$2="Todos",SUMIFS(BD!$AG$3:$AG$5001,BD!$A$3:$A$5001,$B34),SUMIFS(BD!$AG$3:$AG$5001,BD!$A$3:$A$5001,$B34,BD!$B$3:$B$5001,$D$2)))</f>
        <v>0</v>
      </c>
      <c r="AI34" s="49">
        <f>$B$5</f>
        <v>0.7</v>
      </c>
      <c r="AJ34" s="49">
        <f>$B$6</f>
        <v>0.9</v>
      </c>
    </row>
    <row r="35">
      <c r="A35" s="28">
        <v>24</v>
      </c>
      <c r="B35" s="45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6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32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>
        <f>IF($B35="","",IF($B$2="Todos",SUMIFS(BD!$K$3:$K$5001,BD!$A$3:$A$5001,$B35),SUMIFS(BD!$K$3:$K$5001,BD!$A$3:$A$5001,$B35,BD!$B$3:$B$5001,$D$2)))</f>
        <v>0</v>
      </c>
      <c r="L35" s="32">
        <f>IF($B35="","",IF($B$2="Todos",SUMIFS(BD!$L$3:$L$5001,BD!$A$3:$A$5001,$B35),SUMIFS(BD!$L$3:$L$5001,BD!$A$3:$A$5001,$B35,BD!$B$3:$B$5001,$D$2)))</f>
        <v>0</v>
      </c>
      <c r="M35" s="32">
        <f>IF($B35="","",IF($B$2="Todos",SUMIFS(BD!$M$3:$M$5001,BD!$A$3:$A$5001,$B35),SUMIFS(BD!$M$3:$M$5001,BD!$A$3:$A$5001,$B35,BD!$B$3:$B$5001,$D$2)))</f>
        <v>0</v>
      </c>
      <c r="N35" s="32">
        <f>IF($B35="","",IF($B$2="Todos",SUMIFS(BD!$N$3:$N$5001,BD!$A$3:$A$5001,$B35),SUMIFS(BD!$N$3:$N$5001,BD!$A$3:$A$5001,$B35,BD!$B$3:$B$5001,$D$2)))</f>
        <v>0</v>
      </c>
      <c r="O35" s="32">
        <f>IF($B35="","",IF($B$2="Todos",SUMIFS(BD!$O$3:$O$5001,BD!$A$3:$A$5001,$B35),SUMIFS(BD!$O$3:$O$5001,BD!$A$3:$A$5001,$B35,BD!$B$3:$B$5001,$D$2)))</f>
        <v>0</v>
      </c>
      <c r="P35" s="32">
        <f>IF($B35="","",IF($B$2="Todos",SUMIFS(BD!$P$3:$P$5001,BD!$A$3:$A$5001,$B35),SUMIFS(BD!$P$3:$P$5001,BD!$A$3:$A$5001,$B35,BD!$B$3:$B$5001,$D$2)))</f>
        <v>0</v>
      </c>
      <c r="Q35" s="32">
        <f>IF($B35="","",IF($B$2="Todos",SUMIFS(BD!$Q$3:$Q$5001,BD!$A$3:$A$5001,$B35),SUMIFS(BD!$Q$3:$Q$5001,BD!$A$3:$A$5001,$B35,BD!$B$3:$B$5001,$D$2)))</f>
        <v>0</v>
      </c>
      <c r="R35" s="32">
        <f>IF($B35="","",IF($B$2="Todos",SUMIFS(BD!$R$3:$R$5001,BD!$A$3:$A$5001,$B35),SUMIFS(BD!$R$3:$R$5001,BD!$A$3:$A$5001,$B35,BD!$B$3:$B$5001,$D$2)))</f>
        <v>0</v>
      </c>
      <c r="S35" s="32">
        <f>IF($B35="","",IF($B$2="Todos",SUMIFS(BD!$S$3:$S$5001,BD!$A$3:$A$5001,$B35),SUMIFS(BD!$S$3:$S$5001,BD!$A$3:$A$5001,$B35,BD!$B$3:$B$5001,$D$2)))</f>
        <v>0</v>
      </c>
      <c r="T35" s="46">
        <f>IF($B35="","",IF($B$2="Todos",SUMIFS(BD!$T$3:$T$5001,BD!$A$3:$A$5001,$B35),SUMIFS(BD!$T$3:$T$5001,BD!$A$3:$A$5001,$B35,BD!$B$3:$B$5001,$D$2)))</f>
        <v>0</v>
      </c>
      <c r="U35" s="32">
        <f>IF($B35="","",IF($B$2="Todos",SUMIFS(BD!$U$3:$U$5001,BD!$A$3:$A$5001,$B35),SUMIFS(BD!$U$3:$U$5001,BD!$A$3:$A$5001,$B35,BD!$B$3:$B$5001,$D$2)))</f>
        <v>0</v>
      </c>
      <c r="V35" s="32">
        <f>IF($B35="","",IF($B$2="Todos",SUMIFS(BD!$V$3:$V$5001,BD!$A$3:$A$5001,$B35),SUMIFS(BD!$V$3:$V$5001,BD!$A$3:$A$5001,$B35,BD!$B$3:$B$5001,$D$2)))</f>
        <v>0</v>
      </c>
      <c r="W35" s="32" t="str">
        <f>IF($B$2="Todos",IF(COUNT($C$162:$K$162)=0,"",SUM($C$162:$K$162)),IFERROR(INDEX($C$162:$K$162,MATCH($D$2,$C$138:$K$138,0)),""))</f>
        <v/>
      </c>
      <c r="X35" s="47" t="str">
        <f>IF(Y35="","",IF($B$2="Todos",IF($B$4&gt;0,$B$4,IF($B$2="Todos",IF(COUNT($C$232:$K$232)=0,"",SUM($C$232:$K$232)),IFERROR(INDEX($C$232:$K$232,MATCH($D$2,$C$208:$K$208,0)),""))),IFERROR(INDEX($C$232:$K$232,MATCH($D$2,$C$208:$K$208,0)),"")))</f>
        <v/>
      </c>
      <c r="Y35" s="32" t="str">
        <f>IF($B$2="Todos",IF(COUNT($C$197:$K$197)=0,"",SUM($C$197:$K$197)),IFERROR(INDEX($C$197:$K$197,MATCH($D$2,$C$173:$K$173,0)),""))</f>
        <v/>
      </c>
      <c r="Z35" s="48" t="str">
        <f>IF(AND(ISNUMBER(Y35),ISNUMBER(X35)),IF(X35&gt;0,Y35/X35,""),"")</f>
        <v/>
      </c>
      <c r="AA35" s="32" t="str">
        <f>IF($B$2="Todos",IF(COUNT($C$267:$K$267)=0,"",SUM($C$267:$K$267)),IFERROR(INDEX($C$267:$K$267,MATCH($D$2,$C$243:$K$243,0)),""))</f>
        <v/>
      </c>
      <c r="AB35" s="32">
        <f>IF($B35="","",IF($B$2="Todos",SUMIFS(BD!$AA$3:$AA$5001,BD!$A$3:$A$5001,$B35),SUMIFS(BD!$AA$3:$AA$5001,BD!$A$3:$A$5001,$B35,BD!$B$3:$B$5001,$D$2)))</f>
        <v>0</v>
      </c>
      <c r="AC35" s="32">
        <f>IF($B35="","",IF($B$2="Todos",SUMIFS(BD!$AB$3:$AB$5001,BD!$A$3:$A$5001,$B35),SUMIFS(BD!$AB$3:$AB$5001,BD!$A$3:$A$5001,$B35,BD!$B$3:$B$5001,$D$2)))</f>
        <v>0</v>
      </c>
      <c r="AD35" s="32">
        <f>IF($B35="","",IF($B$2="Todos",SUMIFS(BD!$AC$3:$AC$5001,BD!$A$3:$A$5001,$B35),SUMIFS(BD!$AC$3:$AC$5001,BD!$A$3:$A$5001,$B35,BD!$B$3:$B$5001,$D$2)))</f>
        <v>0</v>
      </c>
      <c r="AE35" s="32">
        <f>IF($B35="","",IF($B$2="Todos",SUMIFS(BD!$AD$3:$AD$5001,BD!$A$3:$A$5001,$B35),SUMIFS(BD!$AD$3:$AD$5001,BD!$A$3:$A$5001,$B35,BD!$B$3:$B$5001,$D$2)))</f>
        <v>0</v>
      </c>
      <c r="AF35" s="32">
        <f>IF($B35="","",IF($B$2="Todos",SUMIFS(BD!$AE$3:$AE$5001,BD!$A$3:$A$5001,$B35),SUMIFS(BD!$AE$3:$AE$5001,BD!$A$3:$A$5001,$B35,BD!$B$3:$B$5001,$D$2)))</f>
        <v>0</v>
      </c>
      <c r="AG35" s="32">
        <f>IF($B35="","",IF($B$2="Todos",SUMIFS(BD!$AF$3:$AF$5001,BD!$A$3:$A$5001,$B35),SUMIFS(BD!$AF$3:$AF$5001,BD!$A$3:$A$5001,$B35,BD!$B$3:$B$5001,$D$2)))</f>
        <v>0</v>
      </c>
      <c r="AH35" s="32">
        <f>IF($B35="","",IF($B$2="Todos",SUMIFS(BD!$AG$3:$AG$5001,BD!$A$3:$A$5001,$B35),SUMIFS(BD!$AG$3:$AG$5001,BD!$A$3:$A$5001,$B35,BD!$B$3:$B$5001,$D$2)))</f>
        <v>0</v>
      </c>
      <c r="AI35" s="49">
        <f>$B$5</f>
        <v>0.7</v>
      </c>
      <c r="AJ35" s="49">
        <f>$B$6</f>
        <v>0.9</v>
      </c>
    </row>
    <row r="36">
      <c r="A36" s="28">
        <v>25</v>
      </c>
      <c r="B36" s="45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6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32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>
        <f>IF($B36="","",IF($B$2="Todos",SUMIFS(BD!$K$3:$K$5001,BD!$A$3:$A$5001,$B36),SUMIFS(BD!$K$3:$K$5001,BD!$A$3:$A$5001,$B36,BD!$B$3:$B$5001,$D$2)))</f>
        <v>0</v>
      </c>
      <c r="L36" s="32">
        <f>IF($B36="","",IF($B$2="Todos",SUMIFS(BD!$L$3:$L$5001,BD!$A$3:$A$5001,$B36),SUMIFS(BD!$L$3:$L$5001,BD!$A$3:$A$5001,$B36,BD!$B$3:$B$5001,$D$2)))</f>
        <v>0</v>
      </c>
      <c r="M36" s="32">
        <f>IF($B36="","",IF($B$2="Todos",SUMIFS(BD!$M$3:$M$5001,BD!$A$3:$A$5001,$B36),SUMIFS(BD!$M$3:$M$5001,BD!$A$3:$A$5001,$B36,BD!$B$3:$B$5001,$D$2)))</f>
        <v>0</v>
      </c>
      <c r="N36" s="32">
        <f>IF($B36="","",IF($B$2="Todos",SUMIFS(BD!$N$3:$N$5001,BD!$A$3:$A$5001,$B36),SUMIFS(BD!$N$3:$N$5001,BD!$A$3:$A$5001,$B36,BD!$B$3:$B$5001,$D$2)))</f>
        <v>0</v>
      </c>
      <c r="O36" s="32">
        <f>IF($B36="","",IF($B$2="Todos",SUMIFS(BD!$O$3:$O$5001,BD!$A$3:$A$5001,$B36),SUMIFS(BD!$O$3:$O$5001,BD!$A$3:$A$5001,$B36,BD!$B$3:$B$5001,$D$2)))</f>
        <v>0</v>
      </c>
      <c r="P36" s="32">
        <f>IF($B36="","",IF($B$2="Todos",SUMIFS(BD!$P$3:$P$5001,BD!$A$3:$A$5001,$B36),SUMIFS(BD!$P$3:$P$5001,BD!$A$3:$A$5001,$B36,BD!$B$3:$B$5001,$D$2)))</f>
        <v>0</v>
      </c>
      <c r="Q36" s="32">
        <f>IF($B36="","",IF($B$2="Todos",SUMIFS(BD!$Q$3:$Q$5001,BD!$A$3:$A$5001,$B36),SUMIFS(BD!$Q$3:$Q$5001,BD!$A$3:$A$5001,$B36,BD!$B$3:$B$5001,$D$2)))</f>
        <v>0</v>
      </c>
      <c r="R36" s="32">
        <f>IF($B36="","",IF($B$2="Todos",SUMIFS(BD!$R$3:$R$5001,BD!$A$3:$A$5001,$B36),SUMIFS(BD!$R$3:$R$5001,BD!$A$3:$A$5001,$B36,BD!$B$3:$B$5001,$D$2)))</f>
        <v>0</v>
      </c>
      <c r="S36" s="32">
        <f>IF($B36="","",IF($B$2="Todos",SUMIFS(BD!$S$3:$S$5001,BD!$A$3:$A$5001,$B36),SUMIFS(BD!$S$3:$S$5001,BD!$A$3:$A$5001,$B36,BD!$B$3:$B$5001,$D$2)))</f>
        <v>0</v>
      </c>
      <c r="T36" s="46">
        <f>IF($B36="","",IF($B$2="Todos",SUMIFS(BD!$T$3:$T$5001,BD!$A$3:$A$5001,$B36),SUMIFS(BD!$T$3:$T$5001,BD!$A$3:$A$5001,$B36,BD!$B$3:$B$5001,$D$2)))</f>
        <v>0</v>
      </c>
      <c r="U36" s="32">
        <f>IF($B36="","",IF($B$2="Todos",SUMIFS(BD!$U$3:$U$5001,BD!$A$3:$A$5001,$B36),SUMIFS(BD!$U$3:$U$5001,BD!$A$3:$A$5001,$B36,BD!$B$3:$B$5001,$D$2)))</f>
        <v>0</v>
      </c>
      <c r="V36" s="32">
        <f>IF($B36="","",IF($B$2="Todos",SUMIFS(BD!$V$3:$V$5001,BD!$A$3:$A$5001,$B36),SUMIFS(BD!$V$3:$V$5001,BD!$A$3:$A$5001,$B36,BD!$B$3:$B$5001,$D$2)))</f>
        <v>0</v>
      </c>
      <c r="W36" s="32" t="str">
        <f>IF($B$2="Todos",IF(COUNT($C$163:$K$163)=0,"",SUM($C$163:$K$163)),IFERROR(INDEX($C$163:$K$163,MATCH($D$2,$C$138:$K$138,0)),""))</f>
        <v/>
      </c>
      <c r="X36" s="47" t="str">
        <f>IF(Y36="","",IF($B$2="Todos",IF($B$4&gt;0,$B$4,IF($B$2="Todos",IF(COUNT($C$233:$K$233)=0,"",SUM($C$233:$K$233)),IFERROR(INDEX($C$233:$K$233,MATCH($D$2,$C$208:$K$208,0)),""))),IFERROR(INDEX($C$233:$K$233,MATCH($D$2,$C$208:$K$208,0)),"")))</f>
        <v/>
      </c>
      <c r="Y36" s="32" t="str">
        <f>IF($B$2="Todos",IF(COUNT($C$198:$K$198)=0,"",SUM($C$198:$K$198)),IFERROR(INDEX($C$198:$K$198,MATCH($D$2,$C$173:$K$173,0)),""))</f>
        <v/>
      </c>
      <c r="Z36" s="48" t="str">
        <f>IF(AND(ISNUMBER(Y36),ISNUMBER(X36)),IF(X36&gt;0,Y36/X36,""),"")</f>
        <v/>
      </c>
      <c r="AA36" s="32" t="str">
        <f>IF($B$2="Todos",IF(COUNT($C$268:$K$268)=0,"",SUM($C$268:$K$268)),IFERROR(INDEX($C$268:$K$268,MATCH($D$2,$C$243:$K$243,0)),""))</f>
        <v/>
      </c>
      <c r="AB36" s="32">
        <f>IF($B36="","",IF($B$2="Todos",SUMIFS(BD!$AA$3:$AA$5001,BD!$A$3:$A$5001,$B36),SUMIFS(BD!$AA$3:$AA$5001,BD!$A$3:$A$5001,$B36,BD!$B$3:$B$5001,$D$2)))</f>
        <v>0</v>
      </c>
      <c r="AC36" s="32">
        <f>IF($B36="","",IF($B$2="Todos",SUMIFS(BD!$AB$3:$AB$5001,BD!$A$3:$A$5001,$B36),SUMIFS(BD!$AB$3:$AB$5001,BD!$A$3:$A$5001,$B36,BD!$B$3:$B$5001,$D$2)))</f>
        <v>0</v>
      </c>
      <c r="AD36" s="32">
        <f>IF($B36="","",IF($B$2="Todos",SUMIFS(BD!$AC$3:$AC$5001,BD!$A$3:$A$5001,$B36),SUMIFS(BD!$AC$3:$AC$5001,BD!$A$3:$A$5001,$B36,BD!$B$3:$B$5001,$D$2)))</f>
        <v>0</v>
      </c>
      <c r="AE36" s="32">
        <f>IF($B36="","",IF($B$2="Todos",SUMIFS(BD!$AD$3:$AD$5001,BD!$A$3:$A$5001,$B36),SUMIFS(BD!$AD$3:$AD$5001,BD!$A$3:$A$5001,$B36,BD!$B$3:$B$5001,$D$2)))</f>
        <v>0</v>
      </c>
      <c r="AF36" s="32">
        <f>IF($B36="","",IF($B$2="Todos",SUMIFS(BD!$AE$3:$AE$5001,BD!$A$3:$A$5001,$B36),SUMIFS(BD!$AE$3:$AE$5001,BD!$A$3:$A$5001,$B36,BD!$B$3:$B$5001,$D$2)))</f>
        <v>0</v>
      </c>
      <c r="AG36" s="32">
        <f>IF($B36="","",IF($B$2="Todos",SUMIFS(BD!$AF$3:$AF$5001,BD!$A$3:$A$5001,$B36),SUMIFS(BD!$AF$3:$AF$5001,BD!$A$3:$A$5001,$B36,BD!$B$3:$B$5001,$D$2)))</f>
        <v>0</v>
      </c>
      <c r="AH36" s="32">
        <f>IF($B36="","",IF($B$2="Todos",SUMIFS(BD!$AG$3:$AG$5001,BD!$A$3:$A$5001,$B36),SUMIFS(BD!$AG$3:$AG$5001,BD!$A$3:$A$5001,$B36,BD!$B$3:$B$5001,$D$2)))</f>
        <v>0</v>
      </c>
      <c r="AI36" s="49">
        <f>$B$5</f>
        <v>0.7</v>
      </c>
      <c r="AJ36" s="49">
        <f>$B$6</f>
        <v>0.9</v>
      </c>
    </row>
    <row r="37">
      <c r="A37" s="28">
        <v>26</v>
      </c>
      <c r="B37" s="45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6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32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>
        <f>IF($B37="","",IF($B$2="Todos",SUMIFS(BD!$K$3:$K$5001,BD!$A$3:$A$5001,$B37),SUMIFS(BD!$K$3:$K$5001,BD!$A$3:$A$5001,$B37,BD!$B$3:$B$5001,$D$2)))</f>
        <v>0</v>
      </c>
      <c r="L37" s="32">
        <f>IF($B37="","",IF($B$2="Todos",SUMIFS(BD!$L$3:$L$5001,BD!$A$3:$A$5001,$B37),SUMIFS(BD!$L$3:$L$5001,BD!$A$3:$A$5001,$B37,BD!$B$3:$B$5001,$D$2)))</f>
        <v>0</v>
      </c>
      <c r="M37" s="32">
        <f>IF($B37="","",IF($B$2="Todos",SUMIFS(BD!$M$3:$M$5001,BD!$A$3:$A$5001,$B37),SUMIFS(BD!$M$3:$M$5001,BD!$A$3:$A$5001,$B37,BD!$B$3:$B$5001,$D$2)))</f>
        <v>0</v>
      </c>
      <c r="N37" s="32">
        <f>IF($B37="","",IF($B$2="Todos",SUMIFS(BD!$N$3:$N$5001,BD!$A$3:$A$5001,$B37),SUMIFS(BD!$N$3:$N$5001,BD!$A$3:$A$5001,$B37,BD!$B$3:$B$5001,$D$2)))</f>
        <v>0</v>
      </c>
      <c r="O37" s="32">
        <f>IF($B37="","",IF($B$2="Todos",SUMIFS(BD!$O$3:$O$5001,BD!$A$3:$A$5001,$B37),SUMIFS(BD!$O$3:$O$5001,BD!$A$3:$A$5001,$B37,BD!$B$3:$B$5001,$D$2)))</f>
        <v>0</v>
      </c>
      <c r="P37" s="32">
        <f>IF($B37="","",IF($B$2="Todos",SUMIFS(BD!$P$3:$P$5001,BD!$A$3:$A$5001,$B37),SUMIFS(BD!$P$3:$P$5001,BD!$A$3:$A$5001,$B37,BD!$B$3:$B$5001,$D$2)))</f>
        <v>0</v>
      </c>
      <c r="Q37" s="32">
        <f>IF($B37="","",IF($B$2="Todos",SUMIFS(BD!$Q$3:$Q$5001,BD!$A$3:$A$5001,$B37),SUMIFS(BD!$Q$3:$Q$5001,BD!$A$3:$A$5001,$B37,BD!$B$3:$B$5001,$D$2)))</f>
        <v>0</v>
      </c>
      <c r="R37" s="32">
        <f>IF($B37="","",IF($B$2="Todos",SUMIFS(BD!$R$3:$R$5001,BD!$A$3:$A$5001,$B37),SUMIFS(BD!$R$3:$R$5001,BD!$A$3:$A$5001,$B37,BD!$B$3:$B$5001,$D$2)))</f>
        <v>0</v>
      </c>
      <c r="S37" s="32">
        <f>IF($B37="","",IF($B$2="Todos",SUMIFS(BD!$S$3:$S$5001,BD!$A$3:$A$5001,$B37),SUMIFS(BD!$S$3:$S$5001,BD!$A$3:$A$5001,$B37,BD!$B$3:$B$5001,$D$2)))</f>
        <v>0</v>
      </c>
      <c r="T37" s="46">
        <f>IF($B37="","",IF($B$2="Todos",SUMIFS(BD!$T$3:$T$5001,BD!$A$3:$A$5001,$B37),SUMIFS(BD!$T$3:$T$5001,BD!$A$3:$A$5001,$B37,BD!$B$3:$B$5001,$D$2)))</f>
        <v>0</v>
      </c>
      <c r="U37" s="32">
        <f>IF($B37="","",IF($B$2="Todos",SUMIFS(BD!$U$3:$U$5001,BD!$A$3:$A$5001,$B37),SUMIFS(BD!$U$3:$U$5001,BD!$A$3:$A$5001,$B37,BD!$B$3:$B$5001,$D$2)))</f>
        <v>0</v>
      </c>
      <c r="V37" s="32">
        <f>IF($B37="","",IF($B$2="Todos",SUMIFS(BD!$V$3:$V$5001,BD!$A$3:$A$5001,$B37),SUMIFS(BD!$V$3:$V$5001,BD!$A$3:$A$5001,$B37,BD!$B$3:$B$5001,$D$2)))</f>
        <v>0</v>
      </c>
      <c r="W37" s="32" t="str">
        <f>IF($B$2="Todos",IF(COUNT($C$164:$K$164)=0,"",SUM($C$164:$K$164)),IFERROR(INDEX($C$164:$K$164,MATCH($D$2,$C$138:$K$138,0)),""))</f>
        <v/>
      </c>
      <c r="X37" s="47" t="str">
        <f>IF(Y37="","",IF($B$2="Todos",IF($B$4&gt;0,$B$4,IF($B$2="Todos",IF(COUNT($C$234:$K$234)=0,"",SUM($C$234:$K$234)),IFERROR(INDEX($C$234:$K$234,MATCH($D$2,$C$208:$K$208,0)),""))),IFERROR(INDEX($C$234:$K$234,MATCH($D$2,$C$208:$K$208,0)),"")))</f>
        <v/>
      </c>
      <c r="Y37" s="32" t="str">
        <f>IF($B$2="Todos",IF(COUNT($C$199:$K$199)=0,"",SUM($C$199:$K$199)),IFERROR(INDEX($C$199:$K$199,MATCH($D$2,$C$173:$K$173,0)),""))</f>
        <v/>
      </c>
      <c r="Z37" s="48" t="str">
        <f>IF(AND(ISNUMBER(Y37),ISNUMBER(X37)),IF(X37&gt;0,Y37/X37,""),"")</f>
        <v/>
      </c>
      <c r="AA37" s="32" t="str">
        <f>IF($B$2="Todos",IF(COUNT($C$269:$K$269)=0,"",SUM($C$269:$K$269)),IFERROR(INDEX($C$269:$K$269,MATCH($D$2,$C$243:$K$243,0)),""))</f>
        <v/>
      </c>
      <c r="AB37" s="32">
        <f>IF($B37="","",IF($B$2="Todos",SUMIFS(BD!$AA$3:$AA$5001,BD!$A$3:$A$5001,$B37),SUMIFS(BD!$AA$3:$AA$5001,BD!$A$3:$A$5001,$B37,BD!$B$3:$B$5001,$D$2)))</f>
        <v>0</v>
      </c>
      <c r="AC37" s="32">
        <f>IF($B37="","",IF($B$2="Todos",SUMIFS(BD!$AB$3:$AB$5001,BD!$A$3:$A$5001,$B37),SUMIFS(BD!$AB$3:$AB$5001,BD!$A$3:$A$5001,$B37,BD!$B$3:$B$5001,$D$2)))</f>
        <v>0</v>
      </c>
      <c r="AD37" s="32">
        <f>IF($B37="","",IF($B$2="Todos",SUMIFS(BD!$AC$3:$AC$5001,BD!$A$3:$A$5001,$B37),SUMIFS(BD!$AC$3:$AC$5001,BD!$A$3:$A$5001,$B37,BD!$B$3:$B$5001,$D$2)))</f>
        <v>0</v>
      </c>
      <c r="AE37" s="32">
        <f>IF($B37="","",IF($B$2="Todos",SUMIFS(BD!$AD$3:$AD$5001,BD!$A$3:$A$5001,$B37),SUMIFS(BD!$AD$3:$AD$5001,BD!$A$3:$A$5001,$B37,BD!$B$3:$B$5001,$D$2)))</f>
        <v>0</v>
      </c>
      <c r="AF37" s="32">
        <f>IF($B37="","",IF($B$2="Todos",SUMIFS(BD!$AE$3:$AE$5001,BD!$A$3:$A$5001,$B37),SUMIFS(BD!$AE$3:$AE$5001,BD!$A$3:$A$5001,$B37,BD!$B$3:$B$5001,$D$2)))</f>
        <v>0</v>
      </c>
      <c r="AG37" s="32">
        <f>IF($B37="","",IF($B$2="Todos",SUMIFS(BD!$AF$3:$AF$5001,BD!$A$3:$A$5001,$B37),SUMIFS(BD!$AF$3:$AF$5001,BD!$A$3:$A$5001,$B37,BD!$B$3:$B$5001,$D$2)))</f>
        <v>0</v>
      </c>
      <c r="AH37" s="32">
        <f>IF($B37="","",IF($B$2="Todos",SUMIFS(BD!$AG$3:$AG$5001,BD!$A$3:$A$5001,$B37),SUMIFS(BD!$AG$3:$AG$5001,BD!$A$3:$A$5001,$B37,BD!$B$3:$B$5001,$D$2)))</f>
        <v>0</v>
      </c>
      <c r="AI37" s="49">
        <f>$B$5</f>
        <v>0.7</v>
      </c>
      <c r="AJ37" s="49">
        <f>$B$6</f>
        <v>0.9</v>
      </c>
    </row>
    <row r="38">
      <c r="A38" s="28">
        <v>27</v>
      </c>
      <c r="B38" s="45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6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32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>
        <f>IF($B38="","",IF($B$2="Todos",SUMIFS(BD!$K$3:$K$5001,BD!$A$3:$A$5001,$B38),SUMIFS(BD!$K$3:$K$5001,BD!$A$3:$A$5001,$B38,BD!$B$3:$B$5001,$D$2)))</f>
        <v>0</v>
      </c>
      <c r="L38" s="32">
        <f>IF($B38="","",IF($B$2="Todos",SUMIFS(BD!$L$3:$L$5001,BD!$A$3:$A$5001,$B38),SUMIFS(BD!$L$3:$L$5001,BD!$A$3:$A$5001,$B38,BD!$B$3:$B$5001,$D$2)))</f>
        <v>0</v>
      </c>
      <c r="M38" s="32">
        <f>IF($B38="","",IF($B$2="Todos",SUMIFS(BD!$M$3:$M$5001,BD!$A$3:$A$5001,$B38),SUMIFS(BD!$M$3:$M$5001,BD!$A$3:$A$5001,$B38,BD!$B$3:$B$5001,$D$2)))</f>
        <v>0</v>
      </c>
      <c r="N38" s="32">
        <f>IF($B38="","",IF($B$2="Todos",SUMIFS(BD!$N$3:$N$5001,BD!$A$3:$A$5001,$B38),SUMIFS(BD!$N$3:$N$5001,BD!$A$3:$A$5001,$B38,BD!$B$3:$B$5001,$D$2)))</f>
        <v>0</v>
      </c>
      <c r="O38" s="32">
        <f>IF($B38="","",IF($B$2="Todos",SUMIFS(BD!$O$3:$O$5001,BD!$A$3:$A$5001,$B38),SUMIFS(BD!$O$3:$O$5001,BD!$A$3:$A$5001,$B38,BD!$B$3:$B$5001,$D$2)))</f>
        <v>0</v>
      </c>
      <c r="P38" s="32">
        <f>IF($B38="","",IF($B$2="Todos",SUMIFS(BD!$P$3:$P$5001,BD!$A$3:$A$5001,$B38),SUMIFS(BD!$P$3:$P$5001,BD!$A$3:$A$5001,$B38,BD!$B$3:$B$5001,$D$2)))</f>
        <v>0</v>
      </c>
      <c r="Q38" s="32">
        <f>IF($B38="","",IF($B$2="Todos",SUMIFS(BD!$Q$3:$Q$5001,BD!$A$3:$A$5001,$B38),SUMIFS(BD!$Q$3:$Q$5001,BD!$A$3:$A$5001,$B38,BD!$B$3:$B$5001,$D$2)))</f>
        <v>0</v>
      </c>
      <c r="R38" s="32">
        <f>IF($B38="","",IF($B$2="Todos",SUMIFS(BD!$R$3:$R$5001,BD!$A$3:$A$5001,$B38),SUMIFS(BD!$R$3:$R$5001,BD!$A$3:$A$5001,$B38,BD!$B$3:$B$5001,$D$2)))</f>
        <v>0</v>
      </c>
      <c r="S38" s="32">
        <f>IF($B38="","",IF($B$2="Todos",SUMIFS(BD!$S$3:$S$5001,BD!$A$3:$A$5001,$B38),SUMIFS(BD!$S$3:$S$5001,BD!$A$3:$A$5001,$B38,BD!$B$3:$B$5001,$D$2)))</f>
        <v>0</v>
      </c>
      <c r="T38" s="46">
        <f>IF($B38="","",IF($B$2="Todos",SUMIFS(BD!$T$3:$T$5001,BD!$A$3:$A$5001,$B38),SUMIFS(BD!$T$3:$T$5001,BD!$A$3:$A$5001,$B38,BD!$B$3:$B$5001,$D$2)))</f>
        <v>0</v>
      </c>
      <c r="U38" s="32">
        <f>IF($B38="","",IF($B$2="Todos",SUMIFS(BD!$U$3:$U$5001,BD!$A$3:$A$5001,$B38),SUMIFS(BD!$U$3:$U$5001,BD!$A$3:$A$5001,$B38,BD!$B$3:$B$5001,$D$2)))</f>
        <v>0</v>
      </c>
      <c r="V38" s="32">
        <f>IF($B38="","",IF($B$2="Todos",SUMIFS(BD!$V$3:$V$5001,BD!$A$3:$A$5001,$B38),SUMIFS(BD!$V$3:$V$5001,BD!$A$3:$A$5001,$B38,BD!$B$3:$B$5001,$D$2)))</f>
        <v>0</v>
      </c>
      <c r="W38" s="32" t="str">
        <f>IF($B$2="Todos",IF(COUNT($C$165:$K$165)=0,"",SUM($C$165:$K$165)),IFERROR(INDEX($C$165:$K$165,MATCH($D$2,$C$138:$K$138,0)),""))</f>
        <v/>
      </c>
      <c r="X38" s="47" t="str">
        <f>IF(Y38="","",IF($B$2="Todos",IF($B$4&gt;0,$B$4,IF($B$2="Todos",IF(COUNT($C$235:$K$235)=0,"",SUM($C$235:$K$235)),IFERROR(INDEX($C$235:$K$235,MATCH($D$2,$C$208:$K$208,0)),""))),IFERROR(INDEX($C$235:$K$235,MATCH($D$2,$C$208:$K$208,0)),"")))</f>
        <v/>
      </c>
      <c r="Y38" s="32" t="str">
        <f>IF($B$2="Todos",IF(COUNT($C$200:$K$200)=0,"",SUM($C$200:$K$200)),IFERROR(INDEX($C$200:$K$200,MATCH($D$2,$C$173:$K$173,0)),""))</f>
        <v/>
      </c>
      <c r="Z38" s="48" t="str">
        <f>IF(AND(ISNUMBER(Y38),ISNUMBER(X38)),IF(X38&gt;0,Y38/X38,""),"")</f>
        <v/>
      </c>
      <c r="AA38" s="32" t="str">
        <f>IF($B$2="Todos",IF(COUNT($C$270:$K$270)=0,"",SUM($C$270:$K$270)),IFERROR(INDEX($C$270:$K$270,MATCH($D$2,$C$243:$K$243,0)),""))</f>
        <v/>
      </c>
      <c r="AB38" s="32">
        <f>IF($B38="","",IF($B$2="Todos",SUMIFS(BD!$AA$3:$AA$5001,BD!$A$3:$A$5001,$B38),SUMIFS(BD!$AA$3:$AA$5001,BD!$A$3:$A$5001,$B38,BD!$B$3:$B$5001,$D$2)))</f>
        <v>0</v>
      </c>
      <c r="AC38" s="32">
        <f>IF($B38="","",IF($B$2="Todos",SUMIFS(BD!$AB$3:$AB$5001,BD!$A$3:$A$5001,$B38),SUMIFS(BD!$AB$3:$AB$5001,BD!$A$3:$A$5001,$B38,BD!$B$3:$B$5001,$D$2)))</f>
        <v>0</v>
      </c>
      <c r="AD38" s="32">
        <f>IF($B38="","",IF($B$2="Todos",SUMIFS(BD!$AC$3:$AC$5001,BD!$A$3:$A$5001,$B38),SUMIFS(BD!$AC$3:$AC$5001,BD!$A$3:$A$5001,$B38,BD!$B$3:$B$5001,$D$2)))</f>
        <v>0</v>
      </c>
      <c r="AE38" s="32">
        <f>IF($B38="","",IF($B$2="Todos",SUMIFS(BD!$AD$3:$AD$5001,BD!$A$3:$A$5001,$B38),SUMIFS(BD!$AD$3:$AD$5001,BD!$A$3:$A$5001,$B38,BD!$B$3:$B$5001,$D$2)))</f>
        <v>0</v>
      </c>
      <c r="AF38" s="32">
        <f>IF($B38="","",IF($B$2="Todos",SUMIFS(BD!$AE$3:$AE$5001,BD!$A$3:$A$5001,$B38),SUMIFS(BD!$AE$3:$AE$5001,BD!$A$3:$A$5001,$B38,BD!$B$3:$B$5001,$D$2)))</f>
        <v>0</v>
      </c>
      <c r="AG38" s="32">
        <f>IF($B38="","",IF($B$2="Todos",SUMIFS(BD!$AF$3:$AF$5001,BD!$A$3:$A$5001,$B38),SUMIFS(BD!$AF$3:$AF$5001,BD!$A$3:$A$5001,$B38,BD!$B$3:$B$5001,$D$2)))</f>
        <v>0</v>
      </c>
      <c r="AH38" s="32">
        <f>IF($B38="","",IF($B$2="Todos",SUMIFS(BD!$AG$3:$AG$5001,BD!$A$3:$A$5001,$B38),SUMIFS(BD!$AG$3:$AG$5001,BD!$A$3:$A$5001,$B38,BD!$B$3:$B$5001,$D$2)))</f>
        <v>0</v>
      </c>
      <c r="AI38" s="49">
        <f>$B$5</f>
        <v>0.7</v>
      </c>
      <c r="AJ38" s="49">
        <f>$B$6</f>
        <v>0.9</v>
      </c>
    </row>
    <row r="39">
      <c r="A39" s="28">
        <v>28</v>
      </c>
      <c r="B39" s="45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6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32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>
        <f>IF($B39="","",IF($B$2="Todos",SUMIFS(BD!$K$3:$K$5001,BD!$A$3:$A$5001,$B39),SUMIFS(BD!$K$3:$K$5001,BD!$A$3:$A$5001,$B39,BD!$B$3:$B$5001,$D$2)))</f>
        <v>0</v>
      </c>
      <c r="L39" s="32">
        <f>IF($B39="","",IF($B$2="Todos",SUMIFS(BD!$L$3:$L$5001,BD!$A$3:$A$5001,$B39),SUMIFS(BD!$L$3:$L$5001,BD!$A$3:$A$5001,$B39,BD!$B$3:$B$5001,$D$2)))</f>
        <v>0</v>
      </c>
      <c r="M39" s="32">
        <f>IF($B39="","",IF($B$2="Todos",SUMIFS(BD!$M$3:$M$5001,BD!$A$3:$A$5001,$B39),SUMIFS(BD!$M$3:$M$5001,BD!$A$3:$A$5001,$B39,BD!$B$3:$B$5001,$D$2)))</f>
        <v>0</v>
      </c>
      <c r="N39" s="32">
        <f>IF($B39="","",IF($B$2="Todos",SUMIFS(BD!$N$3:$N$5001,BD!$A$3:$A$5001,$B39),SUMIFS(BD!$N$3:$N$5001,BD!$A$3:$A$5001,$B39,BD!$B$3:$B$5001,$D$2)))</f>
        <v>0</v>
      </c>
      <c r="O39" s="32">
        <f>IF($B39="","",IF($B$2="Todos",SUMIFS(BD!$O$3:$O$5001,BD!$A$3:$A$5001,$B39),SUMIFS(BD!$O$3:$O$5001,BD!$A$3:$A$5001,$B39,BD!$B$3:$B$5001,$D$2)))</f>
        <v>0</v>
      </c>
      <c r="P39" s="32">
        <f>IF($B39="","",IF($B$2="Todos",SUMIFS(BD!$P$3:$P$5001,BD!$A$3:$A$5001,$B39),SUMIFS(BD!$P$3:$P$5001,BD!$A$3:$A$5001,$B39,BD!$B$3:$B$5001,$D$2)))</f>
        <v>0</v>
      </c>
      <c r="Q39" s="32">
        <f>IF($B39="","",IF($B$2="Todos",SUMIFS(BD!$Q$3:$Q$5001,BD!$A$3:$A$5001,$B39),SUMIFS(BD!$Q$3:$Q$5001,BD!$A$3:$A$5001,$B39,BD!$B$3:$B$5001,$D$2)))</f>
        <v>0</v>
      </c>
      <c r="R39" s="32">
        <f>IF($B39="","",IF($B$2="Todos",SUMIFS(BD!$R$3:$R$5001,BD!$A$3:$A$5001,$B39),SUMIFS(BD!$R$3:$R$5001,BD!$A$3:$A$5001,$B39,BD!$B$3:$B$5001,$D$2)))</f>
        <v>0</v>
      </c>
      <c r="S39" s="32">
        <f>IF($B39="","",IF($B$2="Todos",SUMIFS(BD!$S$3:$S$5001,BD!$A$3:$A$5001,$B39),SUMIFS(BD!$S$3:$S$5001,BD!$A$3:$A$5001,$B39,BD!$B$3:$B$5001,$D$2)))</f>
        <v>0</v>
      </c>
      <c r="T39" s="46">
        <f>IF($B39="","",IF($B$2="Todos",SUMIFS(BD!$T$3:$T$5001,BD!$A$3:$A$5001,$B39),SUMIFS(BD!$T$3:$T$5001,BD!$A$3:$A$5001,$B39,BD!$B$3:$B$5001,$D$2)))</f>
        <v>0</v>
      </c>
      <c r="U39" s="32">
        <f>IF($B39="","",IF($B$2="Todos",SUMIFS(BD!$U$3:$U$5001,BD!$A$3:$A$5001,$B39),SUMIFS(BD!$U$3:$U$5001,BD!$A$3:$A$5001,$B39,BD!$B$3:$B$5001,$D$2)))</f>
        <v>0</v>
      </c>
      <c r="V39" s="32">
        <f>IF($B39="","",IF($B$2="Todos",SUMIFS(BD!$V$3:$V$5001,BD!$A$3:$A$5001,$B39),SUMIFS(BD!$V$3:$V$5001,BD!$A$3:$A$5001,$B39,BD!$B$3:$B$5001,$D$2)))</f>
        <v>0</v>
      </c>
      <c r="W39" s="32" t="str">
        <f>IF($B$2="Todos",IF(COUNT($C$166:$K$166)=0,"",SUM($C$166:$K$166)),IFERROR(INDEX($C$166:$K$166,MATCH($D$2,$C$138:$K$138,0)),""))</f>
        <v/>
      </c>
      <c r="X39" s="47" t="str">
        <f>IF(Y39="","",IF($B$2="Todos",IF($B$4&gt;0,$B$4,IF($B$2="Todos",IF(COUNT($C$236:$K$236)=0,"",SUM($C$236:$K$236)),IFERROR(INDEX($C$236:$K$236,MATCH($D$2,$C$208:$K$208,0)),""))),IFERROR(INDEX($C$236:$K$236,MATCH($D$2,$C$208:$K$208,0)),"")))</f>
        <v/>
      </c>
      <c r="Y39" s="32" t="str">
        <f>IF($B$2="Todos",IF(COUNT($C$201:$K$201)=0,"",SUM($C$201:$K$201)),IFERROR(INDEX($C$201:$K$201,MATCH($D$2,$C$173:$K$173,0)),""))</f>
        <v/>
      </c>
      <c r="Z39" s="48" t="str">
        <f>IF(AND(ISNUMBER(Y39),ISNUMBER(X39)),IF(X39&gt;0,Y39/X39,""),"")</f>
        <v/>
      </c>
      <c r="AA39" s="32" t="str">
        <f>IF($B$2="Todos",IF(COUNT($C$271:$K$271)=0,"",SUM($C$271:$K$271)),IFERROR(INDEX($C$271:$K$271,MATCH($D$2,$C$243:$K$243,0)),""))</f>
        <v/>
      </c>
      <c r="AB39" s="32">
        <f>IF($B39="","",IF($B$2="Todos",SUMIFS(BD!$AA$3:$AA$5001,BD!$A$3:$A$5001,$B39),SUMIFS(BD!$AA$3:$AA$5001,BD!$A$3:$A$5001,$B39,BD!$B$3:$B$5001,$D$2)))</f>
        <v>0</v>
      </c>
      <c r="AC39" s="32">
        <f>IF($B39="","",IF($B$2="Todos",SUMIFS(BD!$AB$3:$AB$5001,BD!$A$3:$A$5001,$B39),SUMIFS(BD!$AB$3:$AB$5001,BD!$A$3:$A$5001,$B39,BD!$B$3:$B$5001,$D$2)))</f>
        <v>0</v>
      </c>
      <c r="AD39" s="32">
        <f>IF($B39="","",IF($B$2="Todos",SUMIFS(BD!$AC$3:$AC$5001,BD!$A$3:$A$5001,$B39),SUMIFS(BD!$AC$3:$AC$5001,BD!$A$3:$A$5001,$B39,BD!$B$3:$B$5001,$D$2)))</f>
        <v>0</v>
      </c>
      <c r="AE39" s="32">
        <f>IF($B39="","",IF($B$2="Todos",SUMIFS(BD!$AD$3:$AD$5001,BD!$A$3:$A$5001,$B39),SUMIFS(BD!$AD$3:$AD$5001,BD!$A$3:$A$5001,$B39,BD!$B$3:$B$5001,$D$2)))</f>
        <v>0</v>
      </c>
      <c r="AF39" s="32">
        <f>IF($B39="","",IF($B$2="Todos",SUMIFS(BD!$AE$3:$AE$5001,BD!$A$3:$A$5001,$B39),SUMIFS(BD!$AE$3:$AE$5001,BD!$A$3:$A$5001,$B39,BD!$B$3:$B$5001,$D$2)))</f>
        <v>0</v>
      </c>
      <c r="AG39" s="32">
        <f>IF($B39="","",IF($B$2="Todos",SUMIFS(BD!$AF$3:$AF$5001,BD!$A$3:$A$5001,$B39),SUMIFS(BD!$AF$3:$AF$5001,BD!$A$3:$A$5001,$B39,BD!$B$3:$B$5001,$D$2)))</f>
        <v>0</v>
      </c>
      <c r="AH39" s="32">
        <f>IF($B39="","",IF($B$2="Todos",SUMIFS(BD!$AG$3:$AG$5001,BD!$A$3:$A$5001,$B39),SUMIFS(BD!$AG$3:$AG$5001,BD!$A$3:$A$5001,$B39,BD!$B$3:$B$5001,$D$2)))</f>
        <v>0</v>
      </c>
      <c r="AI39" s="49">
        <f>$B$5</f>
        <v>0.7</v>
      </c>
      <c r="AJ39" s="49">
        <f>$B$6</f>
        <v>0.9</v>
      </c>
    </row>
    <row r="40">
      <c r="A40" s="28">
        <v>29</v>
      </c>
      <c r="B40" s="45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6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32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>
        <f>IF($B40="","",IF($B$2="Todos",SUMIFS(BD!$K$3:$K$5001,BD!$A$3:$A$5001,$B40),SUMIFS(BD!$K$3:$K$5001,BD!$A$3:$A$5001,$B40,BD!$B$3:$B$5001,$D$2)))</f>
        <v>0</v>
      </c>
      <c r="L40" s="32">
        <f>IF($B40="","",IF($B$2="Todos",SUMIFS(BD!$L$3:$L$5001,BD!$A$3:$A$5001,$B40),SUMIFS(BD!$L$3:$L$5001,BD!$A$3:$A$5001,$B40,BD!$B$3:$B$5001,$D$2)))</f>
        <v>0</v>
      </c>
      <c r="M40" s="32">
        <f>IF($B40="","",IF($B$2="Todos",SUMIFS(BD!$M$3:$M$5001,BD!$A$3:$A$5001,$B40),SUMIFS(BD!$M$3:$M$5001,BD!$A$3:$A$5001,$B40,BD!$B$3:$B$5001,$D$2)))</f>
        <v>0</v>
      </c>
      <c r="N40" s="32">
        <f>IF($B40="","",IF($B$2="Todos",SUMIFS(BD!$N$3:$N$5001,BD!$A$3:$A$5001,$B40),SUMIFS(BD!$N$3:$N$5001,BD!$A$3:$A$5001,$B40,BD!$B$3:$B$5001,$D$2)))</f>
        <v>0</v>
      </c>
      <c r="O40" s="32">
        <f>IF($B40="","",IF($B$2="Todos",SUMIFS(BD!$O$3:$O$5001,BD!$A$3:$A$5001,$B40),SUMIFS(BD!$O$3:$O$5001,BD!$A$3:$A$5001,$B40,BD!$B$3:$B$5001,$D$2)))</f>
        <v>0</v>
      </c>
      <c r="P40" s="32">
        <f>IF($B40="","",IF($B$2="Todos",SUMIFS(BD!$P$3:$P$5001,BD!$A$3:$A$5001,$B40),SUMIFS(BD!$P$3:$P$5001,BD!$A$3:$A$5001,$B40,BD!$B$3:$B$5001,$D$2)))</f>
        <v>0</v>
      </c>
      <c r="Q40" s="32">
        <f>IF($B40="","",IF($B$2="Todos",SUMIFS(BD!$Q$3:$Q$5001,BD!$A$3:$A$5001,$B40),SUMIFS(BD!$Q$3:$Q$5001,BD!$A$3:$A$5001,$B40,BD!$B$3:$B$5001,$D$2)))</f>
        <v>0</v>
      </c>
      <c r="R40" s="32">
        <f>IF($B40="","",IF($B$2="Todos",SUMIFS(BD!$R$3:$R$5001,BD!$A$3:$A$5001,$B40),SUMIFS(BD!$R$3:$R$5001,BD!$A$3:$A$5001,$B40,BD!$B$3:$B$5001,$D$2)))</f>
        <v>0</v>
      </c>
      <c r="S40" s="32">
        <f>IF($B40="","",IF($B$2="Todos",SUMIFS(BD!$S$3:$S$5001,BD!$A$3:$A$5001,$B40),SUMIFS(BD!$S$3:$S$5001,BD!$A$3:$A$5001,$B40,BD!$B$3:$B$5001,$D$2)))</f>
        <v>0</v>
      </c>
      <c r="T40" s="46">
        <f>IF($B40="","",IF($B$2="Todos",SUMIFS(BD!$T$3:$T$5001,BD!$A$3:$A$5001,$B40),SUMIFS(BD!$T$3:$T$5001,BD!$A$3:$A$5001,$B40,BD!$B$3:$B$5001,$D$2)))</f>
        <v>0</v>
      </c>
      <c r="U40" s="32">
        <f>IF($B40="","",IF($B$2="Todos",SUMIFS(BD!$U$3:$U$5001,BD!$A$3:$A$5001,$B40),SUMIFS(BD!$U$3:$U$5001,BD!$A$3:$A$5001,$B40,BD!$B$3:$B$5001,$D$2)))</f>
        <v>0</v>
      </c>
      <c r="V40" s="32">
        <f>IF($B40="","",IF($B$2="Todos",SUMIFS(BD!$V$3:$V$5001,BD!$A$3:$A$5001,$B40),SUMIFS(BD!$V$3:$V$5001,BD!$A$3:$A$5001,$B40,BD!$B$3:$B$5001,$D$2)))</f>
        <v>0</v>
      </c>
      <c r="W40" s="32" t="str">
        <f>IF($B$2="Todos",IF(COUNT($C$167:$K$167)=0,"",SUM($C$167:$K$167)),IFERROR(INDEX($C$167:$K$167,MATCH($D$2,$C$138:$K$138,0)),""))</f>
        <v/>
      </c>
      <c r="X40" s="47" t="str">
        <f>IF(Y40="","",IF($B$2="Todos",IF($B$4&gt;0,$B$4,IF($B$2="Todos",IF(COUNT($C$237:$K$237)=0,"",SUM($C$237:$K$237)),IFERROR(INDEX($C$237:$K$237,MATCH($D$2,$C$208:$K$208,0)),""))),IFERROR(INDEX($C$237:$K$237,MATCH($D$2,$C$208:$K$208,0)),"")))</f>
        <v/>
      </c>
      <c r="Y40" s="32" t="str">
        <f>IF($B$2="Todos",IF(COUNT($C$202:$K$202)=0,"",SUM($C$202:$K$202)),IFERROR(INDEX($C$202:$K$202,MATCH($D$2,$C$173:$K$173,0)),""))</f>
        <v/>
      </c>
      <c r="Z40" s="48" t="str">
        <f>IF(AND(ISNUMBER(Y40),ISNUMBER(X40)),IF(X40&gt;0,Y40/X40,""),"")</f>
        <v/>
      </c>
      <c r="AA40" s="32" t="str">
        <f>IF($B$2="Todos",IF(COUNT($C$272:$K$272)=0,"",SUM($C$272:$K$272)),IFERROR(INDEX($C$272:$K$272,MATCH($D$2,$C$243:$K$243,0)),""))</f>
        <v/>
      </c>
      <c r="AB40" s="32">
        <f>IF($B40="","",IF($B$2="Todos",SUMIFS(BD!$AA$3:$AA$5001,BD!$A$3:$A$5001,$B40),SUMIFS(BD!$AA$3:$AA$5001,BD!$A$3:$A$5001,$B40,BD!$B$3:$B$5001,$D$2)))</f>
        <v>0</v>
      </c>
      <c r="AC40" s="32">
        <f>IF($B40="","",IF($B$2="Todos",SUMIFS(BD!$AB$3:$AB$5001,BD!$A$3:$A$5001,$B40),SUMIFS(BD!$AB$3:$AB$5001,BD!$A$3:$A$5001,$B40,BD!$B$3:$B$5001,$D$2)))</f>
        <v>0</v>
      </c>
      <c r="AD40" s="32">
        <f>IF($B40="","",IF($B$2="Todos",SUMIFS(BD!$AC$3:$AC$5001,BD!$A$3:$A$5001,$B40),SUMIFS(BD!$AC$3:$AC$5001,BD!$A$3:$A$5001,$B40,BD!$B$3:$B$5001,$D$2)))</f>
        <v>0</v>
      </c>
      <c r="AE40" s="32">
        <f>IF($B40="","",IF($B$2="Todos",SUMIFS(BD!$AD$3:$AD$5001,BD!$A$3:$A$5001,$B40),SUMIFS(BD!$AD$3:$AD$5001,BD!$A$3:$A$5001,$B40,BD!$B$3:$B$5001,$D$2)))</f>
        <v>0</v>
      </c>
      <c r="AF40" s="32">
        <f>IF($B40="","",IF($B$2="Todos",SUMIFS(BD!$AE$3:$AE$5001,BD!$A$3:$A$5001,$B40),SUMIFS(BD!$AE$3:$AE$5001,BD!$A$3:$A$5001,$B40,BD!$B$3:$B$5001,$D$2)))</f>
        <v>0</v>
      </c>
      <c r="AG40" s="32">
        <f>IF($B40="","",IF($B$2="Todos",SUMIFS(BD!$AF$3:$AF$5001,BD!$A$3:$A$5001,$B40),SUMIFS(BD!$AF$3:$AF$5001,BD!$A$3:$A$5001,$B40,BD!$B$3:$B$5001,$D$2)))</f>
        <v>0</v>
      </c>
      <c r="AH40" s="32">
        <f>IF($B40="","",IF($B$2="Todos",SUMIFS(BD!$AG$3:$AG$5001,BD!$A$3:$A$5001,$B40),SUMIFS(BD!$AG$3:$AG$5001,BD!$A$3:$A$5001,$B40,BD!$B$3:$B$5001,$D$2)))</f>
        <v>0</v>
      </c>
      <c r="AI40" s="49">
        <f>$B$5</f>
        <v>0.7</v>
      </c>
      <c r="AJ40" s="49">
        <f>$B$6</f>
        <v>0.9</v>
      </c>
    </row>
    <row r="41">
      <c r="A41" s="28">
        <v>30</v>
      </c>
      <c r="B41" s="45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6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32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>
        <f>IF($B41="","",IF($B$2="Todos",SUMIFS(BD!$K$3:$K$5001,BD!$A$3:$A$5001,$B41),SUMIFS(BD!$K$3:$K$5001,BD!$A$3:$A$5001,$B41,BD!$B$3:$B$5001,$D$2)))</f>
        <v>0</v>
      </c>
      <c r="L41" s="32">
        <f>IF($B41="","",IF($B$2="Todos",SUMIFS(BD!$L$3:$L$5001,BD!$A$3:$A$5001,$B41),SUMIFS(BD!$L$3:$L$5001,BD!$A$3:$A$5001,$B41,BD!$B$3:$B$5001,$D$2)))</f>
        <v>0</v>
      </c>
      <c r="M41" s="32">
        <f>IF($B41="","",IF($B$2="Todos",SUMIFS(BD!$M$3:$M$5001,BD!$A$3:$A$5001,$B41),SUMIFS(BD!$M$3:$M$5001,BD!$A$3:$A$5001,$B41,BD!$B$3:$B$5001,$D$2)))</f>
        <v>0</v>
      </c>
      <c r="N41" s="32">
        <f>IF($B41="","",IF($B$2="Todos",SUMIFS(BD!$N$3:$N$5001,BD!$A$3:$A$5001,$B41),SUMIFS(BD!$N$3:$N$5001,BD!$A$3:$A$5001,$B41,BD!$B$3:$B$5001,$D$2)))</f>
        <v>0</v>
      </c>
      <c r="O41" s="32">
        <f>IF($B41="","",IF($B$2="Todos",SUMIFS(BD!$O$3:$O$5001,BD!$A$3:$A$5001,$B41),SUMIFS(BD!$O$3:$O$5001,BD!$A$3:$A$5001,$B41,BD!$B$3:$B$5001,$D$2)))</f>
        <v>0</v>
      </c>
      <c r="P41" s="32">
        <f>IF($B41="","",IF($B$2="Todos",SUMIFS(BD!$P$3:$P$5001,BD!$A$3:$A$5001,$B41),SUMIFS(BD!$P$3:$P$5001,BD!$A$3:$A$5001,$B41,BD!$B$3:$B$5001,$D$2)))</f>
        <v>0</v>
      </c>
      <c r="Q41" s="32">
        <f>IF($B41="","",IF($B$2="Todos",SUMIFS(BD!$Q$3:$Q$5001,BD!$A$3:$A$5001,$B41),SUMIFS(BD!$Q$3:$Q$5001,BD!$A$3:$A$5001,$B41,BD!$B$3:$B$5001,$D$2)))</f>
        <v>0</v>
      </c>
      <c r="R41" s="32">
        <f>IF($B41="","",IF($B$2="Todos",SUMIFS(BD!$R$3:$R$5001,BD!$A$3:$A$5001,$B41),SUMIFS(BD!$R$3:$R$5001,BD!$A$3:$A$5001,$B41,BD!$B$3:$B$5001,$D$2)))</f>
        <v>0</v>
      </c>
      <c r="S41" s="32">
        <f>IF($B41="","",IF($B$2="Todos",SUMIFS(BD!$S$3:$S$5001,BD!$A$3:$A$5001,$B41),SUMIFS(BD!$S$3:$S$5001,BD!$A$3:$A$5001,$B41,BD!$B$3:$B$5001,$D$2)))</f>
        <v>0</v>
      </c>
      <c r="T41" s="46">
        <f>IF($B41="","",IF($B$2="Todos",SUMIFS(BD!$T$3:$T$5001,BD!$A$3:$A$5001,$B41),SUMIFS(BD!$T$3:$T$5001,BD!$A$3:$A$5001,$B41,BD!$B$3:$B$5001,$D$2)))</f>
        <v>0</v>
      </c>
      <c r="U41" s="32">
        <f>IF($B41="","",IF($B$2="Todos",SUMIFS(BD!$U$3:$U$5001,BD!$A$3:$A$5001,$B41),SUMIFS(BD!$U$3:$U$5001,BD!$A$3:$A$5001,$B41,BD!$B$3:$B$5001,$D$2)))</f>
        <v>0</v>
      </c>
      <c r="V41" s="32">
        <f>IF($B41="","",IF($B$2="Todos",SUMIFS(BD!$V$3:$V$5001,BD!$A$3:$A$5001,$B41),SUMIFS(BD!$V$3:$V$5001,BD!$A$3:$A$5001,$B41,BD!$B$3:$B$5001,$D$2)))</f>
        <v>0</v>
      </c>
      <c r="W41" s="32" t="str">
        <f>IF($B$2="Todos",IF(COUNT($C$168:$K$168)=0,"",SUM($C$168:$K$168)),IFERROR(INDEX($C$168:$K$168,MATCH($D$2,$C$138:$K$138,0)),""))</f>
        <v/>
      </c>
      <c r="X41" s="47" t="str">
        <f>IF(Y41="","",IF($B$2="Todos",IF($B$4&gt;0,$B$4,IF($B$2="Todos",IF(COUNT($C$238:$K$238)=0,"",SUM($C$238:$K$238)),IFERROR(INDEX($C$238:$K$238,MATCH($D$2,$C$208:$K$208,0)),""))),IFERROR(INDEX($C$238:$K$238,MATCH($D$2,$C$208:$K$208,0)),"")))</f>
        <v/>
      </c>
      <c r="Y41" s="32" t="str">
        <f>IF($B$2="Todos",IF(COUNT($C$203:$K$203)=0,"",SUM($C$203:$K$203)),IFERROR(INDEX($C$203:$K$203,MATCH($D$2,$C$173:$K$173,0)),""))</f>
        <v/>
      </c>
      <c r="Z41" s="48" t="str">
        <f>IF(AND(ISNUMBER(Y41),ISNUMBER(X41)),IF(X41&gt;0,Y41/X41,""),"")</f>
        <v/>
      </c>
      <c r="AA41" s="32" t="str">
        <f>IF($B$2="Todos",IF(COUNT($C$273:$K$273)=0,"",SUM($C$273:$K$273)),IFERROR(INDEX($C$273:$K$273,MATCH($D$2,$C$243:$K$243,0)),""))</f>
        <v/>
      </c>
      <c r="AB41" s="32">
        <f>IF($B41="","",IF($B$2="Todos",SUMIFS(BD!$AA$3:$AA$5001,BD!$A$3:$A$5001,$B41),SUMIFS(BD!$AA$3:$AA$5001,BD!$A$3:$A$5001,$B41,BD!$B$3:$B$5001,$D$2)))</f>
        <v>0</v>
      </c>
      <c r="AC41" s="32">
        <f>IF($B41="","",IF($B$2="Todos",SUMIFS(BD!$AB$3:$AB$5001,BD!$A$3:$A$5001,$B41),SUMIFS(BD!$AB$3:$AB$5001,BD!$A$3:$A$5001,$B41,BD!$B$3:$B$5001,$D$2)))</f>
        <v>0</v>
      </c>
      <c r="AD41" s="32">
        <f>IF($B41="","",IF($B$2="Todos",SUMIFS(BD!$AC$3:$AC$5001,BD!$A$3:$A$5001,$B41),SUMIFS(BD!$AC$3:$AC$5001,BD!$A$3:$A$5001,$B41,BD!$B$3:$B$5001,$D$2)))</f>
        <v>0</v>
      </c>
      <c r="AE41" s="32">
        <f>IF($B41="","",IF($B$2="Todos",SUMIFS(BD!$AD$3:$AD$5001,BD!$A$3:$A$5001,$B41),SUMIFS(BD!$AD$3:$AD$5001,BD!$A$3:$A$5001,$B41,BD!$B$3:$B$5001,$D$2)))</f>
        <v>0</v>
      </c>
      <c r="AF41" s="32">
        <f>IF($B41="","",IF($B$2="Todos",SUMIFS(BD!$AE$3:$AE$5001,BD!$A$3:$A$5001,$B41),SUMIFS(BD!$AE$3:$AE$5001,BD!$A$3:$A$5001,$B41,BD!$B$3:$B$5001,$D$2)))</f>
        <v>0</v>
      </c>
      <c r="AG41" s="32">
        <f>IF($B41="","",IF($B$2="Todos",SUMIFS(BD!$AF$3:$AF$5001,BD!$A$3:$A$5001,$B41),SUMIFS(BD!$AF$3:$AF$5001,BD!$A$3:$A$5001,$B41,BD!$B$3:$B$5001,$D$2)))</f>
        <v>0</v>
      </c>
      <c r="AH41" s="32">
        <f>IF($B41="","",IF($B$2="Todos",SUMIFS(BD!$AG$3:$AG$5001,BD!$A$3:$A$5001,$B41),SUMIFS(BD!$AG$3:$AG$5001,BD!$A$3:$A$5001,$B41,BD!$B$3:$B$5001,$D$2)))</f>
        <v>0</v>
      </c>
      <c r="AI41" s="49">
        <f>$B$5</f>
        <v>0.7</v>
      </c>
      <c r="AJ41" s="49">
        <f>$B$6</f>
        <v>0.9</v>
      </c>
    </row>
    <row r="42">
      <c r="A42" s="28">
        <v>31</v>
      </c>
      <c r="B42" s="45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6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32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>
        <f>IF($B42="","",IF($B$2="Todos",SUMIFS(BD!$K$3:$K$5001,BD!$A$3:$A$5001,$B42),SUMIFS(BD!$K$3:$K$5001,BD!$A$3:$A$5001,$B42,BD!$B$3:$B$5001,$D$2)))</f>
        <v>0</v>
      </c>
      <c r="L42" s="32">
        <f>IF($B42="","",IF($B$2="Todos",SUMIFS(BD!$L$3:$L$5001,BD!$A$3:$A$5001,$B42),SUMIFS(BD!$L$3:$L$5001,BD!$A$3:$A$5001,$B42,BD!$B$3:$B$5001,$D$2)))</f>
        <v>0</v>
      </c>
      <c r="M42" s="32">
        <f>IF($B42="","",IF($B$2="Todos",SUMIFS(BD!$M$3:$M$5001,BD!$A$3:$A$5001,$B42),SUMIFS(BD!$M$3:$M$5001,BD!$A$3:$A$5001,$B42,BD!$B$3:$B$5001,$D$2)))</f>
        <v>0</v>
      </c>
      <c r="N42" s="32">
        <f>IF($B42="","",IF($B$2="Todos",SUMIFS(BD!$N$3:$N$5001,BD!$A$3:$A$5001,$B42),SUMIFS(BD!$N$3:$N$5001,BD!$A$3:$A$5001,$B42,BD!$B$3:$B$5001,$D$2)))</f>
        <v>0</v>
      </c>
      <c r="O42" s="32">
        <f>IF($B42="","",IF($B$2="Todos",SUMIFS(BD!$O$3:$O$5001,BD!$A$3:$A$5001,$B42),SUMIFS(BD!$O$3:$O$5001,BD!$A$3:$A$5001,$B42,BD!$B$3:$B$5001,$D$2)))</f>
        <v>0</v>
      </c>
      <c r="P42" s="32">
        <f>IF($B42="","",IF($B$2="Todos",SUMIFS(BD!$P$3:$P$5001,BD!$A$3:$A$5001,$B42),SUMIFS(BD!$P$3:$P$5001,BD!$A$3:$A$5001,$B42,BD!$B$3:$B$5001,$D$2)))</f>
        <v>0</v>
      </c>
      <c r="Q42" s="32">
        <f>IF($B42="","",IF($B$2="Todos",SUMIFS(BD!$Q$3:$Q$5001,BD!$A$3:$A$5001,$B42),SUMIFS(BD!$Q$3:$Q$5001,BD!$A$3:$A$5001,$B42,BD!$B$3:$B$5001,$D$2)))</f>
        <v>0</v>
      </c>
      <c r="R42" s="32">
        <f>IF($B42="","",IF($B$2="Todos",SUMIFS(BD!$R$3:$R$5001,BD!$A$3:$A$5001,$B42),SUMIFS(BD!$R$3:$R$5001,BD!$A$3:$A$5001,$B42,BD!$B$3:$B$5001,$D$2)))</f>
        <v>0</v>
      </c>
      <c r="S42" s="32">
        <f>IF($B42="","",IF($B$2="Todos",SUMIFS(BD!$S$3:$S$5001,BD!$A$3:$A$5001,$B42),SUMIFS(BD!$S$3:$S$5001,BD!$A$3:$A$5001,$B42,BD!$B$3:$B$5001,$D$2)))</f>
        <v>0</v>
      </c>
      <c r="T42" s="46">
        <f>IF($B42="","",IF($B$2="Todos",SUMIFS(BD!$T$3:$T$5001,BD!$A$3:$A$5001,$B42),SUMIFS(BD!$T$3:$T$5001,BD!$A$3:$A$5001,$B42,BD!$B$3:$B$5001,$D$2)))</f>
        <v>0</v>
      </c>
      <c r="U42" s="32">
        <f>IF($B42="","",IF($B$2="Todos",SUMIFS(BD!$U$3:$U$5001,BD!$A$3:$A$5001,$B42),SUMIFS(BD!$U$3:$U$5001,BD!$A$3:$A$5001,$B42,BD!$B$3:$B$5001,$D$2)))</f>
        <v>0</v>
      </c>
      <c r="V42" s="32">
        <f>IF($B42="","",IF($B$2="Todos",SUMIFS(BD!$V$3:$V$5001,BD!$A$3:$A$5001,$B42),SUMIFS(BD!$V$3:$V$5001,BD!$A$3:$A$5001,$B42,BD!$B$3:$B$5001,$D$2)))</f>
        <v>0</v>
      </c>
      <c r="W42" s="32" t="str">
        <f>IF($B$2="Todos",IF(COUNT($C$169:$K$169)=0,"",SUM($C$169:$K$169)),IFERROR(INDEX($C$169:$K$169,MATCH($D$2,$C$138:$K$138,0)),""))</f>
        <v/>
      </c>
      <c r="X42" s="47" t="str">
        <f>IF(Y42="","",IF($B$2="Todos",IF($B$4&gt;0,$B$4,IF($B$2="Todos",IF(COUNT($C$239:$K$239)=0,"",SUM($C$239:$K$239)),IFERROR(INDEX($C$239:$K$239,MATCH($D$2,$C$208:$K$208,0)),""))),IFERROR(INDEX($C$239:$K$239,MATCH($D$2,$C$208:$K$208,0)),"")))</f>
        <v/>
      </c>
      <c r="Y42" s="32" t="str">
        <f>IF($B$2="Todos",IF(COUNT($C$204:$K$204)=0,"",SUM($C$204:$K$204)),IFERROR(INDEX($C$204:$K$204,MATCH($D$2,$C$173:$K$173,0)),""))</f>
        <v/>
      </c>
      <c r="Z42" s="48" t="str">
        <f>IF(AND(ISNUMBER(Y42),ISNUMBER(X42)),IF(X42&gt;0,Y42/X42,""),"")</f>
        <v/>
      </c>
      <c r="AA42" s="32" t="str">
        <f>IF($B$2="Todos",IF(COUNT($C$274:$K$274)=0,"",SUM($C$274:$K$274)),IFERROR(INDEX($C$274:$K$274,MATCH($D$2,$C$243:$K$243,0)),""))</f>
        <v/>
      </c>
      <c r="AB42" s="32">
        <f>IF($B42="","",IF($B$2="Todos",SUMIFS(BD!$AA$3:$AA$5001,BD!$A$3:$A$5001,$B42),SUMIFS(BD!$AA$3:$AA$5001,BD!$A$3:$A$5001,$B42,BD!$B$3:$B$5001,$D$2)))</f>
        <v>0</v>
      </c>
      <c r="AC42" s="32">
        <f>IF($B42="","",IF($B$2="Todos",SUMIFS(BD!$AB$3:$AB$5001,BD!$A$3:$A$5001,$B42),SUMIFS(BD!$AB$3:$AB$5001,BD!$A$3:$A$5001,$B42,BD!$B$3:$B$5001,$D$2)))</f>
        <v>0</v>
      </c>
      <c r="AD42" s="32">
        <f>IF($B42="","",IF($B$2="Todos",SUMIFS(BD!$AC$3:$AC$5001,BD!$A$3:$A$5001,$B42),SUMIFS(BD!$AC$3:$AC$5001,BD!$A$3:$A$5001,$B42,BD!$B$3:$B$5001,$D$2)))</f>
        <v>0</v>
      </c>
      <c r="AE42" s="32">
        <f>IF($B42="","",IF($B$2="Todos",SUMIFS(BD!$AD$3:$AD$5001,BD!$A$3:$A$5001,$B42),SUMIFS(BD!$AD$3:$AD$5001,BD!$A$3:$A$5001,$B42,BD!$B$3:$B$5001,$D$2)))</f>
        <v>0</v>
      </c>
      <c r="AF42" s="32">
        <f>IF($B42="","",IF($B$2="Todos",SUMIFS(BD!$AE$3:$AE$5001,BD!$A$3:$A$5001,$B42),SUMIFS(BD!$AE$3:$AE$5001,BD!$A$3:$A$5001,$B42,BD!$B$3:$B$5001,$D$2)))</f>
        <v>0</v>
      </c>
      <c r="AG42" s="32">
        <f>IF($B42="","",IF($B$2="Todos",SUMIFS(BD!$AF$3:$AF$5001,BD!$A$3:$A$5001,$B42),SUMIFS(BD!$AF$3:$AF$5001,BD!$A$3:$A$5001,$B42,BD!$B$3:$B$5001,$D$2)))</f>
        <v>0</v>
      </c>
      <c r="AH42" s="32">
        <f>IF($B42="","",IF($B$2="Todos",SUMIFS(BD!$AG$3:$AG$5001,BD!$A$3:$A$5001,$B42),SUMIFS(BD!$AG$3:$AG$5001,BD!$A$3:$A$5001,$B42,BD!$B$3:$B$5001,$D$2)))</f>
        <v>0</v>
      </c>
      <c r="AI42" s="49">
        <f>$B$5</f>
        <v>0.7</v>
      </c>
      <c r="AJ42" s="49">
        <f>$B$6</f>
        <v>0.9</v>
      </c>
    </row>
    <row r="43">
      <c r="A43" s="50" t="inlineStr">
        <is>
          <t xml:space="preserve">Realizado no mês (soma · último valor em estoque)</t>
        </is>
      </c>
      <c r="C43" s="52">
        <f>SUM(C12:C42)</f>
        <v>0</v>
      </c>
      <c r="D43" s="52">
        <f>SUM(D12:D42)</f>
        <v>0</v>
      </c>
      <c r="E43" s="58">
        <f>SUM(E12:E42)</f>
        <v>0</v>
      </c>
      <c r="F43" s="52">
        <f>SUM(F12:F42)</f>
        <v>0</v>
      </c>
      <c r="G43" s="52">
        <f>SUM(G12:G42)</f>
        <v>0</v>
      </c>
      <c r="H43" s="52">
        <f>SUM(H12:H42)</f>
        <v>0</v>
      </c>
      <c r="I43" s="52">
        <f>SUM(I12:I42)</f>
        <v>0</v>
      </c>
      <c r="J43" s="52">
        <f>SUM(J12:J42)</f>
        <v>0</v>
      </c>
      <c r="K43" s="52">
        <f>SUM(K12:K42)</f>
        <v>0</v>
      </c>
      <c r="L43" s="52">
        <f>SUM(L12:L42)</f>
        <v>0</v>
      </c>
      <c r="M43" s="52">
        <f>SUM(M12:M42)</f>
        <v>0</v>
      </c>
      <c r="N43" s="52">
        <f>SUM(N12:N42)</f>
        <v>0</v>
      </c>
      <c r="O43" s="52">
        <f>SUM(O12:O42)</f>
        <v>0</v>
      </c>
      <c r="P43" s="52">
        <f>SUM(P12:P42)</f>
        <v>0</v>
      </c>
      <c r="Q43" s="52">
        <f>SUM(Q12:Q42)</f>
        <v>0</v>
      </c>
      <c r="R43" s="52">
        <f>SUM(R12:R42)</f>
        <v>0</v>
      </c>
      <c r="S43" s="52">
        <f>SUM(S12:S42)</f>
        <v>0</v>
      </c>
      <c r="T43" s="58">
        <f>SUM(T12:T42)</f>
        <v>0</v>
      </c>
      <c r="U43" s="52">
        <f>SUM(U12:U42)</f>
        <v>0</v>
      </c>
      <c r="V43" s="52">
        <f>SUM(V12:V42)</f>
        <v>0</v>
      </c>
      <c r="W43" s="52" t="str">
        <f>IFERROR(LOOKUP(9.99E+307,W12:W42),"")</f>
        <v/>
      </c>
      <c r="X43" s="52" t="str">
        <f>IFERROR(LOOKUP(9.99E+307,X12:X42),"")</f>
        <v/>
      </c>
      <c r="Y43" s="52" t="str">
        <f>IFERROR(LOOKUP(9.99E+307,Y12:Y42),"")</f>
        <v/>
      </c>
      <c r="Z43" s="59" t="str">
        <f>IFERROR(LOOKUP(9.99E+307,Z12:Z42),"")</f>
        <v/>
      </c>
      <c r="AA43" s="52" t="str">
        <f>IFERROR(LOOKUP(9.99E+307,AA12:AA42),"")</f>
        <v/>
      </c>
      <c r="AB43" s="52">
        <f>SUM(AB12:AB42)</f>
        <v>0</v>
      </c>
      <c r="AC43" s="52">
        <f>SUM(AC12:AC42)</f>
        <v>0</v>
      </c>
      <c r="AD43" s="52">
        <f>SUM(AD12:AD42)</f>
        <v>0</v>
      </c>
      <c r="AE43" s="52">
        <f>SUM(AE12:AE42)</f>
        <v>0</v>
      </c>
      <c r="AF43" s="52">
        <f>SUM(AF12:AF42)</f>
        <v>0</v>
      </c>
      <c r="AG43" s="52">
        <f>SUM(AG12:AG42)</f>
        <v>0</v>
      </c>
      <c r="AH43" s="52">
        <f>SUM(AH12:AH42)</f>
        <v>0</v>
      </c>
    </row>
    <row r="44">
      <c r="A44" s="51" t="inlineStr">
        <is>
          <t xml:space="preserve">Média por dia</t>
        </is>
      </c>
      <c r="C44" s="53" t="str">
        <f>IFERROR(AVERAGEIF(C12:C42,"&gt;0"),"")</f>
        <v/>
      </c>
      <c r="D44" s="53" t="str">
        <f>IFERROR(AVERAGEIF(D12:D42,"&gt;0"),"")</f>
        <v/>
      </c>
      <c r="E44" s="53" t="str">
        <f>IFERROR(AVERAGEIF(E12:E42,"&gt;0"),"")</f>
        <v/>
      </c>
      <c r="F44" s="53" t="str">
        <f>IFERROR(AVERAGEIF(F12:F42,"&gt;0"),"")</f>
        <v/>
      </c>
      <c r="G44" s="53" t="str">
        <f>IFERROR(AVERAGEIF(G12:G42,"&gt;0"),"")</f>
        <v/>
      </c>
      <c r="H44" s="53" t="str">
        <f>IFERROR(AVERAGEIF(H12:H42,"&gt;0"),"")</f>
        <v/>
      </c>
      <c r="I44" s="53" t="str">
        <f>IFERROR(AVERAGEIF(I12:I42,"&gt;0"),"")</f>
        <v/>
      </c>
      <c r="J44" s="53" t="str">
        <f>IFERROR(AVERAGEIF(J12:J42,"&gt;0"),"")</f>
        <v/>
      </c>
      <c r="K44" s="53" t="str">
        <f>IFERROR(AVERAGEIF(K12:K42,"&gt;0"),"")</f>
        <v/>
      </c>
      <c r="L44" s="53" t="str">
        <f>IFERROR(AVERAGEIF(L12:L42,"&gt;0"),"")</f>
        <v/>
      </c>
      <c r="M44" s="53" t="str">
        <f>IFERROR(AVERAGEIF(M12:M42,"&gt;0"),"")</f>
        <v/>
      </c>
      <c r="N44" s="53" t="str">
        <f>IFERROR(AVERAGEIF(N12:N42,"&gt;0"),"")</f>
        <v/>
      </c>
      <c r="O44" s="53" t="str">
        <f>IFERROR(AVERAGEIF(O12:O42,"&gt;0"),"")</f>
        <v/>
      </c>
      <c r="P44" s="53" t="str">
        <f>IFERROR(AVERAGEIF(P12:P42,"&gt;0"),"")</f>
        <v/>
      </c>
      <c r="Q44" s="53" t="str">
        <f>IFERROR(AVERAGEIF(Q12:Q42,"&gt;0"),"")</f>
        <v/>
      </c>
      <c r="R44" s="53" t="str">
        <f>IFERROR(AVERAGEIF(R12:R42,"&gt;0"),"")</f>
        <v/>
      </c>
      <c r="S44" s="53" t="str">
        <f>IFERROR(AVERAGEIF(S12:S42,"&gt;0"),"")</f>
        <v/>
      </c>
      <c r="T44" s="53" t="str">
        <f>IFERROR(AVERAGEIF(T12:T42,"&gt;0"),"")</f>
        <v/>
      </c>
      <c r="U44" s="53" t="str">
        <f>IFERROR(AVERAGEIF(U12:U42,"&gt;0"),"")</f>
        <v/>
      </c>
      <c r="V44" s="53" t="str">
        <f>IFERROR(AVERAGEIF(V12:V42,"&gt;0"),"")</f>
        <v/>
      </c>
      <c r="W44" s="53" t="str">
        <f>IFERROR(AVERAGE(W12:W42),"")</f>
        <v/>
      </c>
      <c r="X44" s="53" t="str">
        <f>IFERROR(AVERAGE(X12:X42),"")</f>
        <v/>
      </c>
      <c r="Y44" s="53" t="str">
        <f>IFERROR(AVERAGE(Y12:Y42),"")</f>
        <v/>
      </c>
      <c r="Z44" s="55" t="str">
        <f>IFERROR(AVERAGE(Z12:Z42),"")</f>
        <v/>
      </c>
      <c r="AA44" s="53" t="str">
        <f>IFERROR(AVERAGE(AA12:AA42),"")</f>
        <v/>
      </c>
      <c r="AB44" s="53" t="str">
        <f>IFERROR(AVERAGEIF(AB12:AB42,"&gt;0"),"")</f>
        <v/>
      </c>
      <c r="AC44" s="53" t="str">
        <f>IFERROR(AVERAGEIF(AC12:AC42,"&gt;0"),"")</f>
        <v/>
      </c>
      <c r="AD44" s="53" t="str">
        <f>IFERROR(AVERAGEIF(AD12:AD42,"&gt;0"),"")</f>
        <v/>
      </c>
      <c r="AE44" s="53" t="str">
        <f>IFERROR(AVERAGEIF(AE12:AE42,"&gt;0"),"")</f>
        <v/>
      </c>
      <c r="AF44" s="53" t="str">
        <f>IFERROR(AVERAGEIF(AF12:AF42,"&gt;0"),"")</f>
        <v/>
      </c>
      <c r="AG44" s="53" t="str">
        <f>IFERROR(AVERAGEIF(AG12:AG42,"&gt;0"),"")</f>
        <v/>
      </c>
      <c r="AH44" s="53" t="str">
        <f>IFERROR(AVERAGEIF(AH12:AH42,"&gt;0"),"")</f>
        <v/>
      </c>
    </row>
    <row r="45">
      <c r="A45" s="51" t="inlineStr">
        <is>
          <t xml:space="preserve">Máximo em um dia</t>
        </is>
      </c>
      <c r="C45" s="54">
        <f>IF(COUNT(C12:C42)=0,"",MAX(C12:C42))</f>
        <v>0</v>
      </c>
      <c r="D45" s="54">
        <f>IF(COUNT(D12:D42)=0,"",MAX(D12:D42))</f>
        <v>0</v>
      </c>
      <c r="E45" s="53">
        <f>IF(COUNT(E12:E42)=0,"",MAX(E12:E42))</f>
        <v>0</v>
      </c>
      <c r="F45" s="54">
        <f>IF(COUNT(F12:F42)=0,"",MAX(F12:F42))</f>
        <v>0</v>
      </c>
      <c r="G45" s="54">
        <f>IF(COUNT(G12:G42)=0,"",MAX(G12:G42))</f>
        <v>0</v>
      </c>
      <c r="H45" s="54">
        <f>IF(COUNT(H12:H42)=0,"",MAX(H12:H42))</f>
        <v>0</v>
      </c>
      <c r="I45" s="54">
        <f>IF(COUNT(I12:I42)=0,"",MAX(I12:I42))</f>
        <v>0</v>
      </c>
      <c r="J45" s="54">
        <f>IF(COUNT(J12:J42)=0,"",MAX(J12:J42))</f>
        <v>0</v>
      </c>
      <c r="K45" s="54">
        <f>IF(COUNT(K12:K42)=0,"",MAX(K12:K42))</f>
        <v>0</v>
      </c>
      <c r="L45" s="54">
        <f>IF(COUNT(L12:L42)=0,"",MAX(L12:L42))</f>
        <v>0</v>
      </c>
      <c r="M45" s="54">
        <f>IF(COUNT(M12:M42)=0,"",MAX(M12:M42))</f>
        <v>0</v>
      </c>
      <c r="N45" s="54">
        <f>IF(COUNT(N12:N42)=0,"",MAX(N12:N42))</f>
        <v>0</v>
      </c>
      <c r="O45" s="54">
        <f>IF(COUNT(O12:O42)=0,"",MAX(O12:O42))</f>
        <v>0</v>
      </c>
      <c r="P45" s="54">
        <f>IF(COUNT(P12:P42)=0,"",MAX(P12:P42))</f>
        <v>0</v>
      </c>
      <c r="Q45" s="54">
        <f>IF(COUNT(Q12:Q42)=0,"",MAX(Q12:Q42))</f>
        <v>0</v>
      </c>
      <c r="R45" s="54">
        <f>IF(COUNT(R12:R42)=0,"",MAX(R12:R42))</f>
        <v>0</v>
      </c>
      <c r="S45" s="54">
        <f>IF(COUNT(S12:S42)=0,"",MAX(S12:S42))</f>
        <v>0</v>
      </c>
      <c r="T45" s="53">
        <f>IF(COUNT(T12:T42)=0,"",MAX(T12:T42))</f>
        <v>0</v>
      </c>
      <c r="U45" s="54">
        <f>IF(COUNT(U12:U42)=0,"",MAX(U12:U42))</f>
        <v>0</v>
      </c>
      <c r="V45" s="54">
        <f>IF(COUNT(V12:V42)=0,"",MAX(V12:V42))</f>
        <v>0</v>
      </c>
      <c r="W45" s="54" t="str">
        <f>IF(COUNT(W12:W42)=0,"",MAX(W12:W42))</f>
        <v/>
      </c>
      <c r="X45" s="54" t="str">
        <f>IF(COUNT(X12:X42)=0,"",MAX(X12:X42))</f>
        <v/>
      </c>
      <c r="Y45" s="54" t="str">
        <f>IF(COUNT(Y12:Y42)=0,"",MAX(Y12:Y42))</f>
        <v/>
      </c>
      <c r="Z45" s="55" t="str">
        <f>IF(COUNT(Z12:Z42)=0,"",MAX(Z12:Z42))</f>
        <v/>
      </c>
      <c r="AA45" s="54" t="str">
        <f>IF(COUNT(AA12:AA42)=0,"",MAX(AA12:AA42))</f>
        <v/>
      </c>
      <c r="AB45" s="54">
        <f>IF(COUNT(AB12:AB42)=0,"",MAX(AB12:AB42))</f>
        <v>0</v>
      </c>
      <c r="AC45" s="54">
        <f>IF(COUNT(AC12:AC42)=0,"",MAX(AC12:AC42))</f>
        <v>0</v>
      </c>
      <c r="AD45" s="54">
        <f>IF(COUNT(AD12:AD42)=0,"",MAX(AD12:AD42))</f>
        <v>0</v>
      </c>
      <c r="AE45" s="54">
        <f>IF(COUNT(AE12:AE42)=0,"",MAX(AE12:AE42))</f>
        <v>0</v>
      </c>
      <c r="AF45" s="54">
        <f>IF(COUNT(AF12:AF42)=0,"",MAX(AF12:AF42))</f>
        <v>0</v>
      </c>
      <c r="AG45" s="54">
        <f>IF(COUNT(AG12:AG42)=0,"",MAX(AG12:AG42))</f>
        <v>0</v>
      </c>
      <c r="AH45" s="54">
        <f>IF(COUNT(AH12:AH42)=0,"",MAX(AH12:AH42))</f>
        <v>0</v>
      </c>
    </row>
    <row r="46">
      <c r="A46" s="51" t="inlineStr">
        <is>
          <t xml:space="preserve">Mês anterior (mesmo intervalo)</t>
        </is>
      </c>
      <c r="C46" s="54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4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3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4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4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4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4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4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4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54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54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54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54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54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54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54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54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53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54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54" t="str">
        <f>IF($B$9=0,"",IF($B$2="Todos",SUMIFS(BD!$V$3:$V$5001,BD!$A$3:$A$5001,"&gt;="&amp;$C$8,BD!$A$3:$A$5001,"&lt;="&amp;$D$8),SUMIFS(BD!$V$3:$V$5001,BD!$A$3:$A$5001,"&gt;="&amp;$C$8,BD!$A$3:$A$5001,"&lt;="&amp;$D$8,BD!$B$3:$B$5001,$D$2)))</f>
        <v/>
      </c>
      <c r="W46" s="54" t="str">
        <f>IF($B$9=0,"",IF($B$2="Todos",IF(COUNT($C$170:$K$170)=0,"",SUM($C$170:$K$170)),IFERROR(INDEX($C$170:$K$170,MATCH($D$2,$C$138:$K$138,0)),"")))</f>
        <v/>
      </c>
      <c r="X46" s="54" t="str">
        <f>IF(Y46="","",IF($B$2="Todos",IF($B$4&gt;0,$B$4,IF($B$2="Todos",IF(COUNT($C$240:$K$240)=0,"",SUM($C$240:$K$240)),IFERROR(INDEX($C$240:$K$240,MATCH($D$2,$C$208:$K$208,0)),""))),IFERROR(INDEX($C$240:$K$240,MATCH($D$2,$C$208:$K$208,0)),"")))</f>
        <v/>
      </c>
      <c r="Y46" s="54" t="str">
        <f>IF($B$9=0,"",IF($B$2="Todos",IF(COUNT($C$205:$K$205)=0,"",SUM($C$205:$K$205)),IFERROR(INDEX($C$205:$K$205,MATCH($D$2,$C$173:$K$173,0)),"")))</f>
        <v/>
      </c>
      <c r="Z46" s="55" t="str">
        <f>IF(AND(ISNUMBER(Y46),ISNUMBER(X46)),IF(X46&gt;0,Y46/X46,""),"")</f>
        <v/>
      </c>
      <c r="AA46" s="54" t="str">
        <f>IF($B$9=0,"",IF($B$2="Todos",IF(COUNT($C$275:$K$275)=0,"",SUM($C$275:$K$275)),IFERROR(INDEX($C$275:$K$275,MATCH($D$2,$C$243:$K$243,0)),"")))</f>
        <v/>
      </c>
      <c r="AB46" s="54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54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54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54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54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54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  <c r="AH46" s="54" t="str">
        <f>IF($B$9=0,"",IF($B$2="Todos",SUMIFS(BD!$AG$3:$AG$5001,BD!$A$3:$A$5001,"&gt;="&amp;$C$8,BD!$A$3:$A$5001,"&lt;="&amp;$D$8),SUMIFS(BD!$AG$3:$AG$5001,BD!$A$3:$A$5001,"&gt;="&amp;$C$8,BD!$A$3:$A$5001,"&lt;="&amp;$D$8,BD!$B$3:$B$5001,$D$2)))</f>
        <v/>
      </c>
    </row>
    <row r="47">
      <c r="A47" s="51" t="inlineStr">
        <is>
          <t xml:space="preserve">Variação vs mês anterior</t>
        </is>
      </c>
      <c r="C47" s="55" t="str">
        <f>IF(AND(ISNUMBER(C43),ISNUMBER(C46)),IF(C46&lt;&gt;0,C43/C46-1,""),"")</f>
        <v/>
      </c>
      <c r="D47" s="55" t="str">
        <f>IF(AND(ISNUMBER(D43),ISNUMBER(D46)),IF(D46&lt;&gt;0,D43/D46-1,""),"")</f>
        <v/>
      </c>
      <c r="E47" s="55" t="str">
        <f>IF(AND(ISNUMBER(E43),ISNUMBER(E46)),IF(E46&lt;&gt;0,E43/E46-1,""),"")</f>
        <v/>
      </c>
      <c r="F47" s="55" t="str">
        <f>IF(AND(ISNUMBER(F43),ISNUMBER(F46)),IF(F46&lt;&gt;0,F43/F46-1,""),"")</f>
        <v/>
      </c>
      <c r="G47" s="55" t="str">
        <f>IF(AND(ISNUMBER(G43),ISNUMBER(G46)),IF(G46&lt;&gt;0,G43/G46-1,""),"")</f>
        <v/>
      </c>
      <c r="H47" s="55" t="str">
        <f>IF(AND(ISNUMBER(H43),ISNUMBER(H46)),IF(H46&lt;&gt;0,H43/H46-1,""),"")</f>
        <v/>
      </c>
      <c r="I47" s="55" t="str">
        <f>IF(AND(ISNUMBER(I43),ISNUMBER(I46)),IF(I46&lt;&gt;0,I43/I46-1,""),"")</f>
        <v/>
      </c>
      <c r="J47" s="55" t="str">
        <f>IF(AND(ISNUMBER(J43),ISNUMBER(J46)),IF(J46&lt;&gt;0,J43/J46-1,""),"")</f>
        <v/>
      </c>
      <c r="K47" s="55" t="str">
        <f>IF(AND(ISNUMBER(K43),ISNUMBER(K46)),IF(K46&lt;&gt;0,K43/K46-1,""),"")</f>
        <v/>
      </c>
      <c r="L47" s="55" t="str">
        <f>IF(AND(ISNUMBER(L43),ISNUMBER(L46)),IF(L46&lt;&gt;0,L43/L46-1,""),"")</f>
        <v/>
      </c>
      <c r="M47" s="55" t="str">
        <f>IF(AND(ISNUMBER(M43),ISNUMBER(M46)),IF(M46&lt;&gt;0,M43/M46-1,""),"")</f>
        <v/>
      </c>
      <c r="N47" s="55" t="str">
        <f>IF(AND(ISNUMBER(N43),ISNUMBER(N46)),IF(N46&lt;&gt;0,N43/N46-1,""),"")</f>
        <v/>
      </c>
      <c r="O47" s="55" t="str">
        <f>IF(AND(ISNUMBER(O43),ISNUMBER(O46)),IF(O46&lt;&gt;0,O43/O46-1,""),"")</f>
        <v/>
      </c>
      <c r="P47" s="55" t="str">
        <f>IF(AND(ISNUMBER(P43),ISNUMBER(P46)),IF(P46&lt;&gt;0,P43/P46-1,""),"")</f>
        <v/>
      </c>
      <c r="Q47" s="55" t="str">
        <f>IF(AND(ISNUMBER(Q43),ISNUMBER(Q46)),IF(Q46&lt;&gt;0,Q43/Q46-1,""),"")</f>
        <v/>
      </c>
      <c r="R47" s="55" t="str">
        <f>IF(AND(ISNUMBER(R43),ISNUMBER(R46)),IF(R46&lt;&gt;0,R43/R46-1,""),"")</f>
        <v/>
      </c>
      <c r="S47" s="55" t="str">
        <f>IF(AND(ISNUMBER(S43),ISNUMBER(S46)),IF(S46&lt;&gt;0,S43/S46-1,""),"")</f>
        <v/>
      </c>
      <c r="T47" s="55" t="str">
        <f>IF(AND(ISNUMBER(T43),ISNUMBER(T46)),IF(T46&lt;&gt;0,T43/T46-1,""),"")</f>
        <v/>
      </c>
      <c r="U47" s="55" t="str">
        <f>IF(AND(ISNUMBER(U43),ISNUMBER(U46)),IF(U46&lt;&gt;0,U43/U46-1,""),"")</f>
        <v/>
      </c>
      <c r="V47" s="55" t="str">
        <f>IF(AND(ISNUMBER(V43),ISNUMBER(V46)),IF(V46&lt;&gt;0,V43/V46-1,""),"")</f>
        <v/>
      </c>
      <c r="W47" s="55" t="str">
        <f>IF(AND(ISNUMBER(W43),ISNUMBER(W46)),IF(W46&lt;&gt;0,W43/W46-1,""),"")</f>
        <v/>
      </c>
      <c r="X47" s="55" t="str">
        <f>IF(AND(ISNUMBER(X43),ISNUMBER(X46)),IF(X46&lt;&gt;0,X43/X46-1,""),"")</f>
        <v/>
      </c>
      <c r="Y47" s="55" t="str">
        <f>IF(AND(ISNUMBER(Y43),ISNUMBER(Y46)),IF(Y46&lt;&gt;0,Y43/Y46-1,""),"")</f>
        <v/>
      </c>
      <c r="Z47" s="55" t="str">
        <f>IF(AND(ISNUMBER(Z43),ISNUMBER(Z46)),IF(Z46&lt;&gt;0,Z43/Z46-1,""),"")</f>
        <v/>
      </c>
      <c r="AA47" s="55" t="str">
        <f>IF(AND(ISNUMBER(AA43),ISNUMBER(AA46)),IF(AA46&lt;&gt;0,AA43/AA46-1,""),"")</f>
        <v/>
      </c>
      <c r="AB47" s="55" t="str">
        <f>IF(AND(ISNUMBER(AB43),ISNUMBER(AB46)),IF(AB46&lt;&gt;0,AB43/AB46-1,""),"")</f>
        <v/>
      </c>
      <c r="AC47" s="55" t="str">
        <f>IF(AND(ISNUMBER(AC43),ISNUMBER(AC46)),IF(AC46&lt;&gt;0,AC43/AC46-1,""),"")</f>
        <v/>
      </c>
      <c r="AD47" s="55" t="str">
        <f>IF(AND(ISNUMBER(AD43),ISNUMBER(AD46)),IF(AD46&lt;&gt;0,AD43/AD46-1,""),"")</f>
        <v/>
      </c>
      <c r="AE47" s="55" t="str">
        <f>IF(AND(ISNUMBER(AE43),ISNUMBER(AE46)),IF(AE46&lt;&gt;0,AE43/AE46-1,""),"")</f>
        <v/>
      </c>
      <c r="AF47" s="55" t="str">
        <f>IF(AND(ISNUMBER(AF43),ISNUMBER(AF46)),IF(AF46&lt;&gt;0,AF43/AF46-1,""),"")</f>
        <v/>
      </c>
      <c r="AG47" s="55" t="str">
        <f>IF(AND(ISNUMBER(AG43),ISNUMBER(AG46)),IF(AG46&lt;&gt;0,AG43/AG46-1,""),"")</f>
        <v/>
      </c>
      <c r="AH47" s="55" t="str">
        <f>IF(AND(ISNUMBER(AH43),ISNUMBER(AH46)),IF(AH46&lt;&gt;0,AH43/AH46-1,""),"")</f>
        <v/>
      </c>
    </row>
    <row r="48">
      <c r="A48" s="51" t="inlineStr">
        <is>
          <t xml:space="preserve">Meta (seleção)</t>
        </is>
      </c>
      <c r="C48" s="54" t="str">
        <f>IFERROR(1/(1/INDEX(BD!$AK$23:$AT$23,MATCH($B$2,BD!$AK$22:$AT$22,0))),"")</f>
        <v/>
      </c>
      <c r="D48" s="54" t="str">
        <f>IFERROR(1/(1/INDEX(BD!$AK$24:$AT$24,MATCH($B$2,BD!$AK$22:$AT$22,0))),"")</f>
        <v/>
      </c>
      <c r="E48" s="54" t="str">
        <f>IFERROR(1/(1/INDEX(BD!$AK$25:$AT$25,MATCH($B$2,BD!$AK$22:$AT$22,0))),"")</f>
        <v/>
      </c>
      <c r="F48" s="54" t="str">
        <f>IFERROR(1/(1/INDEX(BD!$AK$26:$AT$26,MATCH($B$2,BD!$AK$22:$AT$22,0))),"")</f>
        <v/>
      </c>
      <c r="G48" s="54" t="str">
        <f>IFERROR(1/(1/INDEX(BD!$AK$27:$AT$27,MATCH($B$2,BD!$AK$22:$AT$22,0))),"")</f>
        <v/>
      </c>
      <c r="H48" s="54" t="str">
        <f>IFERROR(1/(1/INDEX(BD!$AK$28:$AT$28,MATCH($B$2,BD!$AK$22:$AT$22,0))),"")</f>
        <v/>
      </c>
      <c r="I48" s="54" t="str">
        <f>IFERROR(1/(1/INDEX(BD!$AK$29:$AT$29,MATCH($B$2,BD!$AK$22:$AT$22,0))),"")</f>
        <v/>
      </c>
      <c r="J48" s="54" t="str">
        <f>IFERROR(1/(1/INDEX(BD!$AK$30:$AT$30,MATCH($B$2,BD!$AK$22:$AT$22,0))),"")</f>
        <v/>
      </c>
      <c r="K48" s="54" t="str">
        <f>IFERROR(1/(1/INDEX(BD!$AK$31:$AT$31,MATCH($B$2,BD!$AK$22:$AT$22,0))),"")</f>
        <v/>
      </c>
      <c r="L48" s="54" t="str">
        <f>IFERROR(1/(1/INDEX(BD!$AK$32:$AT$32,MATCH($B$2,BD!$AK$22:$AT$22,0))),"")</f>
        <v/>
      </c>
      <c r="M48" s="54" t="str">
        <f>IFERROR(1/(1/INDEX(BD!$AK$33:$AT$33,MATCH($B$2,BD!$AK$22:$AT$22,0))),"")</f>
        <v/>
      </c>
      <c r="N48" s="54" t="str">
        <f>IFERROR(1/(1/INDEX(BD!$AK$34:$AT$34,MATCH($B$2,BD!$AK$22:$AT$22,0))),"")</f>
        <v/>
      </c>
      <c r="O48" s="54" t="str">
        <f>IFERROR(1/(1/INDEX(BD!$AK$35:$AT$35,MATCH($B$2,BD!$AK$22:$AT$22,0))),"")</f>
        <v/>
      </c>
      <c r="P48" s="54" t="str">
        <f>IFERROR(1/(1/INDEX(BD!$AK$36:$AT$36,MATCH($B$2,BD!$AK$22:$AT$22,0))),"")</f>
        <v/>
      </c>
      <c r="Q48" s="54" t="str">
        <f>IFERROR(1/(1/INDEX(BD!$AK$37:$AT$37,MATCH($B$2,BD!$AK$22:$AT$22,0))),"")</f>
        <v/>
      </c>
      <c r="R48" s="54" t="str">
        <f>IFERROR(1/(1/INDEX(BD!$AK$38:$AT$38,MATCH($B$2,BD!$AK$22:$AT$22,0))),"")</f>
        <v/>
      </c>
      <c r="S48" s="54" t="str">
        <f>IFERROR(1/(1/INDEX(BD!$AK$39:$AT$39,MATCH($B$2,BD!$AK$22:$AT$22,0))),"")</f>
        <v/>
      </c>
      <c r="T48" s="54" t="str">
        <f>IFERROR(1/(1/INDEX(BD!$AK$40:$AT$40,MATCH($B$2,BD!$AK$22:$AT$22,0))),"")</f>
        <v/>
      </c>
      <c r="U48" s="54" t="str">
        <f>IFERROR(1/(1/INDEX(BD!$AK$41:$AT$41,MATCH($B$2,BD!$AK$22:$AT$22,0))),"")</f>
        <v/>
      </c>
      <c r="V48" s="54" t="str">
        <f>IFERROR(1/(1/INDEX(BD!$AK$42:$AT$42,MATCH($B$2,BD!$AK$22:$AT$22,0))),"")</f>
        <v/>
      </c>
      <c r="W48" s="54" t="str">
        <f>IFERROR(1/(1/INDEX(BD!$AK$43:$AT$43,MATCH($B$2,BD!$AK$22:$AT$22,0))),"")</f>
        <v/>
      </c>
      <c r="X48" s="54" t="str">
        <f>IFERROR(1/(1/INDEX(BD!$AK$44:$AT$44,MATCH($B$2,BD!$AK$22:$AT$22,0))),"")</f>
        <v/>
      </c>
      <c r="Y48" s="54" t="str">
        <f>IFERROR(1/(1/INDEX(BD!$AK$45:$AT$45,MATCH($B$2,BD!$AK$22:$AT$22,0))),"")</f>
        <v/>
      </c>
      <c r="Z48" s="56" t="str">
        <f>IFERROR(1/(1/INDEX(BD!$AK$46:$AT$46,MATCH($B$2,BD!$AK$22:$AT$22,0))),"")</f>
        <v/>
      </c>
      <c r="AA48" s="54" t="str">
        <f>IFERROR(1/(1/INDEX(BD!$AK$47:$AT$47,MATCH($B$2,BD!$AK$22:$AT$22,0))),"")</f>
        <v/>
      </c>
      <c r="AB48" s="54" t="str">
        <f>IFERROR(1/(1/INDEX(BD!$AK$48:$AT$48,MATCH($B$2,BD!$AK$22:$AT$22,0))),"")</f>
        <v/>
      </c>
      <c r="AC48" s="54" t="str">
        <f>IFERROR(1/(1/INDEX(BD!$AK$49:$AT$49,MATCH($B$2,BD!$AK$22:$AT$22,0))),"")</f>
        <v/>
      </c>
      <c r="AD48" s="54" t="str">
        <f>IFERROR(1/(1/INDEX(BD!$AK$50:$AT$50,MATCH($B$2,BD!$AK$22:$AT$22,0))),"")</f>
        <v/>
      </c>
      <c r="AE48" s="54" t="str">
        <f>IFERROR(1/(1/INDEX(BD!$AK$51:$AT$51,MATCH($B$2,BD!$AK$22:$AT$22,0))),"")</f>
        <v/>
      </c>
      <c r="AF48" s="54" t="str">
        <f>IFERROR(1/(1/INDEX(BD!$AK$52:$AT$52,MATCH($B$2,BD!$AK$22:$AT$22,0))),"")</f>
        <v/>
      </c>
      <c r="AG48" s="54" t="str">
        <f>IFERROR(1/(1/INDEX(BD!$AK$53:$AT$53,MATCH($B$2,BD!$AK$22:$AT$22,0))),"")</f>
        <v/>
      </c>
      <c r="AH48" s="54" t="str">
        <f>IFERROR(1/(1/INDEX(BD!$AK$54:$AT$54,MATCH($B$2,BD!$AK$22:$AT$22,0))),"")</f>
        <v/>
      </c>
    </row>
    <row r="49">
      <c r="A49" s="51" t="inlineStr">
        <is>
          <t xml:space="preserve">% da meta</t>
        </is>
      </c>
      <c r="C49" s="56" t="str">
        <f>IF(AND(ISNUMBER(C48),ISNUMBER(C43)),IF(C48&gt;0,C43/C48,""),"")</f>
        <v/>
      </c>
      <c r="D49" s="56" t="str">
        <f>IF(AND(ISNUMBER(D48),ISNUMBER(D43)),IF(D48&gt;0,D43/D48,""),"")</f>
        <v/>
      </c>
      <c r="E49" s="56" t="str">
        <f>IF(AND(ISNUMBER(E48),ISNUMBER(E43)),IF(E48&gt;0,E43/E48,""),"")</f>
        <v/>
      </c>
      <c r="F49" s="56" t="str">
        <f>IF(AND(ISNUMBER(F48),ISNUMBER(F43)),IF(F48&gt;0,F43/F48,""),"")</f>
        <v/>
      </c>
      <c r="G49" s="56" t="str">
        <f>IF(AND(ISNUMBER(G48),ISNUMBER(G43)),IF(G48&gt;0,G43/G48,""),"")</f>
        <v/>
      </c>
      <c r="H49" s="56" t="str">
        <f>IF(AND(ISNUMBER(H48),ISNUMBER(H43)),IF(H48&gt;0,H43/H48,""),"")</f>
        <v/>
      </c>
      <c r="I49" s="56" t="str">
        <f>IF(AND(ISNUMBER(I48),ISNUMBER(I43)),IF(I48&gt;0,I43/I48,""),"")</f>
        <v/>
      </c>
      <c r="J49" s="56" t="str">
        <f>IF(AND(ISNUMBER(J48),ISNUMBER(J43)),IF(J48&gt;0,J43/J48,""),"")</f>
        <v/>
      </c>
      <c r="K49" s="56" t="str">
        <f>IF(AND(ISNUMBER(K48),ISNUMBER(K43)),IF(K48&gt;0,K43/K48,""),"")</f>
        <v/>
      </c>
      <c r="L49" s="56" t="str">
        <f>IF(AND(ISNUMBER(L48),ISNUMBER(L43)),IF(L48&gt;0,L43/L48,""),"")</f>
        <v/>
      </c>
      <c r="M49" s="56" t="str">
        <f>IF(AND(ISNUMBER(M48),ISNUMBER(M43)),IF(M48&gt;0,M43/M48,""),"")</f>
        <v/>
      </c>
      <c r="N49" s="56" t="str">
        <f>IF(AND(ISNUMBER(N48),ISNUMBER(N43)),IF(N48&gt;0,N43/N48,""),"")</f>
        <v/>
      </c>
      <c r="O49" s="56" t="str">
        <f>IF(AND(ISNUMBER(O48),ISNUMBER(O43)),IF(O48&gt;0,O43/O48,""),"")</f>
        <v/>
      </c>
      <c r="P49" s="56" t="str">
        <f>IF(AND(ISNUMBER(P48),ISNUMBER(P43)),IF(P48&gt;0,P43/P48,""),"")</f>
        <v/>
      </c>
      <c r="Q49" s="56" t="str">
        <f>IF(AND(ISNUMBER(Q48),ISNUMBER(Q43)),IF(Q48&gt;0,Q43/Q48,""),"")</f>
        <v/>
      </c>
      <c r="R49" s="56" t="str">
        <f>IF(AND(ISNUMBER(R48),ISNUMBER(R43)),IF(R48&gt;0,R43/R48,""),"")</f>
        <v/>
      </c>
      <c r="S49" s="56" t="str">
        <f>IF(AND(ISNUMBER(S48),ISNUMBER(S43)),IF(S48&gt;0,S43/S48,""),"")</f>
        <v/>
      </c>
      <c r="T49" s="56" t="str">
        <f>IF(AND(ISNUMBER(T48),ISNUMBER(T43)),IF(T48&gt;0,T43/T48,""),"")</f>
        <v/>
      </c>
      <c r="U49" s="56" t="str">
        <f>IF(AND(ISNUMBER(U48),ISNUMBER(U43)),IF(U48&gt;0,U43/U48,""),"")</f>
        <v/>
      </c>
      <c r="V49" s="56" t="str">
        <f>IF(AND(ISNUMBER(V48),ISNUMBER(V43)),IF(V48&gt;0,V43/V48,""),"")</f>
        <v/>
      </c>
      <c r="W49" s="56" t="str">
        <f>IF(AND(ISNUMBER(W48),ISNUMBER(W43)),IF(W48&gt;0,W43/W48,""),"")</f>
        <v/>
      </c>
      <c r="X49" s="56" t="str">
        <f>IF(AND(ISNUMBER(X48),ISNUMBER(X43)),IF(X48&gt;0,X43/X48,""),"")</f>
        <v/>
      </c>
      <c r="Y49" s="56" t="str">
        <f>IF(AND(ISNUMBER(Y48),ISNUMBER(Y43)),IF(Y48&gt;0,Y43/Y48,""),"")</f>
        <v/>
      </c>
      <c r="Z49" s="56" t="str">
        <f>IF(AND(ISNUMBER(Z48),ISNUMBER(Z43)),IF(Z48&gt;0,Z43/Z48,""),"")</f>
        <v/>
      </c>
      <c r="AA49" s="56" t="str">
        <f>IF(AND(ISNUMBER(AA48),ISNUMBER(AA43)),IF(AA48&gt;0,AA43/AA48,""),"")</f>
        <v/>
      </c>
      <c r="AB49" s="56" t="str">
        <f>IF(AND(ISNUMBER(AB48),ISNUMBER(AB43)),IF(AB48&gt;0,AB43/AB48,""),"")</f>
        <v/>
      </c>
      <c r="AC49" s="56" t="str">
        <f>IF(AND(ISNUMBER(AC48),ISNUMBER(AC43)),IF(AC48&gt;0,AC43/AC48,""),"")</f>
        <v/>
      </c>
      <c r="AD49" s="56" t="str">
        <f>IF(AND(ISNUMBER(AD48),ISNUMBER(AD43)),IF(AD48&gt;0,AD43/AD48,""),"")</f>
        <v/>
      </c>
      <c r="AE49" s="56" t="str">
        <f>IF(AND(ISNUMBER(AE48),ISNUMBER(AE43)),IF(AE48&gt;0,AE43/AE48,""),"")</f>
        <v/>
      </c>
      <c r="AF49" s="56" t="str">
        <f>IF(AND(ISNUMBER(AF48),ISNUMBER(AF43)),IF(AF48&gt;0,AF43/AF48,""),"")</f>
        <v/>
      </c>
      <c r="AG49" s="56" t="str">
        <f>IF(AND(ISNUMBER(AG48),ISNUMBER(AG43)),IF(AG48&gt;0,AG43/AG48,""),"")</f>
        <v/>
      </c>
      <c r="AH49" s="56" t="str">
        <f>IF(AND(ISNUMBER(AH48),ISNUMBER(AH43)),IF(AH48&gt;0,AH43/AH48,""),"")</f>
        <v/>
      </c>
    </row>
    <row r="50">
      <c r="A50" s="51" t="inlineStr">
        <is>
          <t xml:space="preserve">Status</t>
        </is>
      </c>
      <c r="C50" s="57" t="str">
        <f>IF(ISNUMBER(C49),IF(C49&gt;=1,"meta atingida","abaixo da meta"),"")</f>
        <v/>
      </c>
      <c r="D50" s="57" t="str">
        <f>IF(ISNUMBER(D49),IF(D49&gt;=1,"meta atingida","abaixo da meta"),"")</f>
        <v/>
      </c>
      <c r="E50" s="57" t="str">
        <f>IF(ISNUMBER(E49),IF(E49&gt;=1,"meta atingida","abaixo da meta"),"")</f>
        <v/>
      </c>
      <c r="F50" s="57" t="str">
        <f>IF(ISNUMBER(F49),IF(F49&gt;=1,"meta atingida","abaixo da meta"),"")</f>
        <v/>
      </c>
      <c r="G50" s="57" t="str">
        <f>IF(ISNUMBER(G49),IF(G49&gt;=1,"meta atingida","abaixo da meta"),"")</f>
        <v/>
      </c>
      <c r="H50" s="57" t="str">
        <f>IF(ISNUMBER(H49),IF(H49&gt;=1,"meta atingida","abaixo da meta"),"")</f>
        <v/>
      </c>
      <c r="I50" s="57" t="str">
        <f>IF(ISNUMBER(I49),IF(I49&gt;=1,"meta atingida","abaixo da meta"),"")</f>
        <v/>
      </c>
      <c r="J50" s="57" t="str">
        <f>IF(ISNUMBER(J49),IF(J49&gt;=1,"meta atingida","abaixo da meta"),"")</f>
        <v/>
      </c>
      <c r="K50" s="57" t="str">
        <f>IF(ISNUMBER(K49),IF(K49&gt;=1,"meta atingida","abaixo da meta"),"")</f>
        <v/>
      </c>
      <c r="L50" s="57" t="str">
        <f>IF(ISNUMBER(L49),IF(L49&gt;=1,"meta atingida","abaixo da meta"),"")</f>
        <v/>
      </c>
      <c r="M50" s="57" t="str">
        <f>IF(ISNUMBER(M49),IF(M49&gt;=1,"meta atingida","abaixo da meta"),"")</f>
        <v/>
      </c>
      <c r="N50" s="57" t="str">
        <f>IF(ISNUMBER(N49),IF(N49&gt;=1,"meta atingida","abaixo da meta"),"")</f>
        <v/>
      </c>
      <c r="O50" s="57" t="str">
        <f>IF(ISNUMBER(O49),IF(O49&gt;=1,"meta atingida","abaixo da meta"),"")</f>
        <v/>
      </c>
      <c r="P50" s="57" t="str">
        <f>IF(ISNUMBER(P49),IF(P49&gt;=1,"meta atingida","abaixo da meta"),"")</f>
        <v/>
      </c>
      <c r="Q50" s="57" t="str">
        <f>IF(ISNUMBER(Q49),IF(Q49&gt;=1,"meta atingida","abaixo da meta"),"")</f>
        <v/>
      </c>
      <c r="R50" s="57" t="str">
        <f>IF(ISNUMBER(R49),IF(R49&gt;=1,"meta atingida","abaixo da meta"),"")</f>
        <v/>
      </c>
      <c r="S50" s="57" t="str">
        <f>IF(ISNUMBER(S49),IF(S49&gt;=1,"meta atingida","abaixo da meta"),"")</f>
        <v/>
      </c>
      <c r="T50" s="57" t="str">
        <f>IF(ISNUMBER(T49),IF(T49&gt;=1,"meta atingida","abaixo da meta"),"")</f>
        <v/>
      </c>
      <c r="U50" s="57" t="str">
        <f>IF(AND(ISNUMBER(U48),ISNUMBER(U43)),IF(U43&lt;=U48,"dentro do limite","acima do limite"),"")</f>
        <v/>
      </c>
      <c r="V50" s="57" t="str">
        <f>IF(AND(ISNUMBER(V48),ISNUMBER(V43)),IF(V43&lt;=V48,"dentro do limite","acima do limite"),"")</f>
        <v/>
      </c>
      <c r="W50" s="57" t="str">
        <f>IF(AND(ISNUMBER(W48),ISNUMBER(W43)),IF(W43&lt;=W48,"dentro do limite","acima do limite"),"")</f>
        <v/>
      </c>
      <c r="X50" s="57" t="str">
        <f>IF(ISNUMBER(X49),IF(X49&gt;=1,"meta atingida","abaixo da meta"),"")</f>
        <v/>
      </c>
      <c r="Y50" s="57" t="str">
        <f>IF(ISNUMBER(Y49),IF(Y49&gt;=1,"meta atingida","abaixo da meta"),"")</f>
        <v/>
      </c>
      <c r="Z50" s="57" t="str">
        <f>IF(ISNUMBER(Z43),IF(Z43&gt;1,"excede o contratado",IF(Z43&gt;=$B$6,"ocupação alta",IF(Z43&gt;=$B$5,"ocupação média","ociosidade alta"))),"")</f>
        <v/>
      </c>
      <c r="AA50" s="57" t="str">
        <f>IF(ISNUMBER(AA49),IF(AA49&gt;=1,"meta atingida","abaixo da meta"),"")</f>
        <v/>
      </c>
      <c r="AB50" s="57" t="str">
        <f>IF(AND(ISNUMBER(AB48),ISNUMBER(AB43)),IF(AB43&lt;=AB48,"dentro do limite","acima do limite"),"")</f>
        <v/>
      </c>
      <c r="AC50" s="57" t="str">
        <f>IF(ISNUMBER(AC49),IF(AC49&gt;=1,"meta atingida","abaixo da meta"),"")</f>
        <v/>
      </c>
      <c r="AD50" s="57" t="str">
        <f>IF(ISNUMBER(AD49),IF(AD49&gt;=1,"meta atingida","abaixo da meta"),"")</f>
        <v/>
      </c>
      <c r="AE50" s="57" t="str">
        <f>IF(AND(ISNUMBER(AE48),ISNUMBER(AE43)),IF(AE43&lt;=AE48,"dentro do limite","acima do limite"),"")</f>
        <v/>
      </c>
      <c r="AF50" s="57" t="str">
        <f>IF(AND(ISNUMBER(AF48),ISNUMBER(AF43)),IF(AF43&lt;=AF48,"dentro do limite","acima do limite"),"")</f>
        <v/>
      </c>
      <c r="AG50" s="57" t="str">
        <f>IF(AND(ISNUMBER(AG48),ISNUMBER(AG43)),IF(AG43&lt;=AG48,"dentro do limite","acima do limite"),"")</f>
        <v/>
      </c>
      <c r="AH50" s="57" t="str">
        <f>IF(AND(ISNUMBER(AH48),ISNUMBER(AH43)),IF(AH43&lt;=AH48,"dentro do limite","acima do limite"),"")</f>
        <v/>
      </c>
    </row>
    <row r="90">
      <c r="A90" s="19" t="inlineStr">
        <is>
          <t xml:space="preserve">ACUMULADO SEMANAL — toneladas e pallets (seguem o filtro; mês do gráfico)</t>
        </is>
      </c>
    </row>
    <row r="91">
      <c r="A91" s="37" t="inlineStr">
        <is>
          <t xml:space="preserve">Semana</t>
        </is>
      </c>
      <c r="B91" s="37" t="inlineStr">
        <is>
          <t xml:space="preserve">Do dia</t>
        </is>
      </c>
      <c r="C91" s="37" t="inlineStr">
        <is>
          <t xml:space="preserve">Ao dia</t>
        </is>
      </c>
      <c r="D91" s="37" t="inlineStr">
        <is>
          <t xml:space="preserve">IN tons</t>
        </is>
      </c>
      <c r="E91" s="37" t="inlineStr">
        <is>
          <t xml:space="preserve">OUT tons</t>
        </is>
      </c>
      <c r="F91" s="37" t="inlineStr">
        <is>
          <t xml:space="preserve">IN pallets</t>
        </is>
      </c>
      <c r="G91" s="37" t="inlineStr">
        <is>
          <t xml:space="preserve">OUT pallets</t>
        </is>
      </c>
    </row>
    <row r="92">
      <c r="A92" s="29" t="inlineStr">
        <is>
          <t xml:space="preserve">Sem 1 (01–07)</t>
        </is>
      </c>
      <c r="B92" s="28">
        <v>1</v>
      </c>
      <c r="C92" s="28">
        <v>7</v>
      </c>
      <c r="D92" s="60">
        <f>SUMIFS(E12:E42,A12:A42,"&gt;="&amp;$B92,A12:A42,"&lt;="&amp;$C92)</f>
        <v>0</v>
      </c>
      <c r="E92" s="60">
        <f>SUMIFS(T12:T42,A12:A42,"&gt;="&amp;$B92,A12:A42,"&lt;="&amp;$C92)</f>
        <v>0</v>
      </c>
      <c r="F92" s="32">
        <f>SUMIFS(D12:D42,A12:A42,"&gt;="&amp;$B92,A12:A42,"&lt;="&amp;$C92)</f>
        <v>0</v>
      </c>
      <c r="G92" s="32">
        <f>SUMIFS(S12:S42,A12:A42,"&gt;="&amp;$B92,A12:A42,"&lt;="&amp;$C92)</f>
        <v>0</v>
      </c>
    </row>
    <row r="93">
      <c r="A93" s="29" t="inlineStr">
        <is>
          <t xml:space="preserve">Sem 2 (08–14)</t>
        </is>
      </c>
      <c r="B93" s="28">
        <v>8</v>
      </c>
      <c r="C93" s="28">
        <v>14</v>
      </c>
      <c r="D93" s="60">
        <f>SUMIFS(E12:E42,A12:A42,"&gt;="&amp;$B93,A12:A42,"&lt;="&amp;$C93)</f>
        <v>0</v>
      </c>
      <c r="E93" s="60">
        <f>SUMIFS(T12:T42,A12:A42,"&gt;="&amp;$B93,A12:A42,"&lt;="&amp;$C93)</f>
        <v>0</v>
      </c>
      <c r="F93" s="32">
        <f>SUMIFS(D12:D42,A12:A42,"&gt;="&amp;$B93,A12:A42,"&lt;="&amp;$C93)</f>
        <v>0</v>
      </c>
      <c r="G93" s="32">
        <f>SUMIFS(S12:S42,A12:A42,"&gt;="&amp;$B93,A12:A42,"&lt;="&amp;$C93)</f>
        <v>0</v>
      </c>
    </row>
    <row r="94">
      <c r="A94" s="29" t="inlineStr">
        <is>
          <t xml:space="preserve">Sem 3 (15–21)</t>
        </is>
      </c>
      <c r="B94" s="28">
        <v>15</v>
      </c>
      <c r="C94" s="28">
        <v>21</v>
      </c>
      <c r="D94" s="60">
        <f>SUMIFS(E12:E42,A12:A42,"&gt;="&amp;$B94,A12:A42,"&lt;="&amp;$C94)</f>
        <v>0</v>
      </c>
      <c r="E94" s="60">
        <f>SUMIFS(T12:T42,A12:A42,"&gt;="&amp;$B94,A12:A42,"&lt;="&amp;$C94)</f>
        <v>0</v>
      </c>
      <c r="F94" s="32">
        <f>SUMIFS(D12:D42,A12:A42,"&gt;="&amp;$B94,A12:A42,"&lt;="&amp;$C94)</f>
        <v>0</v>
      </c>
      <c r="G94" s="32">
        <f>SUMIFS(S12:S42,A12:A42,"&gt;="&amp;$B94,A12:A42,"&lt;="&amp;$C94)</f>
        <v>0</v>
      </c>
    </row>
    <row r="95">
      <c r="A95" s="29" t="inlineStr">
        <is>
          <t xml:space="preserve">Sem 4 (22–28)</t>
        </is>
      </c>
      <c r="B95" s="28">
        <v>22</v>
      </c>
      <c r="C95" s="28">
        <v>28</v>
      </c>
      <c r="D95" s="60">
        <f>SUMIFS(E12:E42,A12:A42,"&gt;="&amp;$B95,A12:A42,"&lt;="&amp;$C95)</f>
        <v>0</v>
      </c>
      <c r="E95" s="60">
        <f>SUMIFS(T12:T42,A12:A42,"&gt;="&amp;$B95,A12:A42,"&lt;="&amp;$C95)</f>
        <v>0</v>
      </c>
      <c r="F95" s="32">
        <f>SUMIFS(D12:D42,A12:A42,"&gt;="&amp;$B95,A12:A42,"&lt;="&amp;$C95)</f>
        <v>0</v>
      </c>
      <c r="G95" s="32">
        <f>SUMIFS(S12:S42,A12:A42,"&gt;="&amp;$B95,A12:A42,"&lt;="&amp;$C95)</f>
        <v>0</v>
      </c>
    </row>
    <row r="96">
      <c r="A96" s="29" t="inlineStr">
        <is>
          <t xml:space="preserve">Sem 5 (29–fim)</t>
        </is>
      </c>
      <c r="B96" s="28">
        <v>29</v>
      </c>
      <c r="C96" s="28">
        <v>31</v>
      </c>
      <c r="D96" s="60">
        <f>SUMIFS(E12:E42,A12:A42,"&gt;="&amp;$B96,A12:A42,"&lt;="&amp;$C96)</f>
        <v>0</v>
      </c>
      <c r="E96" s="60">
        <f>SUMIFS(T12:T42,A12:A42,"&gt;="&amp;$B96,A12:A42,"&lt;="&amp;$C96)</f>
        <v>0</v>
      </c>
      <c r="F96" s="32">
        <f>SUMIFS(D12:D42,A12:A42,"&gt;="&amp;$B96,A12:A42,"&lt;="&amp;$C96)</f>
        <v>0</v>
      </c>
      <c r="G96" s="32">
        <f>SUMIFS(S12:S42,A12:A42,"&gt;="&amp;$B96,A12:A42,"&lt;="&amp;$C96)</f>
        <v>0</v>
      </c>
    </row>
    <row r="100">
      <c r="A100" s="19" t="inlineStr">
        <is>
          <t xml:space="preserve">POR CLIENTE — mês inteiro (todos os clientes). Estoque = último valor do mês.</t>
        </is>
      </c>
    </row>
    <row r="101" ht="30" customHeight="1">
      <c r="A101" s="37" t="inlineStr">
        <is>
          <t xml:space="preserve">Indicador</t>
        </is>
      </c>
      <c r="B101" s="37" t="inlineStr">
        <is>
          <t xml:space="preserve">Alpargatas</t>
        </is>
      </c>
      <c r="C101" s="37" t="inlineStr">
        <is>
          <t xml:space="preserve">Basf</t>
        </is>
      </c>
      <c r="D101" s="37" t="inlineStr">
        <is>
          <t xml:space="preserve">Beautybiz</t>
        </is>
      </c>
      <c r="E101" s="37" t="inlineStr">
        <is>
          <t xml:space="preserve">Boticário</t>
        </is>
      </c>
      <c r="F101" s="37" t="inlineStr">
        <is>
          <t xml:space="preserve">GE Vernova</t>
        </is>
      </c>
      <c r="G101" s="37" t="inlineStr">
        <is>
          <t xml:space="preserve">Omnilife</t>
        </is>
      </c>
      <c r="H101" s="37" t="inlineStr">
        <is>
          <t xml:space="preserve">Supply</t>
        </is>
      </c>
      <c r="I101" s="37" t="inlineStr">
        <is>
          <t xml:space="preserve">Vedacit</t>
        </is>
      </c>
      <c r="J101" s="37" t="inlineStr">
        <is>
          <t xml:space="preserve">Vestas</t>
        </is>
      </c>
      <c r="K101" s="37" t="inlineStr">
        <is>
          <t xml:space="preserve">TOTAL</t>
        </is>
      </c>
    </row>
    <row r="102">
      <c r="A102" s="29" t="inlineStr">
        <is>
          <t xml:space="preserve">IN · Veículos Recebidos</t>
        </is>
      </c>
      <c r="B102" s="32">
        <f>SUMIFS(BD!$C$3:$C$5001,BD!$B$3:$B$5001,B$101,BD!$A$3:$A$5001,"&gt;="&amp;$C$7,BD!$A$3:$A$5001,"&lt;="&amp;$D$7)</f>
        <v>0</v>
      </c>
      <c r="C102" s="32">
        <f>SUMIFS(BD!$C$3:$C$5001,BD!$B$3:$B$5001,C$101,BD!$A$3:$A$5001,"&gt;="&amp;$C$7,BD!$A$3:$A$5001,"&lt;="&amp;$D$7)</f>
        <v>0</v>
      </c>
      <c r="D102" s="32">
        <f>SUMIFS(BD!$C$3:$C$5001,BD!$B$3:$B$5001,D$101,BD!$A$3:$A$5001,"&gt;="&amp;$C$7,BD!$A$3:$A$5001,"&lt;="&amp;$D$7)</f>
        <v>0</v>
      </c>
      <c r="E102" s="32">
        <f>SUMIFS(BD!$C$3:$C$5001,BD!$B$3:$B$5001,E$101,BD!$A$3:$A$5001,"&gt;="&amp;$C$7,BD!$A$3:$A$5001,"&lt;="&amp;$D$7)</f>
        <v>0</v>
      </c>
      <c r="F102" s="32">
        <f>SUMIFS(BD!$C$3:$C$5001,BD!$B$3:$B$5001,F$101,BD!$A$3:$A$5001,"&gt;="&amp;$C$7,BD!$A$3:$A$5001,"&lt;="&amp;$D$7)</f>
        <v>0</v>
      </c>
      <c r="G102" s="32">
        <f>SUMIFS(BD!$C$3:$C$5001,BD!$B$3:$B$5001,G$101,BD!$A$3:$A$5001,"&gt;="&amp;$C$7,BD!$A$3:$A$5001,"&lt;="&amp;$D$7)</f>
        <v>0</v>
      </c>
      <c r="H102" s="32">
        <f>SUMIFS(BD!$C$3:$C$5001,BD!$B$3:$B$5001,H$101,BD!$A$3:$A$5001,"&gt;="&amp;$C$7,BD!$A$3:$A$5001,"&lt;="&amp;$D$7)</f>
        <v>0</v>
      </c>
      <c r="I102" s="32">
        <f>SUMIFS(BD!$C$3:$C$5001,BD!$B$3:$B$5001,I$101,BD!$A$3:$A$5001,"&gt;="&amp;$C$7,BD!$A$3:$A$5001,"&lt;="&amp;$D$7)</f>
        <v>0</v>
      </c>
      <c r="J102" s="32">
        <f>SUMIFS(BD!$C$3:$C$5001,BD!$B$3:$B$5001,J$101,BD!$A$3:$A$5001,"&gt;="&amp;$C$7,BD!$A$3:$A$5001,"&lt;="&amp;$D$7)</f>
        <v>0</v>
      </c>
      <c r="K102" s="61">
        <f>SUM(B102:J102)</f>
        <v>0</v>
      </c>
    </row>
    <row r="103">
      <c r="A103" s="29" t="inlineStr">
        <is>
          <t xml:space="preserve">IN · Pallets Movimentados</t>
        </is>
      </c>
      <c r="B103" s="32" t="inlineStr">
        <is>
          <t xml:space="preserve">—</t>
        </is>
      </c>
      <c r="C103" s="32">
        <f>SUMIFS(BD!$D$3:$D$5001,BD!$B$3:$B$5001,C$101,BD!$A$3:$A$5001,"&gt;="&amp;$C$7,BD!$A$3:$A$5001,"&lt;="&amp;$D$7)</f>
        <v>0</v>
      </c>
      <c r="D103" s="32">
        <f>SUMIFS(BD!$D$3:$D$5001,BD!$B$3:$B$5001,D$101,BD!$A$3:$A$5001,"&gt;="&amp;$C$7,BD!$A$3:$A$5001,"&lt;="&amp;$D$7)</f>
        <v>0</v>
      </c>
      <c r="E103" s="32" t="inlineStr">
        <is>
          <t xml:space="preserve">—</t>
        </is>
      </c>
      <c r="F103" s="32">
        <f>SUMIFS(BD!$D$3:$D$5001,BD!$B$3:$B$5001,F$101,BD!$A$3:$A$5001,"&gt;="&amp;$C$7,BD!$A$3:$A$5001,"&lt;="&amp;$D$7)</f>
        <v>0</v>
      </c>
      <c r="G103" s="32">
        <f>SUMIFS(BD!$D$3:$D$5001,BD!$B$3:$B$5001,G$101,BD!$A$3:$A$5001,"&gt;="&amp;$C$7,BD!$A$3:$A$5001,"&lt;="&amp;$D$7)</f>
        <v>0</v>
      </c>
      <c r="H103" s="32">
        <f>SUMIFS(BD!$D$3:$D$5001,BD!$B$3:$B$5001,H$101,BD!$A$3:$A$5001,"&gt;="&amp;$C$7,BD!$A$3:$A$5001,"&lt;="&amp;$D$7)</f>
        <v>0</v>
      </c>
      <c r="I103" s="32">
        <f>SUMIFS(BD!$D$3:$D$5001,BD!$B$3:$B$5001,I$101,BD!$A$3:$A$5001,"&gt;="&amp;$C$7,BD!$A$3:$A$5001,"&lt;="&amp;$D$7)</f>
        <v>0</v>
      </c>
      <c r="J103" s="32" t="inlineStr">
        <is>
          <t xml:space="preserve">—</t>
        </is>
      </c>
      <c r="K103" s="61">
        <f>SUM(B103:J103)</f>
        <v>0</v>
      </c>
    </row>
    <row r="104">
      <c r="A104" s="29" t="inlineStr">
        <is>
          <t xml:space="preserve">IN · Toneladas Movimentadas</t>
        </is>
      </c>
      <c r="B104" s="60" t="inlineStr">
        <is>
          <t xml:space="preserve">—</t>
        </is>
      </c>
      <c r="C104" s="60">
        <f>SUMIFS(BD!$E$3:$E$5001,BD!$B$3:$B$5001,C$101,BD!$A$3:$A$5001,"&gt;="&amp;$C$7,BD!$A$3:$A$5001,"&lt;="&amp;$D$7)</f>
        <v>0</v>
      </c>
      <c r="D104" s="60" t="inlineStr">
        <is>
          <t xml:space="preserve">—</t>
        </is>
      </c>
      <c r="E104" s="60" t="inlineStr">
        <is>
          <t xml:space="preserve">—</t>
        </is>
      </c>
      <c r="F104" s="60" t="inlineStr">
        <is>
          <t xml:space="preserve">—</t>
        </is>
      </c>
      <c r="G104" s="60" t="inlineStr">
        <is>
          <t xml:space="preserve">—</t>
        </is>
      </c>
      <c r="H104" s="60">
        <f>SUMIFS(BD!$E$3:$E$5001,BD!$B$3:$B$5001,H$101,BD!$A$3:$A$5001,"&gt;="&amp;$C$7,BD!$A$3:$A$5001,"&lt;="&amp;$D$7)</f>
        <v>0</v>
      </c>
      <c r="I104" s="60" t="inlineStr">
        <is>
          <t xml:space="preserve">—</t>
        </is>
      </c>
      <c r="J104" s="60" t="inlineStr">
        <is>
          <t xml:space="preserve">—</t>
        </is>
      </c>
      <c r="K104" s="62">
        <f>SUM(B104:J104)</f>
        <v>0</v>
      </c>
    </row>
    <row r="105">
      <c r="A105" s="29" t="inlineStr">
        <is>
          <t xml:space="preserve">IN · Linhas NF</t>
        </is>
      </c>
      <c r="B105" s="32" t="inlineStr">
        <is>
          <t xml:space="preserve">—</t>
        </is>
      </c>
      <c r="C105" s="32" t="inlineStr">
        <is>
          <t xml:space="preserve">—</t>
        </is>
      </c>
      <c r="D105" s="32" t="inlineStr">
        <is>
          <t xml:space="preserve">—</t>
        </is>
      </c>
      <c r="E105" s="32" t="inlineStr">
        <is>
          <t xml:space="preserve">—</t>
        </is>
      </c>
      <c r="F105" s="32">
        <f>SUMIFS(BD!$F$3:$F$5001,BD!$B$3:$B$5001,F$101,BD!$A$3:$A$5001,"&gt;="&amp;$C$7,BD!$A$3:$A$5001,"&lt;="&amp;$D$7)</f>
        <v>0</v>
      </c>
      <c r="G105" s="32" t="inlineStr">
        <is>
          <t xml:space="preserve">—</t>
        </is>
      </c>
      <c r="H105" s="32" t="inlineStr">
        <is>
          <t xml:space="preserve">—</t>
        </is>
      </c>
      <c r="I105" s="32" t="inlineStr">
        <is>
          <t xml:space="preserve">—</t>
        </is>
      </c>
      <c r="J105" s="32">
        <f>SUMIFS(BD!$F$3:$F$5001,BD!$B$3:$B$5001,J$101,BD!$A$3:$A$5001,"&gt;="&amp;$C$7,BD!$A$3:$A$5001,"&lt;="&amp;$D$7)</f>
        <v>0</v>
      </c>
      <c r="K105" s="61">
        <f>SUM(B105:J105)</f>
        <v>0</v>
      </c>
    </row>
    <row r="106">
      <c r="A106" s="29" t="inlineStr">
        <is>
          <t xml:space="preserve">IN · Caixas Movimentadas</t>
        </is>
      </c>
      <c r="B106" s="32">
        <f>SUMIFS(BD!$G$3:$G$5001,BD!$B$3:$B$5001,B$101,BD!$A$3:$A$5001,"&gt;="&amp;$C$7,BD!$A$3:$A$5001,"&lt;="&amp;$D$7)</f>
        <v>0</v>
      </c>
      <c r="C106" s="32" t="inlineStr">
        <is>
          <t xml:space="preserve">—</t>
        </is>
      </c>
      <c r="D106" s="32">
        <f>SUMIFS(BD!$G$3:$G$5001,BD!$B$3:$B$5001,D$101,BD!$A$3:$A$5001,"&gt;="&amp;$C$7,BD!$A$3:$A$5001,"&lt;="&amp;$D$7)</f>
        <v>0</v>
      </c>
      <c r="E106" s="32" t="inlineStr">
        <is>
          <t xml:space="preserve">—</t>
        </is>
      </c>
      <c r="F106" s="32" t="inlineStr">
        <is>
          <t xml:space="preserve">—</t>
        </is>
      </c>
      <c r="G106" s="32" t="inlineStr">
        <is>
          <t xml:space="preserve">—</t>
        </is>
      </c>
      <c r="H106" s="32" t="inlineStr">
        <is>
          <t xml:space="preserve">—</t>
        </is>
      </c>
      <c r="I106" s="32" t="inlineStr">
        <is>
          <t xml:space="preserve">—</t>
        </is>
      </c>
      <c r="J106" s="32" t="inlineStr">
        <is>
          <t xml:space="preserve">—</t>
        </is>
      </c>
      <c r="K106" s="61">
        <f>SUM(B106:J106)</f>
        <v>0</v>
      </c>
    </row>
    <row r="107">
      <c r="A107" s="29" t="inlineStr">
        <is>
          <t xml:space="preserve">IN · Peças Movimentadas</t>
        </is>
      </c>
      <c r="B107" s="32" t="inlineStr">
        <is>
          <t xml:space="preserve">—</t>
        </is>
      </c>
      <c r="C107" s="32" t="inlineStr">
        <is>
          <t xml:space="preserve">—</t>
        </is>
      </c>
      <c r="D107" s="32" t="inlineStr">
        <is>
          <t xml:space="preserve">—</t>
        </is>
      </c>
      <c r="E107" s="32" t="inlineStr">
        <is>
          <t xml:space="preserve">—</t>
        </is>
      </c>
      <c r="F107" s="32">
        <f>SUMIFS(BD!$H$3:$H$5001,BD!$B$3:$B$5001,F$101,BD!$A$3:$A$5001,"&gt;="&amp;$C$7,BD!$A$3:$A$5001,"&lt;="&amp;$D$7)</f>
        <v>0</v>
      </c>
      <c r="G107" s="32" t="inlineStr">
        <is>
          <t xml:space="preserve">—</t>
        </is>
      </c>
      <c r="H107" s="32" t="inlineStr">
        <is>
          <t xml:space="preserve">—</t>
        </is>
      </c>
      <c r="I107" s="32" t="inlineStr">
        <is>
          <t xml:space="preserve">—</t>
        </is>
      </c>
      <c r="J107" s="32" t="inlineStr">
        <is>
          <t xml:space="preserve">—</t>
        </is>
      </c>
      <c r="K107" s="61">
        <f>SUM(B107:J107)</f>
        <v>0</v>
      </c>
    </row>
    <row r="108">
      <c r="A108" s="29" t="inlineStr">
        <is>
          <t xml:space="preserve">IN · Itens Recebidos CX Mista</t>
        </is>
      </c>
      <c r="B108" s="32" t="inlineStr">
        <is>
          <t xml:space="preserve">—</t>
        </is>
      </c>
      <c r="C108" s="32" t="inlineStr">
        <is>
          <t xml:space="preserve">—</t>
        </is>
      </c>
      <c r="D108" s="32" t="inlineStr">
        <is>
          <t xml:space="preserve">—</t>
        </is>
      </c>
      <c r="E108" s="32">
        <f>SUMIFS(BD!$I$3:$I$5001,BD!$B$3:$B$5001,E$101,BD!$A$3:$A$5001,"&gt;="&amp;$C$7,BD!$A$3:$A$5001,"&lt;="&amp;$D$7)</f>
        <v>0</v>
      </c>
      <c r="F108" s="32" t="inlineStr">
        <is>
          <t xml:space="preserve">—</t>
        </is>
      </c>
      <c r="G108" s="32" t="inlineStr">
        <is>
          <t xml:space="preserve">—</t>
        </is>
      </c>
      <c r="H108" s="32" t="inlineStr">
        <is>
          <t xml:space="preserve">—</t>
        </is>
      </c>
      <c r="I108" s="32" t="inlineStr">
        <is>
          <t xml:space="preserve">—</t>
        </is>
      </c>
      <c r="J108" s="32" t="inlineStr">
        <is>
          <t xml:space="preserve">—</t>
        </is>
      </c>
      <c r="K108" s="61">
        <f>SUM(B108:J108)</f>
        <v>0</v>
      </c>
    </row>
    <row r="109">
      <c r="A109" s="29" t="inlineStr">
        <is>
          <t xml:space="preserve">IN · Caixas Fechadas</t>
        </is>
      </c>
      <c r="B109" s="32" t="inlineStr">
        <is>
          <t xml:space="preserve">—</t>
        </is>
      </c>
      <c r="C109" s="32" t="inlineStr">
        <is>
          <t xml:space="preserve">—</t>
        </is>
      </c>
      <c r="D109" s="32" t="inlineStr">
        <is>
          <t xml:space="preserve">—</t>
        </is>
      </c>
      <c r="E109" s="32">
        <f>SUMIFS(BD!$J$3:$J$5001,BD!$B$3:$B$5001,E$101,BD!$A$3:$A$5001,"&gt;="&amp;$C$7,BD!$A$3:$A$5001,"&lt;="&amp;$D$7)</f>
        <v>0</v>
      </c>
      <c r="F109" s="32" t="inlineStr">
        <is>
          <t xml:space="preserve">—</t>
        </is>
      </c>
      <c r="G109" s="32" t="inlineStr">
        <is>
          <t xml:space="preserve">—</t>
        </is>
      </c>
      <c r="H109" s="32" t="inlineStr">
        <is>
          <t xml:space="preserve">—</t>
        </is>
      </c>
      <c r="I109" s="32" t="inlineStr">
        <is>
          <t xml:space="preserve">—</t>
        </is>
      </c>
      <c r="J109" s="32" t="inlineStr">
        <is>
          <t xml:space="preserve">—</t>
        </is>
      </c>
      <c r="K109" s="61">
        <f>SUM(B109:J109)</f>
        <v>0</v>
      </c>
    </row>
    <row r="110">
      <c r="A110" s="29" t="inlineStr">
        <is>
          <t xml:space="preserve">IN · Caixas Mistas Recebidas</t>
        </is>
      </c>
      <c r="B110" s="32" t="inlineStr">
        <is>
          <t xml:space="preserve">—</t>
        </is>
      </c>
      <c r="C110" s="32" t="inlineStr">
        <is>
          <t xml:space="preserve">—</t>
        </is>
      </c>
      <c r="D110" s="32" t="inlineStr">
        <is>
          <t xml:space="preserve">—</t>
        </is>
      </c>
      <c r="E110" s="32">
        <f>SUMIFS(BD!$K$3:$K$5001,BD!$B$3:$B$5001,E$101,BD!$A$3:$A$5001,"&gt;="&amp;$C$7,BD!$A$3:$A$5001,"&lt;="&amp;$D$7)</f>
        <v>0</v>
      </c>
      <c r="F110" s="32" t="inlineStr">
        <is>
          <t xml:space="preserve">—</t>
        </is>
      </c>
      <c r="G110" s="32" t="inlineStr">
        <is>
          <t xml:space="preserve">—</t>
        </is>
      </c>
      <c r="H110" s="32" t="inlineStr">
        <is>
          <t xml:space="preserve">—</t>
        </is>
      </c>
      <c r="I110" s="32" t="inlineStr">
        <is>
          <t xml:space="preserve">—</t>
        </is>
      </c>
      <c r="J110" s="32" t="inlineStr">
        <is>
          <t xml:space="preserve">—</t>
        </is>
      </c>
      <c r="K110" s="61">
        <f>SUM(B110:J110)</f>
        <v>0</v>
      </c>
    </row>
    <row r="111">
      <c r="A111" s="29" t="inlineStr">
        <is>
          <t xml:space="preserve">OUT · Veículos Expedidos</t>
        </is>
      </c>
      <c r="B111" s="32">
        <f>SUMIFS(BD!$L$3:$L$5001,BD!$B$3:$B$5001,B$101,BD!$A$3:$A$5001,"&gt;="&amp;$C$7,BD!$A$3:$A$5001,"&lt;="&amp;$D$7)</f>
        <v>0</v>
      </c>
      <c r="C111" s="32">
        <f>SUMIFS(BD!$L$3:$L$5001,BD!$B$3:$B$5001,C$101,BD!$A$3:$A$5001,"&gt;="&amp;$C$7,BD!$A$3:$A$5001,"&lt;="&amp;$D$7)</f>
        <v>0</v>
      </c>
      <c r="D111" s="32">
        <f>SUMIFS(BD!$L$3:$L$5001,BD!$B$3:$B$5001,D$101,BD!$A$3:$A$5001,"&gt;="&amp;$C$7,BD!$A$3:$A$5001,"&lt;="&amp;$D$7)</f>
        <v>0</v>
      </c>
      <c r="E111" s="32">
        <f>SUMIFS(BD!$L$3:$L$5001,BD!$B$3:$B$5001,E$101,BD!$A$3:$A$5001,"&gt;="&amp;$C$7,BD!$A$3:$A$5001,"&lt;="&amp;$D$7)</f>
        <v>0</v>
      </c>
      <c r="F111" s="32">
        <f>SUMIFS(BD!$L$3:$L$5001,BD!$B$3:$B$5001,F$101,BD!$A$3:$A$5001,"&gt;="&amp;$C$7,BD!$A$3:$A$5001,"&lt;="&amp;$D$7)</f>
        <v>0</v>
      </c>
      <c r="G111" s="32">
        <f>SUMIFS(BD!$L$3:$L$5001,BD!$B$3:$B$5001,G$101,BD!$A$3:$A$5001,"&gt;="&amp;$C$7,BD!$A$3:$A$5001,"&lt;="&amp;$D$7)</f>
        <v>0</v>
      </c>
      <c r="H111" s="32">
        <f>SUMIFS(BD!$L$3:$L$5001,BD!$B$3:$B$5001,H$101,BD!$A$3:$A$5001,"&gt;="&amp;$C$7,BD!$A$3:$A$5001,"&lt;="&amp;$D$7)</f>
        <v>0</v>
      </c>
      <c r="I111" s="32">
        <f>SUMIFS(BD!$L$3:$L$5001,BD!$B$3:$B$5001,I$101,BD!$A$3:$A$5001,"&gt;="&amp;$C$7,BD!$A$3:$A$5001,"&lt;="&amp;$D$7)</f>
        <v>0</v>
      </c>
      <c r="J111" s="32">
        <f>SUMIFS(BD!$L$3:$L$5001,BD!$B$3:$B$5001,J$101,BD!$A$3:$A$5001,"&gt;="&amp;$C$7,BD!$A$3:$A$5001,"&lt;="&amp;$D$7)</f>
        <v>0</v>
      </c>
      <c r="K111" s="61">
        <f>SUM(B111:J111)</f>
        <v>0</v>
      </c>
    </row>
    <row r="112">
      <c r="A112" s="29" t="inlineStr">
        <is>
          <t xml:space="preserve">OUT · Pedidos Expedidos</t>
        </is>
      </c>
      <c r="B112" s="32" t="inlineStr">
        <is>
          <t xml:space="preserve">—</t>
        </is>
      </c>
      <c r="C112" s="32" t="inlineStr">
        <is>
          <t xml:space="preserve">—</t>
        </is>
      </c>
      <c r="D112" s="32">
        <f>SUMIFS(BD!$M$3:$M$5001,BD!$B$3:$B$5001,D$101,BD!$A$3:$A$5001,"&gt;="&amp;$C$7,BD!$A$3:$A$5001,"&lt;="&amp;$D$7)</f>
        <v>0</v>
      </c>
      <c r="E112" s="32" t="inlineStr">
        <is>
          <t xml:space="preserve">—</t>
        </is>
      </c>
      <c r="F112" s="32" t="inlineStr">
        <is>
          <t xml:space="preserve">—</t>
        </is>
      </c>
      <c r="G112" s="32" t="inlineStr">
        <is>
          <t xml:space="preserve">—</t>
        </is>
      </c>
      <c r="H112" s="32" t="inlineStr">
        <is>
          <t xml:space="preserve">—</t>
        </is>
      </c>
      <c r="I112" s="32" t="inlineStr">
        <is>
          <t xml:space="preserve">—</t>
        </is>
      </c>
      <c r="J112" s="32" t="inlineStr">
        <is>
          <t xml:space="preserve">—</t>
        </is>
      </c>
      <c r="K112" s="61">
        <f>SUM(B112:J112)</f>
        <v>0</v>
      </c>
    </row>
    <row r="113">
      <c r="A113" s="29" t="inlineStr">
        <is>
          <t xml:space="preserve">OUT · Pedidos Faturados</t>
        </is>
      </c>
      <c r="B113" s="32" t="inlineStr">
        <is>
          <t xml:space="preserve">—</t>
        </is>
      </c>
      <c r="C113" s="32" t="inlineStr">
        <is>
          <t xml:space="preserve">—</t>
        </is>
      </c>
      <c r="D113" s="32" t="inlineStr">
        <is>
          <t xml:space="preserve">—</t>
        </is>
      </c>
      <c r="E113" s="32">
        <f>SUMIFS(BD!$N$3:$N$5001,BD!$B$3:$B$5001,E$101,BD!$A$3:$A$5001,"&gt;="&amp;$C$7,BD!$A$3:$A$5001,"&lt;="&amp;$D$7)</f>
        <v>0</v>
      </c>
      <c r="F113" s="32" t="inlineStr">
        <is>
          <t xml:space="preserve">—</t>
        </is>
      </c>
      <c r="G113" s="32" t="inlineStr">
        <is>
          <t xml:space="preserve">—</t>
        </is>
      </c>
      <c r="H113" s="32" t="inlineStr">
        <is>
          <t xml:space="preserve">—</t>
        </is>
      </c>
      <c r="I113" s="32" t="inlineStr">
        <is>
          <t xml:space="preserve">—</t>
        </is>
      </c>
      <c r="J113" s="32" t="inlineStr">
        <is>
          <t xml:space="preserve">—</t>
        </is>
      </c>
      <c r="K113" s="61">
        <f>SUM(B113:J113)</f>
        <v>0</v>
      </c>
    </row>
    <row r="114">
      <c r="A114" s="29" t="inlineStr">
        <is>
          <t xml:space="preserve">OUT · Itens Expedidos</t>
        </is>
      </c>
      <c r="B114" s="32" t="inlineStr">
        <is>
          <t xml:space="preserve">—</t>
        </is>
      </c>
      <c r="C114" s="32" t="inlineStr">
        <is>
          <t xml:space="preserve">—</t>
        </is>
      </c>
      <c r="D114" s="32" t="inlineStr">
        <is>
          <t xml:space="preserve">—</t>
        </is>
      </c>
      <c r="E114" s="32">
        <f>SUMIFS(BD!$O$3:$O$5001,BD!$B$3:$B$5001,E$101,BD!$A$3:$A$5001,"&gt;="&amp;$C$7,BD!$A$3:$A$5001,"&lt;="&amp;$D$7)</f>
        <v>0</v>
      </c>
      <c r="F114" s="32" t="inlineStr">
        <is>
          <t xml:space="preserve">—</t>
        </is>
      </c>
      <c r="G114" s="32" t="inlineStr">
        <is>
          <t xml:space="preserve">—</t>
        </is>
      </c>
      <c r="H114" s="32" t="inlineStr">
        <is>
          <t xml:space="preserve">—</t>
        </is>
      </c>
      <c r="I114" s="32" t="inlineStr">
        <is>
          <t xml:space="preserve">—</t>
        </is>
      </c>
      <c r="J114" s="32" t="inlineStr">
        <is>
          <t xml:space="preserve">—</t>
        </is>
      </c>
      <c r="K114" s="61">
        <f>SUM(B114:J114)</f>
        <v>0</v>
      </c>
    </row>
    <row r="115">
      <c r="A115" s="29" t="inlineStr">
        <is>
          <t xml:space="preserve">OUT · Peças Movimentadas</t>
        </is>
      </c>
      <c r="B115" s="32" t="inlineStr">
        <is>
          <t xml:space="preserve">—</t>
        </is>
      </c>
      <c r="C115" s="32" t="inlineStr">
        <is>
          <t xml:space="preserve">—</t>
        </is>
      </c>
      <c r="D115" s="32" t="inlineStr">
        <is>
          <t xml:space="preserve">—</t>
        </is>
      </c>
      <c r="E115" s="32" t="inlineStr">
        <is>
          <t xml:space="preserve">—</t>
        </is>
      </c>
      <c r="F115" s="32">
        <f>SUMIFS(BD!$P$3:$P$5001,BD!$B$3:$B$5001,F$101,BD!$A$3:$A$5001,"&gt;="&amp;$C$7,BD!$A$3:$A$5001,"&lt;="&amp;$D$7)</f>
        <v>0</v>
      </c>
      <c r="G115" s="32" t="inlineStr">
        <is>
          <t xml:space="preserve">—</t>
        </is>
      </c>
      <c r="H115" s="32" t="inlineStr">
        <is>
          <t xml:space="preserve">—</t>
        </is>
      </c>
      <c r="I115" s="32" t="inlineStr">
        <is>
          <t xml:space="preserve">—</t>
        </is>
      </c>
      <c r="J115" s="32" t="inlineStr">
        <is>
          <t xml:space="preserve">—</t>
        </is>
      </c>
      <c r="K115" s="61">
        <f>SUM(B115:J115)</f>
        <v>0</v>
      </c>
    </row>
    <row r="116">
      <c r="A116" s="29" t="inlineStr">
        <is>
          <t xml:space="preserve">OUT · Linhas NF</t>
        </is>
      </c>
      <c r="B116" s="32" t="inlineStr">
        <is>
          <t xml:space="preserve">—</t>
        </is>
      </c>
      <c r="C116" s="32" t="inlineStr">
        <is>
          <t xml:space="preserve">—</t>
        </is>
      </c>
      <c r="D116" s="32" t="inlineStr">
        <is>
          <t xml:space="preserve">—</t>
        </is>
      </c>
      <c r="E116" s="32" t="inlineStr">
        <is>
          <t xml:space="preserve">—</t>
        </is>
      </c>
      <c r="F116" s="32">
        <f>SUMIFS(BD!$Q$3:$Q$5001,BD!$B$3:$B$5001,F$101,BD!$A$3:$A$5001,"&gt;="&amp;$C$7,BD!$A$3:$A$5001,"&lt;="&amp;$D$7)</f>
        <v>0</v>
      </c>
      <c r="G116" s="32" t="inlineStr">
        <is>
          <t xml:space="preserve">—</t>
        </is>
      </c>
      <c r="H116" s="32" t="inlineStr">
        <is>
          <t xml:space="preserve">—</t>
        </is>
      </c>
      <c r="I116" s="32" t="inlineStr">
        <is>
          <t xml:space="preserve">—</t>
        </is>
      </c>
      <c r="J116" s="32">
        <f>SUMIFS(BD!$Q$3:$Q$5001,BD!$B$3:$B$5001,J$101,BD!$A$3:$A$5001,"&gt;="&amp;$C$7,BD!$A$3:$A$5001,"&lt;="&amp;$D$7)</f>
        <v>0</v>
      </c>
      <c r="K116" s="61">
        <f>SUM(B116:J116)</f>
        <v>0</v>
      </c>
    </row>
    <row r="117">
      <c r="A117" s="29" t="inlineStr">
        <is>
          <t xml:space="preserve">OUT · Caixas Expedidas</t>
        </is>
      </c>
      <c r="B117" s="32">
        <f>SUMIFS(BD!$R$3:$R$5001,BD!$B$3:$B$5001,B$101,BD!$A$3:$A$5001,"&gt;="&amp;$C$7,BD!$A$3:$A$5001,"&lt;="&amp;$D$7)</f>
        <v>0</v>
      </c>
      <c r="C117" s="32" t="inlineStr">
        <is>
          <t xml:space="preserve">—</t>
        </is>
      </c>
      <c r="D117" s="32" t="inlineStr">
        <is>
          <t xml:space="preserve">—</t>
        </is>
      </c>
      <c r="E117" s="32" t="inlineStr">
        <is>
          <t xml:space="preserve">—</t>
        </is>
      </c>
      <c r="F117" s="32" t="inlineStr">
        <is>
          <t xml:space="preserve">—</t>
        </is>
      </c>
      <c r="G117" s="32" t="inlineStr">
        <is>
          <t xml:space="preserve">—</t>
        </is>
      </c>
      <c r="H117" s="32" t="inlineStr">
        <is>
          <t xml:space="preserve">—</t>
        </is>
      </c>
      <c r="I117" s="32" t="inlineStr">
        <is>
          <t xml:space="preserve">—</t>
        </is>
      </c>
      <c r="J117" s="32" t="inlineStr">
        <is>
          <t xml:space="preserve">—</t>
        </is>
      </c>
      <c r="K117" s="61">
        <f>SUM(B117:J117)</f>
        <v>0</v>
      </c>
    </row>
    <row r="118">
      <c r="A118" s="29" t="inlineStr">
        <is>
          <t xml:space="preserve">OUT · Pallets Movimentados</t>
        </is>
      </c>
      <c r="B118" s="32" t="inlineStr">
        <is>
          <t xml:space="preserve">—</t>
        </is>
      </c>
      <c r="C118" s="32">
        <f>SUMIFS(BD!$S$3:$S$5001,BD!$B$3:$B$5001,C$101,BD!$A$3:$A$5001,"&gt;="&amp;$C$7,BD!$A$3:$A$5001,"&lt;="&amp;$D$7)</f>
        <v>0</v>
      </c>
      <c r="D118" s="32">
        <f>SUMIFS(BD!$S$3:$S$5001,BD!$B$3:$B$5001,D$101,BD!$A$3:$A$5001,"&gt;="&amp;$C$7,BD!$A$3:$A$5001,"&lt;="&amp;$D$7)</f>
        <v>0</v>
      </c>
      <c r="E118" s="32">
        <f>SUMIFS(BD!$S$3:$S$5001,BD!$B$3:$B$5001,E$101,BD!$A$3:$A$5001,"&gt;="&amp;$C$7,BD!$A$3:$A$5001,"&lt;="&amp;$D$7)</f>
        <v>0</v>
      </c>
      <c r="F118" s="32">
        <f>SUMIFS(BD!$S$3:$S$5001,BD!$B$3:$B$5001,F$101,BD!$A$3:$A$5001,"&gt;="&amp;$C$7,BD!$A$3:$A$5001,"&lt;="&amp;$D$7)</f>
        <v>0</v>
      </c>
      <c r="G118" s="32">
        <f>SUMIFS(BD!$S$3:$S$5001,BD!$B$3:$B$5001,G$101,BD!$A$3:$A$5001,"&gt;="&amp;$C$7,BD!$A$3:$A$5001,"&lt;="&amp;$D$7)</f>
        <v>0</v>
      </c>
      <c r="H118" s="32">
        <f>SUMIFS(BD!$S$3:$S$5001,BD!$B$3:$B$5001,H$101,BD!$A$3:$A$5001,"&gt;="&amp;$C$7,BD!$A$3:$A$5001,"&lt;="&amp;$D$7)</f>
        <v>0</v>
      </c>
      <c r="I118" s="32">
        <f>SUMIFS(BD!$S$3:$S$5001,BD!$B$3:$B$5001,I$101,BD!$A$3:$A$5001,"&gt;="&amp;$C$7,BD!$A$3:$A$5001,"&lt;="&amp;$D$7)</f>
        <v>0</v>
      </c>
      <c r="J118" s="32" t="inlineStr">
        <is>
          <t xml:space="preserve">—</t>
        </is>
      </c>
      <c r="K118" s="61">
        <f>SUM(B118:J118)</f>
        <v>0</v>
      </c>
    </row>
    <row r="119">
      <c r="A119" s="29" t="inlineStr">
        <is>
          <t xml:space="preserve">OUT · Toneladas Movimentadas</t>
        </is>
      </c>
      <c r="B119" s="60" t="inlineStr">
        <is>
          <t xml:space="preserve">—</t>
        </is>
      </c>
      <c r="C119" s="60">
        <f>SUMIFS(BD!$T$3:$T$5001,BD!$B$3:$B$5001,C$101,BD!$A$3:$A$5001,"&gt;="&amp;$C$7,BD!$A$3:$A$5001,"&lt;="&amp;$D$7)</f>
        <v>0</v>
      </c>
      <c r="D119" s="60" t="inlineStr">
        <is>
          <t xml:space="preserve">—</t>
        </is>
      </c>
      <c r="E119" s="60" t="inlineStr">
        <is>
          <t xml:space="preserve">—</t>
        </is>
      </c>
      <c r="F119" s="60" t="inlineStr">
        <is>
          <t xml:space="preserve">—</t>
        </is>
      </c>
      <c r="G119" s="60" t="inlineStr">
        <is>
          <t xml:space="preserve">—</t>
        </is>
      </c>
      <c r="H119" s="60">
        <f>SUMIFS(BD!$T$3:$T$5001,BD!$B$3:$B$5001,H$101,BD!$A$3:$A$5001,"&gt;="&amp;$C$7,BD!$A$3:$A$5001,"&lt;="&amp;$D$7)</f>
        <v>0</v>
      </c>
      <c r="I119" s="60" t="inlineStr">
        <is>
          <t xml:space="preserve">—</t>
        </is>
      </c>
      <c r="J119" s="60" t="inlineStr">
        <is>
          <t xml:space="preserve">—</t>
        </is>
      </c>
      <c r="K119" s="62">
        <f>SUM(B119:J119)</f>
        <v>0</v>
      </c>
    </row>
    <row r="120">
      <c r="A120" s="29" t="inlineStr">
        <is>
          <t xml:space="preserve">NC · Incidentes</t>
        </is>
      </c>
      <c r="B120" s="32">
        <f>SUMIFS(BD!$U$3:$U$5001,BD!$B$3:$B$5001,B$101,BD!$A$3:$A$5001,"&gt;="&amp;$C$7,BD!$A$3:$A$5001,"&lt;="&amp;$D$7)</f>
        <v>0</v>
      </c>
      <c r="C120" s="32">
        <f>SUMIFS(BD!$U$3:$U$5001,BD!$B$3:$B$5001,C$101,BD!$A$3:$A$5001,"&gt;="&amp;$C$7,BD!$A$3:$A$5001,"&lt;="&amp;$D$7)</f>
        <v>0</v>
      </c>
      <c r="D120" s="32">
        <f>SUMIFS(BD!$U$3:$U$5001,BD!$B$3:$B$5001,D$101,BD!$A$3:$A$5001,"&gt;="&amp;$C$7,BD!$A$3:$A$5001,"&lt;="&amp;$D$7)</f>
        <v>0</v>
      </c>
      <c r="E120" s="32">
        <f>SUMIFS(BD!$U$3:$U$5001,BD!$B$3:$B$5001,E$101,BD!$A$3:$A$5001,"&gt;="&amp;$C$7,BD!$A$3:$A$5001,"&lt;="&amp;$D$7)</f>
        <v>0</v>
      </c>
      <c r="F120" s="32">
        <f>SUMIFS(BD!$U$3:$U$5001,BD!$B$3:$B$5001,F$101,BD!$A$3:$A$5001,"&gt;="&amp;$C$7,BD!$A$3:$A$5001,"&lt;="&amp;$D$7)</f>
        <v>0</v>
      </c>
      <c r="G120" s="32">
        <f>SUMIFS(BD!$U$3:$U$5001,BD!$B$3:$B$5001,G$101,BD!$A$3:$A$5001,"&gt;="&amp;$C$7,BD!$A$3:$A$5001,"&lt;="&amp;$D$7)</f>
        <v>0</v>
      </c>
      <c r="H120" s="32">
        <f>SUMIFS(BD!$U$3:$U$5001,BD!$B$3:$B$5001,H$101,BD!$A$3:$A$5001,"&gt;="&amp;$C$7,BD!$A$3:$A$5001,"&lt;="&amp;$D$7)</f>
        <v>0</v>
      </c>
      <c r="I120" s="32">
        <f>SUMIFS(BD!$U$3:$U$5001,BD!$B$3:$B$5001,I$101,BD!$A$3:$A$5001,"&gt;="&amp;$C$7,BD!$A$3:$A$5001,"&lt;="&amp;$D$7)</f>
        <v>0</v>
      </c>
      <c r="J120" s="32">
        <f>SUMIFS(BD!$U$3:$U$5001,BD!$B$3:$B$5001,J$101,BD!$A$3:$A$5001,"&gt;="&amp;$C$7,BD!$A$3:$A$5001,"&lt;="&amp;$D$7)</f>
        <v>0</v>
      </c>
      <c r="K120" s="61">
        <f>SUM(B120:J120)</f>
        <v>0</v>
      </c>
    </row>
    <row r="121">
      <c r="A121" s="29" t="inlineStr">
        <is>
          <t xml:space="preserve">NC · No show</t>
        </is>
      </c>
      <c r="B121" s="32">
        <f>SUMIFS(BD!$V$3:$V$5001,BD!$B$3:$B$5001,B$101,BD!$A$3:$A$5001,"&gt;="&amp;$C$7,BD!$A$3:$A$5001,"&lt;="&amp;$D$7)</f>
        <v>0</v>
      </c>
      <c r="C121" s="32">
        <f>SUMIFS(BD!$V$3:$V$5001,BD!$B$3:$B$5001,C$101,BD!$A$3:$A$5001,"&gt;="&amp;$C$7,BD!$A$3:$A$5001,"&lt;="&amp;$D$7)</f>
        <v>0</v>
      </c>
      <c r="D121" s="32">
        <f>SUMIFS(BD!$V$3:$V$5001,BD!$B$3:$B$5001,D$101,BD!$A$3:$A$5001,"&gt;="&amp;$C$7,BD!$A$3:$A$5001,"&lt;="&amp;$D$7)</f>
        <v>0</v>
      </c>
      <c r="E121" s="32">
        <f>SUMIFS(BD!$V$3:$V$5001,BD!$B$3:$B$5001,E$101,BD!$A$3:$A$5001,"&gt;="&amp;$C$7,BD!$A$3:$A$5001,"&lt;="&amp;$D$7)</f>
        <v>0</v>
      </c>
      <c r="F121" s="32">
        <f>SUMIFS(BD!$V$3:$V$5001,BD!$B$3:$B$5001,F$101,BD!$A$3:$A$5001,"&gt;="&amp;$C$7,BD!$A$3:$A$5001,"&lt;="&amp;$D$7)</f>
        <v>0</v>
      </c>
      <c r="G121" s="32">
        <f>SUMIFS(BD!$V$3:$V$5001,BD!$B$3:$B$5001,G$101,BD!$A$3:$A$5001,"&gt;="&amp;$C$7,BD!$A$3:$A$5001,"&lt;="&amp;$D$7)</f>
        <v>0</v>
      </c>
      <c r="H121" s="32">
        <f>SUMIFS(BD!$V$3:$V$5001,BD!$B$3:$B$5001,H$101,BD!$A$3:$A$5001,"&gt;="&amp;$C$7,BD!$A$3:$A$5001,"&lt;="&amp;$D$7)</f>
        <v>0</v>
      </c>
      <c r="I121" s="32">
        <f>SUMIFS(BD!$V$3:$V$5001,BD!$B$3:$B$5001,I$101,BD!$A$3:$A$5001,"&gt;="&amp;$C$7,BD!$A$3:$A$5001,"&lt;="&amp;$D$7)</f>
        <v>0</v>
      </c>
      <c r="J121" s="32">
        <f>SUMIFS(BD!$V$3:$V$5001,BD!$B$3:$B$5001,J$101,BD!$A$3:$A$5001,"&gt;="&amp;$C$7,BD!$A$3:$A$5001,"&lt;="&amp;$D$7)</f>
        <v>0</v>
      </c>
      <c r="K121" s="61">
        <f>SUM(B121:J121)</f>
        <v>0</v>
      </c>
    </row>
    <row r="122">
      <c r="A122" s="29" t="inlineStr">
        <is>
          <t xml:space="preserve">NC · Backlog</t>
        </is>
      </c>
      <c r="B122" s="32" t="str">
        <f>IF(COUNTIFS(BD!$B$3:$B$5001,B$101,BD!$A$3:$A$5001,"&gt;="&amp;$C$7,BD!$A$3:$A$5001,"&lt;="&amp;$D$7,BD!$W$3:$W$5001,"&lt;&gt;")=0,"",SUMIFS(BD!$W$3:$W$5001,BD!$B$3:$B$5001,B$101,BD!$A$3:$A$5001,_xlfn.MAXIFS(BD!$A$3:$A$5001,BD!$B$3:$B$5001,B$101,BD!$A$3:$A$5001,"&gt;="&amp;$C$7,BD!$A$3:$A$5001,"&lt;="&amp;$D$7,BD!$W$3:$W$5001,"&lt;&gt;")))</f>
        <v/>
      </c>
      <c r="C122" s="32" t="str">
        <f>IF(COUNTIFS(BD!$B$3:$B$5001,C$101,BD!$A$3:$A$5001,"&gt;="&amp;$C$7,BD!$A$3:$A$5001,"&lt;="&amp;$D$7,BD!$W$3:$W$5001,"&lt;&gt;")=0,"",SUMIFS(BD!$W$3:$W$5001,BD!$B$3:$B$5001,C$101,BD!$A$3:$A$5001,_xlfn.MAXIFS(BD!$A$3:$A$5001,BD!$B$3:$B$5001,C$101,BD!$A$3:$A$5001,"&gt;="&amp;$C$7,BD!$A$3:$A$5001,"&lt;="&amp;$D$7,BD!$W$3:$W$5001,"&lt;&gt;")))</f>
        <v/>
      </c>
      <c r="D122" s="32" t="str">
        <f>IF(COUNTIFS(BD!$B$3:$B$5001,D$101,BD!$A$3:$A$5001,"&gt;="&amp;$C$7,BD!$A$3:$A$5001,"&lt;="&amp;$D$7,BD!$W$3:$W$5001,"&lt;&gt;")=0,"",SUMIFS(BD!$W$3:$W$5001,BD!$B$3:$B$5001,D$101,BD!$A$3:$A$5001,_xlfn.MAXIFS(BD!$A$3:$A$5001,BD!$B$3:$B$5001,D$101,BD!$A$3:$A$5001,"&gt;="&amp;$C$7,BD!$A$3:$A$5001,"&lt;="&amp;$D$7,BD!$W$3:$W$5001,"&lt;&gt;")))</f>
        <v/>
      </c>
      <c r="E122" s="32" t="str">
        <f>IF(COUNTIFS(BD!$B$3:$B$5001,E$101,BD!$A$3:$A$5001,"&gt;="&amp;$C$7,BD!$A$3:$A$5001,"&lt;="&amp;$D$7,BD!$W$3:$W$5001,"&lt;&gt;")=0,"",SUMIFS(BD!$W$3:$W$5001,BD!$B$3:$B$5001,E$101,BD!$A$3:$A$5001,_xlfn.MAXIFS(BD!$A$3:$A$5001,BD!$B$3:$B$5001,E$101,BD!$A$3:$A$5001,"&gt;="&amp;$C$7,BD!$A$3:$A$5001,"&lt;="&amp;$D$7,BD!$W$3:$W$5001,"&lt;&gt;")))</f>
        <v/>
      </c>
      <c r="F122" s="32" t="str">
        <f>IF(COUNTIFS(BD!$B$3:$B$5001,F$101,BD!$A$3:$A$5001,"&gt;="&amp;$C$7,BD!$A$3:$A$5001,"&lt;="&amp;$D$7,BD!$W$3:$W$5001,"&lt;&gt;")=0,"",SUMIFS(BD!$W$3:$W$5001,BD!$B$3:$B$5001,F$101,BD!$A$3:$A$5001,_xlfn.MAXIFS(BD!$A$3:$A$5001,BD!$B$3:$B$5001,F$101,BD!$A$3:$A$5001,"&gt;="&amp;$C$7,BD!$A$3:$A$5001,"&lt;="&amp;$D$7,BD!$W$3:$W$5001,"&lt;&gt;")))</f>
        <v/>
      </c>
      <c r="G122" s="32" t="str">
        <f>IF(COUNTIFS(BD!$B$3:$B$5001,G$101,BD!$A$3:$A$5001,"&gt;="&amp;$C$7,BD!$A$3:$A$5001,"&lt;="&amp;$D$7,BD!$W$3:$W$5001,"&lt;&gt;")=0,"",SUMIFS(BD!$W$3:$W$5001,BD!$B$3:$B$5001,G$101,BD!$A$3:$A$5001,_xlfn.MAXIFS(BD!$A$3:$A$5001,BD!$B$3:$B$5001,G$101,BD!$A$3:$A$5001,"&gt;="&amp;$C$7,BD!$A$3:$A$5001,"&lt;="&amp;$D$7,BD!$W$3:$W$5001,"&lt;&gt;")))</f>
        <v/>
      </c>
      <c r="H122" s="32" t="str">
        <f>IF(COUNTIFS(BD!$B$3:$B$5001,H$101,BD!$A$3:$A$5001,"&gt;="&amp;$C$7,BD!$A$3:$A$5001,"&lt;="&amp;$D$7,BD!$W$3:$W$5001,"&lt;&gt;")=0,"",SUMIFS(BD!$W$3:$W$5001,BD!$B$3:$B$5001,H$101,BD!$A$3:$A$5001,_xlfn.MAXIFS(BD!$A$3:$A$5001,BD!$B$3:$B$5001,H$101,BD!$A$3:$A$5001,"&gt;="&amp;$C$7,BD!$A$3:$A$5001,"&lt;="&amp;$D$7,BD!$W$3:$W$5001,"&lt;&gt;")))</f>
        <v/>
      </c>
      <c r="I122" s="32" t="str">
        <f>IF(COUNTIFS(BD!$B$3:$B$5001,I$101,BD!$A$3:$A$5001,"&gt;="&amp;$C$7,BD!$A$3:$A$5001,"&lt;="&amp;$D$7,BD!$W$3:$W$5001,"&lt;&gt;")=0,"",SUMIFS(BD!$W$3:$W$5001,BD!$B$3:$B$5001,I$101,BD!$A$3:$A$5001,_xlfn.MAXIFS(BD!$A$3:$A$5001,BD!$B$3:$B$5001,I$101,BD!$A$3:$A$5001,"&gt;="&amp;$C$7,BD!$A$3:$A$5001,"&lt;="&amp;$D$7,BD!$W$3:$W$5001,"&lt;&gt;")))</f>
        <v/>
      </c>
      <c r="J122" s="32" t="str">
        <f>IF(COUNTIFS(BD!$B$3:$B$5001,J$101,BD!$A$3:$A$5001,"&gt;="&amp;$C$7,BD!$A$3:$A$5001,"&lt;="&amp;$D$7,BD!$W$3:$W$5001,"&lt;&gt;")=0,"",SUMIFS(BD!$W$3:$W$5001,BD!$B$3:$B$5001,J$101,BD!$A$3:$A$5001,_xlfn.MAXIFS(BD!$A$3:$A$5001,BD!$B$3:$B$5001,J$101,BD!$A$3:$A$5001,"&gt;="&amp;$C$7,BD!$A$3:$A$5001,"&lt;="&amp;$D$7,BD!$W$3:$W$5001,"&lt;&gt;")))</f>
        <v/>
      </c>
      <c r="K122" s="61">
        <f>SUM(B122:J122)</f>
        <v>0</v>
      </c>
    </row>
    <row r="123">
      <c r="A123" s="29" t="inlineStr">
        <is>
          <t xml:space="preserve">OCUPAÇÃO (P.P) · Posições Disponíveis</t>
        </is>
      </c>
      <c r="B123" s="32" t="str">
        <f>IF(COUNTIFS(BD!$B$3:$B$5001,B$101,BD!$A$3:$A$5001,"&gt;="&amp;$C$7,BD!$A$3:$A$5001,"&lt;="&amp;$D$7,BD!$Y$3:$Y$5001,"&lt;&gt;")=0,"",SUMIFS(BD!$X$3:$X$5001,BD!$B$3:$B$5001,B$101,BD!$A$3:$A$5001,_xlfn.MAXIFS(BD!$A$3:$A$5001,BD!$B$3:$B$5001,B$101,BD!$A$3:$A$5001,"&gt;="&amp;$C$7,BD!$A$3:$A$5001,"&lt;="&amp;$D$7,BD!$Y$3:$Y$5001,"&lt;&gt;")))</f>
        <v/>
      </c>
      <c r="C123" s="32" t="str">
        <f>IF(COUNTIFS(BD!$B$3:$B$5001,C$101,BD!$A$3:$A$5001,"&gt;="&amp;$C$7,BD!$A$3:$A$5001,"&lt;="&amp;$D$7,BD!$Y$3:$Y$5001,"&lt;&gt;")=0,"",SUMIFS(BD!$X$3:$X$5001,BD!$B$3:$B$5001,C$101,BD!$A$3:$A$5001,_xlfn.MAXIFS(BD!$A$3:$A$5001,BD!$B$3:$B$5001,C$101,BD!$A$3:$A$5001,"&gt;="&amp;$C$7,BD!$A$3:$A$5001,"&lt;="&amp;$D$7,BD!$Y$3:$Y$5001,"&lt;&gt;")))</f>
        <v/>
      </c>
      <c r="D123" s="32" t="str">
        <f>IF(COUNTIFS(BD!$B$3:$B$5001,D$101,BD!$A$3:$A$5001,"&gt;="&amp;$C$7,BD!$A$3:$A$5001,"&lt;="&amp;$D$7,BD!$Y$3:$Y$5001,"&lt;&gt;")=0,"",SUMIFS(BD!$X$3:$X$5001,BD!$B$3:$B$5001,D$101,BD!$A$3:$A$5001,_xlfn.MAXIFS(BD!$A$3:$A$5001,BD!$B$3:$B$5001,D$101,BD!$A$3:$A$5001,"&gt;="&amp;$C$7,BD!$A$3:$A$5001,"&lt;="&amp;$D$7,BD!$Y$3:$Y$5001,"&lt;&gt;")))</f>
        <v/>
      </c>
      <c r="E123" s="32" t="str">
        <f>IF(COUNTIFS(BD!$B$3:$B$5001,E$101,BD!$A$3:$A$5001,"&gt;="&amp;$C$7,BD!$A$3:$A$5001,"&lt;="&amp;$D$7,BD!$Y$3:$Y$5001,"&lt;&gt;")=0,"",SUMIFS(BD!$X$3:$X$5001,BD!$B$3:$B$5001,E$101,BD!$A$3:$A$5001,_xlfn.MAXIFS(BD!$A$3:$A$5001,BD!$B$3:$B$5001,E$101,BD!$A$3:$A$5001,"&gt;="&amp;$C$7,BD!$A$3:$A$5001,"&lt;="&amp;$D$7,BD!$Y$3:$Y$5001,"&lt;&gt;")))</f>
        <v/>
      </c>
      <c r="F123" s="32" t="str">
        <f>IF(COUNTIFS(BD!$B$3:$B$5001,F$101,BD!$A$3:$A$5001,"&gt;="&amp;$C$7,BD!$A$3:$A$5001,"&lt;="&amp;$D$7,BD!$Y$3:$Y$5001,"&lt;&gt;")=0,"",SUMIFS(BD!$X$3:$X$5001,BD!$B$3:$B$5001,F$101,BD!$A$3:$A$5001,_xlfn.MAXIFS(BD!$A$3:$A$5001,BD!$B$3:$B$5001,F$101,BD!$A$3:$A$5001,"&gt;="&amp;$C$7,BD!$A$3:$A$5001,"&lt;="&amp;$D$7,BD!$Y$3:$Y$5001,"&lt;&gt;")))</f>
        <v/>
      </c>
      <c r="G123" s="32" t="str">
        <f>IF(COUNTIFS(BD!$B$3:$B$5001,G$101,BD!$A$3:$A$5001,"&gt;="&amp;$C$7,BD!$A$3:$A$5001,"&lt;="&amp;$D$7,BD!$Y$3:$Y$5001,"&lt;&gt;")=0,"",SUMIFS(BD!$X$3:$X$5001,BD!$B$3:$B$5001,G$101,BD!$A$3:$A$5001,_xlfn.MAXIFS(BD!$A$3:$A$5001,BD!$B$3:$B$5001,G$101,BD!$A$3:$A$5001,"&gt;="&amp;$C$7,BD!$A$3:$A$5001,"&lt;="&amp;$D$7,BD!$Y$3:$Y$5001,"&lt;&gt;")))</f>
        <v/>
      </c>
      <c r="H123" s="32" t="str">
        <f>IF(COUNTIFS(BD!$B$3:$B$5001,H$101,BD!$A$3:$A$5001,"&gt;="&amp;$C$7,BD!$A$3:$A$5001,"&lt;="&amp;$D$7,BD!$Y$3:$Y$5001,"&lt;&gt;")=0,"",SUMIFS(BD!$X$3:$X$5001,BD!$B$3:$B$5001,H$101,BD!$A$3:$A$5001,_xlfn.MAXIFS(BD!$A$3:$A$5001,BD!$B$3:$B$5001,H$101,BD!$A$3:$A$5001,"&gt;="&amp;$C$7,BD!$A$3:$A$5001,"&lt;="&amp;$D$7,BD!$Y$3:$Y$5001,"&lt;&gt;")))</f>
        <v/>
      </c>
      <c r="I123" s="32" t="str">
        <f>IF(COUNTIFS(BD!$B$3:$B$5001,I$101,BD!$A$3:$A$5001,"&gt;="&amp;$C$7,BD!$A$3:$A$5001,"&lt;="&amp;$D$7,BD!$Y$3:$Y$5001,"&lt;&gt;")=0,"",SUMIFS(BD!$X$3:$X$5001,BD!$B$3:$B$5001,I$101,BD!$A$3:$A$5001,_xlfn.MAXIFS(BD!$A$3:$A$5001,BD!$B$3:$B$5001,I$101,BD!$A$3:$A$5001,"&gt;="&amp;$C$7,BD!$A$3:$A$5001,"&lt;="&amp;$D$7,BD!$Y$3:$Y$5001,"&lt;&gt;")))</f>
        <v/>
      </c>
      <c r="J123" s="32" t="str">
        <f>IF(COUNTIFS(BD!$B$3:$B$5001,J$101,BD!$A$3:$A$5001,"&gt;="&amp;$C$7,BD!$A$3:$A$5001,"&lt;="&amp;$D$7,BD!$Y$3:$Y$5001,"&lt;&gt;")=0,"",SUMIFS(BD!$X$3:$X$5001,BD!$B$3:$B$5001,J$101,BD!$A$3:$A$5001,_xlfn.MAXIFS(BD!$A$3:$A$5001,BD!$B$3:$B$5001,J$101,BD!$A$3:$A$5001,"&gt;="&amp;$C$7,BD!$A$3:$A$5001,"&lt;="&amp;$D$7,BD!$Y$3:$Y$5001,"&lt;&gt;")))</f>
        <v/>
      </c>
      <c r="K123" s="61">
        <f>IF($B$4&gt;0,$B$4,SUM(B123:J123))</f>
        <v>0</v>
      </c>
    </row>
    <row r="124">
      <c r="A124" s="29" t="inlineStr">
        <is>
          <t xml:space="preserve">OCUPAÇÃO (P.P) · Posições Ocupadas</t>
        </is>
      </c>
      <c r="B124" s="32" t="str">
        <f>IF(COUNTIFS(BD!$B$3:$B$5001,B$101,BD!$A$3:$A$5001,"&gt;="&amp;$C$7,BD!$A$3:$A$5001,"&lt;="&amp;$D$7,BD!$Y$3:$Y$5001,"&lt;&gt;")=0,"",SUMIFS(BD!$Y$3:$Y$5001,BD!$B$3:$B$5001,B$101,BD!$A$3:$A$5001,_xlfn.MAXIFS(BD!$A$3:$A$5001,BD!$B$3:$B$5001,B$101,BD!$A$3:$A$5001,"&gt;="&amp;$C$7,BD!$A$3:$A$5001,"&lt;="&amp;$D$7,BD!$Y$3:$Y$5001,"&lt;&gt;")))</f>
        <v/>
      </c>
      <c r="C124" s="32" t="str">
        <f>IF(COUNTIFS(BD!$B$3:$B$5001,C$101,BD!$A$3:$A$5001,"&gt;="&amp;$C$7,BD!$A$3:$A$5001,"&lt;="&amp;$D$7,BD!$Y$3:$Y$5001,"&lt;&gt;")=0,"",SUMIFS(BD!$Y$3:$Y$5001,BD!$B$3:$B$5001,C$101,BD!$A$3:$A$5001,_xlfn.MAXIFS(BD!$A$3:$A$5001,BD!$B$3:$B$5001,C$101,BD!$A$3:$A$5001,"&gt;="&amp;$C$7,BD!$A$3:$A$5001,"&lt;="&amp;$D$7,BD!$Y$3:$Y$5001,"&lt;&gt;")))</f>
        <v/>
      </c>
      <c r="D124" s="32" t="str">
        <f>IF(COUNTIFS(BD!$B$3:$B$5001,D$101,BD!$A$3:$A$5001,"&gt;="&amp;$C$7,BD!$A$3:$A$5001,"&lt;="&amp;$D$7,BD!$Y$3:$Y$5001,"&lt;&gt;")=0,"",SUMIFS(BD!$Y$3:$Y$5001,BD!$B$3:$B$5001,D$101,BD!$A$3:$A$5001,_xlfn.MAXIFS(BD!$A$3:$A$5001,BD!$B$3:$B$5001,D$101,BD!$A$3:$A$5001,"&gt;="&amp;$C$7,BD!$A$3:$A$5001,"&lt;="&amp;$D$7,BD!$Y$3:$Y$5001,"&lt;&gt;")))</f>
        <v/>
      </c>
      <c r="E124" s="32" t="str">
        <f>IF(COUNTIFS(BD!$B$3:$B$5001,E$101,BD!$A$3:$A$5001,"&gt;="&amp;$C$7,BD!$A$3:$A$5001,"&lt;="&amp;$D$7,BD!$Y$3:$Y$5001,"&lt;&gt;")=0,"",SUMIFS(BD!$Y$3:$Y$5001,BD!$B$3:$B$5001,E$101,BD!$A$3:$A$5001,_xlfn.MAXIFS(BD!$A$3:$A$5001,BD!$B$3:$B$5001,E$101,BD!$A$3:$A$5001,"&gt;="&amp;$C$7,BD!$A$3:$A$5001,"&lt;="&amp;$D$7,BD!$Y$3:$Y$5001,"&lt;&gt;")))</f>
        <v/>
      </c>
      <c r="F124" s="32" t="str">
        <f>IF(COUNTIFS(BD!$B$3:$B$5001,F$101,BD!$A$3:$A$5001,"&gt;="&amp;$C$7,BD!$A$3:$A$5001,"&lt;="&amp;$D$7,BD!$Y$3:$Y$5001,"&lt;&gt;")=0,"",SUMIFS(BD!$Y$3:$Y$5001,BD!$B$3:$B$5001,F$101,BD!$A$3:$A$5001,_xlfn.MAXIFS(BD!$A$3:$A$5001,BD!$B$3:$B$5001,F$101,BD!$A$3:$A$5001,"&gt;="&amp;$C$7,BD!$A$3:$A$5001,"&lt;="&amp;$D$7,BD!$Y$3:$Y$5001,"&lt;&gt;")))</f>
        <v/>
      </c>
      <c r="G124" s="32" t="str">
        <f>IF(COUNTIFS(BD!$B$3:$B$5001,G$101,BD!$A$3:$A$5001,"&gt;="&amp;$C$7,BD!$A$3:$A$5001,"&lt;="&amp;$D$7,BD!$Y$3:$Y$5001,"&lt;&gt;")=0,"",SUMIFS(BD!$Y$3:$Y$5001,BD!$B$3:$B$5001,G$101,BD!$A$3:$A$5001,_xlfn.MAXIFS(BD!$A$3:$A$5001,BD!$B$3:$B$5001,G$101,BD!$A$3:$A$5001,"&gt;="&amp;$C$7,BD!$A$3:$A$5001,"&lt;="&amp;$D$7,BD!$Y$3:$Y$5001,"&lt;&gt;")))</f>
        <v/>
      </c>
      <c r="H124" s="32" t="str">
        <f>IF(COUNTIFS(BD!$B$3:$B$5001,H$101,BD!$A$3:$A$5001,"&gt;="&amp;$C$7,BD!$A$3:$A$5001,"&lt;="&amp;$D$7,BD!$Y$3:$Y$5001,"&lt;&gt;")=0,"",SUMIFS(BD!$Y$3:$Y$5001,BD!$B$3:$B$5001,H$101,BD!$A$3:$A$5001,_xlfn.MAXIFS(BD!$A$3:$A$5001,BD!$B$3:$B$5001,H$101,BD!$A$3:$A$5001,"&gt;="&amp;$C$7,BD!$A$3:$A$5001,"&lt;="&amp;$D$7,BD!$Y$3:$Y$5001,"&lt;&gt;")))</f>
        <v/>
      </c>
      <c r="I124" s="32" t="str">
        <f>IF(COUNTIFS(BD!$B$3:$B$5001,I$101,BD!$A$3:$A$5001,"&gt;="&amp;$C$7,BD!$A$3:$A$5001,"&lt;="&amp;$D$7,BD!$Y$3:$Y$5001,"&lt;&gt;")=0,"",SUMIFS(BD!$Y$3:$Y$5001,BD!$B$3:$B$5001,I$101,BD!$A$3:$A$5001,_xlfn.MAXIFS(BD!$A$3:$A$5001,BD!$B$3:$B$5001,I$101,BD!$A$3:$A$5001,"&gt;="&amp;$C$7,BD!$A$3:$A$5001,"&lt;="&amp;$D$7,BD!$Y$3:$Y$5001,"&lt;&gt;")))</f>
        <v/>
      </c>
      <c r="J124" s="32" t="str">
        <f>IF(COUNTIFS(BD!$B$3:$B$5001,J$101,BD!$A$3:$A$5001,"&gt;="&amp;$C$7,BD!$A$3:$A$5001,"&lt;="&amp;$D$7,BD!$Y$3:$Y$5001,"&lt;&gt;")=0,"",SUMIFS(BD!$Y$3:$Y$5001,BD!$B$3:$B$5001,J$101,BD!$A$3:$A$5001,_xlfn.MAXIFS(BD!$A$3:$A$5001,BD!$B$3:$B$5001,J$101,BD!$A$3:$A$5001,"&gt;="&amp;$C$7,BD!$A$3:$A$5001,"&lt;="&amp;$D$7,BD!$Y$3:$Y$5001,"&lt;&gt;")))</f>
        <v/>
      </c>
      <c r="K124" s="61">
        <f>SUM(B124:J124)</f>
        <v>0</v>
      </c>
    </row>
    <row r="125">
      <c r="A125" s="29" t="inlineStr">
        <is>
          <t xml:space="preserve">OCUPAÇÃO (P.P) · Taxa de Ocupação</t>
        </is>
      </c>
      <c r="B125" s="49" t="str">
        <f>IF(AND(ISNUMBER(B124),ISNUMBER(B123)),IF(B123&gt;0,B124/B123,""),"")</f>
        <v/>
      </c>
      <c r="C125" s="49" t="str">
        <f>IF(AND(ISNUMBER(C124),ISNUMBER(C123)),IF(C123&gt;0,C124/C123,""),"")</f>
        <v/>
      </c>
      <c r="D125" s="49" t="str">
        <f>IF(AND(ISNUMBER(D124),ISNUMBER(D123)),IF(D123&gt;0,D124/D123,""),"")</f>
        <v/>
      </c>
      <c r="E125" s="49" t="str">
        <f>IF(AND(ISNUMBER(E124),ISNUMBER(E123)),IF(E123&gt;0,E124/E123,""),"")</f>
        <v/>
      </c>
      <c r="F125" s="49" t="str">
        <f>IF(AND(ISNUMBER(F124),ISNUMBER(F123)),IF(F123&gt;0,F124/F123,""),"")</f>
        <v/>
      </c>
      <c r="G125" s="49" t="str">
        <f>IF(AND(ISNUMBER(G124),ISNUMBER(G123)),IF(G123&gt;0,G124/G123,""),"")</f>
        <v/>
      </c>
      <c r="H125" s="49" t="str">
        <f>IF(AND(ISNUMBER(H124),ISNUMBER(H123)),IF(H123&gt;0,H124/H123,""),"")</f>
        <v/>
      </c>
      <c r="I125" s="49" t="str">
        <f>IF(AND(ISNUMBER(I124),ISNUMBER(I123)),IF(I123&gt;0,I124/I123,""),"")</f>
        <v/>
      </c>
      <c r="J125" s="49" t="str">
        <f>IF(AND(ISNUMBER(J124),ISNUMBER(J123)),IF(J123&gt;0,J124/J123,""),"")</f>
        <v/>
      </c>
      <c r="K125" s="63" t="str">
        <f>IFERROR(K124/K123,"")</f>
        <v/>
      </c>
    </row>
    <row r="126">
      <c r="A126" s="29" t="inlineStr">
        <is>
          <t xml:space="preserve">GENTE · Efetivo Op.</t>
        </is>
      </c>
      <c r="B126" s="32" t="str">
        <f>IF(COUNTIFS(BD!$B$3:$B$5001,B$101,BD!$A$3:$A$5001,"&gt;="&amp;$C$7,BD!$A$3:$A$5001,"&lt;="&amp;$D$7,BD!$Z$3:$Z$5001,"&lt;&gt;")=0,"",SUMIFS(BD!$Z$3:$Z$5001,BD!$B$3:$B$5001,B$101,BD!$A$3:$A$5001,_xlfn.MAXIFS(BD!$A$3:$A$5001,BD!$B$3:$B$5001,B$101,BD!$A$3:$A$5001,"&gt;="&amp;$C$7,BD!$A$3:$A$5001,"&lt;="&amp;$D$7,BD!$Z$3:$Z$5001,"&lt;&gt;")))</f>
        <v/>
      </c>
      <c r="C126" s="32" t="str">
        <f>IF(COUNTIFS(BD!$B$3:$B$5001,C$101,BD!$A$3:$A$5001,"&gt;="&amp;$C$7,BD!$A$3:$A$5001,"&lt;="&amp;$D$7,BD!$Z$3:$Z$5001,"&lt;&gt;")=0,"",SUMIFS(BD!$Z$3:$Z$5001,BD!$B$3:$B$5001,C$101,BD!$A$3:$A$5001,_xlfn.MAXIFS(BD!$A$3:$A$5001,BD!$B$3:$B$5001,C$101,BD!$A$3:$A$5001,"&gt;="&amp;$C$7,BD!$A$3:$A$5001,"&lt;="&amp;$D$7,BD!$Z$3:$Z$5001,"&lt;&gt;")))</f>
        <v/>
      </c>
      <c r="D126" s="32" t="str">
        <f>IF(COUNTIFS(BD!$B$3:$B$5001,D$101,BD!$A$3:$A$5001,"&gt;="&amp;$C$7,BD!$A$3:$A$5001,"&lt;="&amp;$D$7,BD!$Z$3:$Z$5001,"&lt;&gt;")=0,"",SUMIFS(BD!$Z$3:$Z$5001,BD!$B$3:$B$5001,D$101,BD!$A$3:$A$5001,_xlfn.MAXIFS(BD!$A$3:$A$5001,BD!$B$3:$B$5001,D$101,BD!$A$3:$A$5001,"&gt;="&amp;$C$7,BD!$A$3:$A$5001,"&lt;="&amp;$D$7,BD!$Z$3:$Z$5001,"&lt;&gt;")))</f>
        <v/>
      </c>
      <c r="E126" s="32" t="str">
        <f>IF(COUNTIFS(BD!$B$3:$B$5001,E$101,BD!$A$3:$A$5001,"&gt;="&amp;$C$7,BD!$A$3:$A$5001,"&lt;="&amp;$D$7,BD!$Z$3:$Z$5001,"&lt;&gt;")=0,"",SUMIFS(BD!$Z$3:$Z$5001,BD!$B$3:$B$5001,E$101,BD!$A$3:$A$5001,_xlfn.MAXIFS(BD!$A$3:$A$5001,BD!$B$3:$B$5001,E$101,BD!$A$3:$A$5001,"&gt;="&amp;$C$7,BD!$A$3:$A$5001,"&lt;="&amp;$D$7,BD!$Z$3:$Z$5001,"&lt;&gt;")))</f>
        <v/>
      </c>
      <c r="F126" s="32" t="str">
        <f>IF(COUNTIFS(BD!$B$3:$B$5001,F$101,BD!$A$3:$A$5001,"&gt;="&amp;$C$7,BD!$A$3:$A$5001,"&lt;="&amp;$D$7,BD!$Z$3:$Z$5001,"&lt;&gt;")=0,"",SUMIFS(BD!$Z$3:$Z$5001,BD!$B$3:$B$5001,F$101,BD!$A$3:$A$5001,_xlfn.MAXIFS(BD!$A$3:$A$5001,BD!$B$3:$B$5001,F$101,BD!$A$3:$A$5001,"&gt;="&amp;$C$7,BD!$A$3:$A$5001,"&lt;="&amp;$D$7,BD!$Z$3:$Z$5001,"&lt;&gt;")))</f>
        <v/>
      </c>
      <c r="G126" s="32" t="str">
        <f>IF(COUNTIFS(BD!$B$3:$B$5001,G$101,BD!$A$3:$A$5001,"&gt;="&amp;$C$7,BD!$A$3:$A$5001,"&lt;="&amp;$D$7,BD!$Z$3:$Z$5001,"&lt;&gt;")=0,"",SUMIFS(BD!$Z$3:$Z$5001,BD!$B$3:$B$5001,G$101,BD!$A$3:$A$5001,_xlfn.MAXIFS(BD!$A$3:$A$5001,BD!$B$3:$B$5001,G$101,BD!$A$3:$A$5001,"&gt;="&amp;$C$7,BD!$A$3:$A$5001,"&lt;="&amp;$D$7,BD!$Z$3:$Z$5001,"&lt;&gt;")))</f>
        <v/>
      </c>
      <c r="H126" s="32" t="str">
        <f>IF(COUNTIFS(BD!$B$3:$B$5001,H$101,BD!$A$3:$A$5001,"&gt;="&amp;$C$7,BD!$A$3:$A$5001,"&lt;="&amp;$D$7,BD!$Z$3:$Z$5001,"&lt;&gt;")=0,"",SUMIFS(BD!$Z$3:$Z$5001,BD!$B$3:$B$5001,H$101,BD!$A$3:$A$5001,_xlfn.MAXIFS(BD!$A$3:$A$5001,BD!$B$3:$B$5001,H$101,BD!$A$3:$A$5001,"&gt;="&amp;$C$7,BD!$A$3:$A$5001,"&lt;="&amp;$D$7,BD!$Z$3:$Z$5001,"&lt;&gt;")))</f>
        <v/>
      </c>
      <c r="I126" s="32" t="str">
        <f>IF(COUNTIFS(BD!$B$3:$B$5001,I$101,BD!$A$3:$A$5001,"&gt;="&amp;$C$7,BD!$A$3:$A$5001,"&lt;="&amp;$D$7,BD!$Z$3:$Z$5001,"&lt;&gt;")=0,"",SUMIFS(BD!$Z$3:$Z$5001,BD!$B$3:$B$5001,I$101,BD!$A$3:$A$5001,_xlfn.MAXIFS(BD!$A$3:$A$5001,BD!$B$3:$B$5001,I$101,BD!$A$3:$A$5001,"&gt;="&amp;$C$7,BD!$A$3:$A$5001,"&lt;="&amp;$D$7,BD!$Z$3:$Z$5001,"&lt;&gt;")))</f>
        <v/>
      </c>
      <c r="J126" s="32" t="str">
        <f>IF(COUNTIFS(BD!$B$3:$B$5001,J$101,BD!$A$3:$A$5001,"&gt;="&amp;$C$7,BD!$A$3:$A$5001,"&lt;="&amp;$D$7,BD!$Z$3:$Z$5001,"&lt;&gt;")=0,"",SUMIFS(BD!$Z$3:$Z$5001,BD!$B$3:$B$5001,J$101,BD!$A$3:$A$5001,_xlfn.MAXIFS(BD!$A$3:$A$5001,BD!$B$3:$B$5001,J$101,BD!$A$3:$A$5001,"&gt;="&amp;$C$7,BD!$A$3:$A$5001,"&lt;="&amp;$D$7,BD!$Z$3:$Z$5001,"&lt;&gt;")))</f>
        <v/>
      </c>
      <c r="K126" s="61">
        <f>SUM(B126:J126)</f>
        <v>0</v>
      </c>
    </row>
    <row r="127">
      <c r="A127" s="29" t="inlineStr">
        <is>
          <t xml:space="preserve">GENTE · Falta</t>
        </is>
      </c>
      <c r="B127" s="32">
        <f>SUMIFS(BD!$AA$3:$AA$5001,BD!$B$3:$B$5001,B$101,BD!$A$3:$A$5001,"&gt;="&amp;$C$7,BD!$A$3:$A$5001,"&lt;="&amp;$D$7)</f>
        <v>0</v>
      </c>
      <c r="C127" s="32">
        <f>SUMIFS(BD!$AA$3:$AA$5001,BD!$B$3:$B$5001,C$101,BD!$A$3:$A$5001,"&gt;="&amp;$C$7,BD!$A$3:$A$5001,"&lt;="&amp;$D$7)</f>
        <v>0</v>
      </c>
      <c r="D127" s="32">
        <f>SUMIFS(BD!$AA$3:$AA$5001,BD!$B$3:$B$5001,D$101,BD!$A$3:$A$5001,"&gt;="&amp;$C$7,BD!$A$3:$A$5001,"&lt;="&amp;$D$7)</f>
        <v>0</v>
      </c>
      <c r="E127" s="32">
        <f>SUMIFS(BD!$AA$3:$AA$5001,BD!$B$3:$B$5001,E$101,BD!$A$3:$A$5001,"&gt;="&amp;$C$7,BD!$A$3:$A$5001,"&lt;="&amp;$D$7)</f>
        <v>0</v>
      </c>
      <c r="F127" s="32">
        <f>SUMIFS(BD!$AA$3:$AA$5001,BD!$B$3:$B$5001,F$101,BD!$A$3:$A$5001,"&gt;="&amp;$C$7,BD!$A$3:$A$5001,"&lt;="&amp;$D$7)</f>
        <v>0</v>
      </c>
      <c r="G127" s="32">
        <f>SUMIFS(BD!$AA$3:$AA$5001,BD!$B$3:$B$5001,G$101,BD!$A$3:$A$5001,"&gt;="&amp;$C$7,BD!$A$3:$A$5001,"&lt;="&amp;$D$7)</f>
        <v>0</v>
      </c>
      <c r="H127" s="32">
        <f>SUMIFS(BD!$AA$3:$AA$5001,BD!$B$3:$B$5001,H$101,BD!$A$3:$A$5001,"&gt;="&amp;$C$7,BD!$A$3:$A$5001,"&lt;="&amp;$D$7)</f>
        <v>0</v>
      </c>
      <c r="I127" s="32">
        <f>SUMIFS(BD!$AA$3:$AA$5001,BD!$B$3:$B$5001,I$101,BD!$A$3:$A$5001,"&gt;="&amp;$C$7,BD!$A$3:$A$5001,"&lt;="&amp;$D$7)</f>
        <v>0</v>
      </c>
      <c r="J127" s="32">
        <f>SUMIFS(BD!$AA$3:$AA$5001,BD!$B$3:$B$5001,J$101,BD!$A$3:$A$5001,"&gt;="&amp;$C$7,BD!$A$3:$A$5001,"&lt;="&amp;$D$7)</f>
        <v>0</v>
      </c>
      <c r="K127" s="61">
        <f>SUM(B127:J127)</f>
        <v>0</v>
      </c>
    </row>
    <row r="128">
      <c r="A128" s="29" t="inlineStr">
        <is>
          <t xml:space="preserve">GENTE · Folga</t>
        </is>
      </c>
      <c r="B128" s="32">
        <f>SUMIFS(BD!$AB$3:$AB$5001,BD!$B$3:$B$5001,B$101,BD!$A$3:$A$5001,"&gt;="&amp;$C$7,BD!$A$3:$A$5001,"&lt;="&amp;$D$7)</f>
        <v>0</v>
      </c>
      <c r="C128" s="32">
        <f>SUMIFS(BD!$AB$3:$AB$5001,BD!$B$3:$B$5001,C$101,BD!$A$3:$A$5001,"&gt;="&amp;$C$7,BD!$A$3:$A$5001,"&lt;="&amp;$D$7)</f>
        <v>0</v>
      </c>
      <c r="D128" s="32">
        <f>SUMIFS(BD!$AB$3:$AB$5001,BD!$B$3:$B$5001,D$101,BD!$A$3:$A$5001,"&gt;="&amp;$C$7,BD!$A$3:$A$5001,"&lt;="&amp;$D$7)</f>
        <v>0</v>
      </c>
      <c r="E128" s="32">
        <f>SUMIFS(BD!$AB$3:$AB$5001,BD!$B$3:$B$5001,E$101,BD!$A$3:$A$5001,"&gt;="&amp;$C$7,BD!$A$3:$A$5001,"&lt;="&amp;$D$7)</f>
        <v>0</v>
      </c>
      <c r="F128" s="32">
        <f>SUMIFS(BD!$AB$3:$AB$5001,BD!$B$3:$B$5001,F$101,BD!$A$3:$A$5001,"&gt;="&amp;$C$7,BD!$A$3:$A$5001,"&lt;="&amp;$D$7)</f>
        <v>0</v>
      </c>
      <c r="G128" s="32">
        <f>SUMIFS(BD!$AB$3:$AB$5001,BD!$B$3:$B$5001,G$101,BD!$A$3:$A$5001,"&gt;="&amp;$C$7,BD!$A$3:$A$5001,"&lt;="&amp;$D$7)</f>
        <v>0</v>
      </c>
      <c r="H128" s="32">
        <f>SUMIFS(BD!$AB$3:$AB$5001,BD!$B$3:$B$5001,H$101,BD!$A$3:$A$5001,"&gt;="&amp;$C$7,BD!$A$3:$A$5001,"&lt;="&amp;$D$7)</f>
        <v>0</v>
      </c>
      <c r="I128" s="32">
        <f>SUMIFS(BD!$AB$3:$AB$5001,BD!$B$3:$B$5001,I$101,BD!$A$3:$A$5001,"&gt;="&amp;$C$7,BD!$A$3:$A$5001,"&lt;="&amp;$D$7)</f>
        <v>0</v>
      </c>
      <c r="J128" s="32">
        <f>SUMIFS(BD!$AB$3:$AB$5001,BD!$B$3:$B$5001,J$101,BD!$A$3:$A$5001,"&gt;="&amp;$C$7,BD!$A$3:$A$5001,"&lt;="&amp;$D$7)</f>
        <v>0</v>
      </c>
      <c r="K128" s="61">
        <f>SUM(B128:J128)</f>
        <v>0</v>
      </c>
    </row>
    <row r="129">
      <c r="A129" s="29" t="inlineStr">
        <is>
          <t xml:space="preserve">GENTE · Férias</t>
        </is>
      </c>
      <c r="B129" s="32">
        <f>SUMIFS(BD!$AC$3:$AC$5001,BD!$B$3:$B$5001,B$101,BD!$A$3:$A$5001,"&gt;="&amp;$C$7,BD!$A$3:$A$5001,"&lt;="&amp;$D$7)</f>
        <v>0</v>
      </c>
      <c r="C129" s="32">
        <f>SUMIFS(BD!$AC$3:$AC$5001,BD!$B$3:$B$5001,C$101,BD!$A$3:$A$5001,"&gt;="&amp;$C$7,BD!$A$3:$A$5001,"&lt;="&amp;$D$7)</f>
        <v>0</v>
      </c>
      <c r="D129" s="32">
        <f>SUMIFS(BD!$AC$3:$AC$5001,BD!$B$3:$B$5001,D$101,BD!$A$3:$A$5001,"&gt;="&amp;$C$7,BD!$A$3:$A$5001,"&lt;="&amp;$D$7)</f>
        <v>0</v>
      </c>
      <c r="E129" s="32">
        <f>SUMIFS(BD!$AC$3:$AC$5001,BD!$B$3:$B$5001,E$101,BD!$A$3:$A$5001,"&gt;="&amp;$C$7,BD!$A$3:$A$5001,"&lt;="&amp;$D$7)</f>
        <v>0</v>
      </c>
      <c r="F129" s="32">
        <f>SUMIFS(BD!$AC$3:$AC$5001,BD!$B$3:$B$5001,F$101,BD!$A$3:$A$5001,"&gt;="&amp;$C$7,BD!$A$3:$A$5001,"&lt;="&amp;$D$7)</f>
        <v>0</v>
      </c>
      <c r="G129" s="32">
        <f>SUMIFS(BD!$AC$3:$AC$5001,BD!$B$3:$B$5001,G$101,BD!$A$3:$A$5001,"&gt;="&amp;$C$7,BD!$A$3:$A$5001,"&lt;="&amp;$D$7)</f>
        <v>0</v>
      </c>
      <c r="H129" s="32">
        <f>SUMIFS(BD!$AC$3:$AC$5001,BD!$B$3:$B$5001,H$101,BD!$A$3:$A$5001,"&gt;="&amp;$C$7,BD!$A$3:$A$5001,"&lt;="&amp;$D$7)</f>
        <v>0</v>
      </c>
      <c r="I129" s="32">
        <f>SUMIFS(BD!$AC$3:$AC$5001,BD!$B$3:$B$5001,I$101,BD!$A$3:$A$5001,"&gt;="&amp;$C$7,BD!$A$3:$A$5001,"&lt;="&amp;$D$7)</f>
        <v>0</v>
      </c>
      <c r="J129" s="32">
        <f>SUMIFS(BD!$AC$3:$AC$5001,BD!$B$3:$B$5001,J$101,BD!$A$3:$A$5001,"&gt;="&amp;$C$7,BD!$A$3:$A$5001,"&lt;="&amp;$D$7)</f>
        <v>0</v>
      </c>
      <c r="K129" s="61">
        <f>SUM(B129:J129)</f>
        <v>0</v>
      </c>
    </row>
    <row r="130">
      <c r="A130" s="29" t="inlineStr">
        <is>
          <t xml:space="preserve">GENTE · Desligamento</t>
        </is>
      </c>
      <c r="B130" s="32">
        <f>SUMIFS(BD!$AD$3:$AD$5001,BD!$B$3:$B$5001,B$101,BD!$A$3:$A$5001,"&gt;="&amp;$C$7,BD!$A$3:$A$5001,"&lt;="&amp;$D$7)</f>
        <v>0</v>
      </c>
      <c r="C130" s="32">
        <f>SUMIFS(BD!$AD$3:$AD$5001,BD!$B$3:$B$5001,C$101,BD!$A$3:$A$5001,"&gt;="&amp;$C$7,BD!$A$3:$A$5001,"&lt;="&amp;$D$7)</f>
        <v>0</v>
      </c>
      <c r="D130" s="32">
        <f>SUMIFS(BD!$AD$3:$AD$5001,BD!$B$3:$B$5001,D$101,BD!$A$3:$A$5001,"&gt;="&amp;$C$7,BD!$A$3:$A$5001,"&lt;="&amp;$D$7)</f>
        <v>0</v>
      </c>
      <c r="E130" s="32">
        <f>SUMIFS(BD!$AD$3:$AD$5001,BD!$B$3:$B$5001,E$101,BD!$A$3:$A$5001,"&gt;="&amp;$C$7,BD!$A$3:$A$5001,"&lt;="&amp;$D$7)</f>
        <v>0</v>
      </c>
      <c r="F130" s="32">
        <f>SUMIFS(BD!$AD$3:$AD$5001,BD!$B$3:$B$5001,F$101,BD!$A$3:$A$5001,"&gt;="&amp;$C$7,BD!$A$3:$A$5001,"&lt;="&amp;$D$7)</f>
        <v>0</v>
      </c>
      <c r="G130" s="32">
        <f>SUMIFS(BD!$AD$3:$AD$5001,BD!$B$3:$B$5001,G$101,BD!$A$3:$A$5001,"&gt;="&amp;$C$7,BD!$A$3:$A$5001,"&lt;="&amp;$D$7)</f>
        <v>0</v>
      </c>
      <c r="H130" s="32">
        <f>SUMIFS(BD!$AD$3:$AD$5001,BD!$B$3:$B$5001,H$101,BD!$A$3:$A$5001,"&gt;="&amp;$C$7,BD!$A$3:$A$5001,"&lt;="&amp;$D$7)</f>
        <v>0</v>
      </c>
      <c r="I130" s="32">
        <f>SUMIFS(BD!$AD$3:$AD$5001,BD!$B$3:$B$5001,I$101,BD!$A$3:$A$5001,"&gt;="&amp;$C$7,BD!$A$3:$A$5001,"&lt;="&amp;$D$7)</f>
        <v>0</v>
      </c>
      <c r="J130" s="32">
        <f>SUMIFS(BD!$AD$3:$AD$5001,BD!$B$3:$B$5001,J$101,BD!$A$3:$A$5001,"&gt;="&amp;$C$7,BD!$A$3:$A$5001,"&lt;="&amp;$D$7)</f>
        <v>0</v>
      </c>
      <c r="K130" s="61">
        <f>SUM(B130:J130)</f>
        <v>0</v>
      </c>
    </row>
    <row r="131">
      <c r="A131" s="29" t="inlineStr">
        <is>
          <t xml:space="preserve">GENTE · Desvios Comportamentais</t>
        </is>
      </c>
      <c r="B131" s="32">
        <f>SUMIFS(BD!$AE$3:$AE$5001,BD!$B$3:$B$5001,B$101,BD!$A$3:$A$5001,"&gt;="&amp;$C$7,BD!$A$3:$A$5001,"&lt;="&amp;$D$7)</f>
        <v>0</v>
      </c>
      <c r="C131" s="32">
        <f>SUMIFS(BD!$AE$3:$AE$5001,BD!$B$3:$B$5001,C$101,BD!$A$3:$A$5001,"&gt;="&amp;$C$7,BD!$A$3:$A$5001,"&lt;="&amp;$D$7)</f>
        <v>0</v>
      </c>
      <c r="D131" s="32">
        <f>SUMIFS(BD!$AE$3:$AE$5001,BD!$B$3:$B$5001,D$101,BD!$A$3:$A$5001,"&gt;="&amp;$C$7,BD!$A$3:$A$5001,"&lt;="&amp;$D$7)</f>
        <v>0</v>
      </c>
      <c r="E131" s="32">
        <f>SUMIFS(BD!$AE$3:$AE$5001,BD!$B$3:$B$5001,E$101,BD!$A$3:$A$5001,"&gt;="&amp;$C$7,BD!$A$3:$A$5001,"&lt;="&amp;$D$7)</f>
        <v>0</v>
      </c>
      <c r="F131" s="32">
        <f>SUMIFS(BD!$AE$3:$AE$5001,BD!$B$3:$B$5001,F$101,BD!$A$3:$A$5001,"&gt;="&amp;$C$7,BD!$A$3:$A$5001,"&lt;="&amp;$D$7)</f>
        <v>0</v>
      </c>
      <c r="G131" s="32">
        <f>SUMIFS(BD!$AE$3:$AE$5001,BD!$B$3:$B$5001,G$101,BD!$A$3:$A$5001,"&gt;="&amp;$C$7,BD!$A$3:$A$5001,"&lt;="&amp;$D$7)</f>
        <v>0</v>
      </c>
      <c r="H131" s="32">
        <f>SUMIFS(BD!$AE$3:$AE$5001,BD!$B$3:$B$5001,H$101,BD!$A$3:$A$5001,"&gt;="&amp;$C$7,BD!$A$3:$A$5001,"&lt;="&amp;$D$7)</f>
        <v>0</v>
      </c>
      <c r="I131" s="32">
        <f>SUMIFS(BD!$AE$3:$AE$5001,BD!$B$3:$B$5001,I$101,BD!$A$3:$A$5001,"&gt;="&amp;$C$7,BD!$A$3:$A$5001,"&lt;="&amp;$D$7)</f>
        <v>0</v>
      </c>
      <c r="J131" s="32">
        <f>SUMIFS(BD!$AE$3:$AE$5001,BD!$B$3:$B$5001,J$101,BD!$A$3:$A$5001,"&gt;="&amp;$C$7,BD!$A$3:$A$5001,"&lt;="&amp;$D$7)</f>
        <v>0</v>
      </c>
      <c r="K131" s="61">
        <f>SUM(B131:J131)</f>
        <v>0</v>
      </c>
    </row>
    <row r="132">
      <c r="A132" s="29" t="inlineStr">
        <is>
          <t xml:space="preserve">GENTE · Acidentes CAF</t>
        </is>
      </c>
      <c r="B132" s="32">
        <f>SUMIFS(BD!$AF$3:$AF$5001,BD!$B$3:$B$5001,B$101,BD!$A$3:$A$5001,"&gt;="&amp;$C$7,BD!$A$3:$A$5001,"&lt;="&amp;$D$7)</f>
        <v>0</v>
      </c>
      <c r="C132" s="32">
        <f>SUMIFS(BD!$AF$3:$AF$5001,BD!$B$3:$B$5001,C$101,BD!$A$3:$A$5001,"&gt;="&amp;$C$7,BD!$A$3:$A$5001,"&lt;="&amp;$D$7)</f>
        <v>0</v>
      </c>
      <c r="D132" s="32">
        <f>SUMIFS(BD!$AF$3:$AF$5001,BD!$B$3:$B$5001,D$101,BD!$A$3:$A$5001,"&gt;="&amp;$C$7,BD!$A$3:$A$5001,"&lt;="&amp;$D$7)</f>
        <v>0</v>
      </c>
      <c r="E132" s="32">
        <f>SUMIFS(BD!$AF$3:$AF$5001,BD!$B$3:$B$5001,E$101,BD!$A$3:$A$5001,"&gt;="&amp;$C$7,BD!$A$3:$A$5001,"&lt;="&amp;$D$7)</f>
        <v>0</v>
      </c>
      <c r="F132" s="32">
        <f>SUMIFS(BD!$AF$3:$AF$5001,BD!$B$3:$B$5001,F$101,BD!$A$3:$A$5001,"&gt;="&amp;$C$7,BD!$A$3:$A$5001,"&lt;="&amp;$D$7)</f>
        <v>0</v>
      </c>
      <c r="G132" s="32">
        <f>SUMIFS(BD!$AF$3:$AF$5001,BD!$B$3:$B$5001,G$101,BD!$A$3:$A$5001,"&gt;="&amp;$C$7,BD!$A$3:$A$5001,"&lt;="&amp;$D$7)</f>
        <v>0</v>
      </c>
      <c r="H132" s="32">
        <f>SUMIFS(BD!$AF$3:$AF$5001,BD!$B$3:$B$5001,H$101,BD!$A$3:$A$5001,"&gt;="&amp;$C$7,BD!$A$3:$A$5001,"&lt;="&amp;$D$7)</f>
        <v>0</v>
      </c>
      <c r="I132" s="32">
        <f>SUMIFS(BD!$AF$3:$AF$5001,BD!$B$3:$B$5001,I$101,BD!$A$3:$A$5001,"&gt;="&amp;$C$7,BD!$A$3:$A$5001,"&lt;="&amp;$D$7)</f>
        <v>0</v>
      </c>
      <c r="J132" s="32">
        <f>SUMIFS(BD!$AF$3:$AF$5001,BD!$B$3:$B$5001,J$101,BD!$A$3:$A$5001,"&gt;="&amp;$C$7,BD!$A$3:$A$5001,"&lt;="&amp;$D$7)</f>
        <v>0</v>
      </c>
      <c r="K132" s="61">
        <f>SUM(B132:J132)</f>
        <v>0</v>
      </c>
    </row>
    <row r="133">
      <c r="A133" s="29" t="inlineStr">
        <is>
          <t xml:space="preserve">GENTE · Acidentes SAF</t>
        </is>
      </c>
      <c r="B133" s="32">
        <f>SUMIFS(BD!$AG$3:$AG$5001,BD!$B$3:$B$5001,B$101,BD!$A$3:$A$5001,"&gt;="&amp;$C$7,BD!$A$3:$A$5001,"&lt;="&amp;$D$7)</f>
        <v>0</v>
      </c>
      <c r="C133" s="32">
        <f>SUMIFS(BD!$AG$3:$AG$5001,BD!$B$3:$B$5001,C$101,BD!$A$3:$A$5001,"&gt;="&amp;$C$7,BD!$A$3:$A$5001,"&lt;="&amp;$D$7)</f>
        <v>0</v>
      </c>
      <c r="D133" s="32">
        <f>SUMIFS(BD!$AG$3:$AG$5001,BD!$B$3:$B$5001,D$101,BD!$A$3:$A$5001,"&gt;="&amp;$C$7,BD!$A$3:$A$5001,"&lt;="&amp;$D$7)</f>
        <v>0</v>
      </c>
      <c r="E133" s="32">
        <f>SUMIFS(BD!$AG$3:$AG$5001,BD!$B$3:$B$5001,E$101,BD!$A$3:$A$5001,"&gt;="&amp;$C$7,BD!$A$3:$A$5001,"&lt;="&amp;$D$7)</f>
        <v>0</v>
      </c>
      <c r="F133" s="32">
        <f>SUMIFS(BD!$AG$3:$AG$5001,BD!$B$3:$B$5001,F$101,BD!$A$3:$A$5001,"&gt;="&amp;$C$7,BD!$A$3:$A$5001,"&lt;="&amp;$D$7)</f>
        <v>0</v>
      </c>
      <c r="G133" s="32">
        <f>SUMIFS(BD!$AG$3:$AG$5001,BD!$B$3:$B$5001,G$101,BD!$A$3:$A$5001,"&gt;="&amp;$C$7,BD!$A$3:$A$5001,"&lt;="&amp;$D$7)</f>
        <v>0</v>
      </c>
      <c r="H133" s="32">
        <f>SUMIFS(BD!$AG$3:$AG$5001,BD!$B$3:$B$5001,H$101,BD!$A$3:$A$5001,"&gt;="&amp;$C$7,BD!$A$3:$A$5001,"&lt;="&amp;$D$7)</f>
        <v>0</v>
      </c>
      <c r="I133" s="32">
        <f>SUMIFS(BD!$AG$3:$AG$5001,BD!$B$3:$B$5001,I$101,BD!$A$3:$A$5001,"&gt;="&amp;$C$7,BD!$A$3:$A$5001,"&lt;="&amp;$D$7)</f>
        <v>0</v>
      </c>
      <c r="J133" s="32">
        <f>SUMIFS(BD!$AG$3:$AG$5001,BD!$B$3:$B$5001,J$101,BD!$A$3:$A$5001,"&gt;="&amp;$C$7,BD!$A$3:$A$5001,"&lt;="&amp;$D$7)</f>
        <v>0</v>
      </c>
      <c r="K133" s="61">
        <f>SUM(B133:J133)</f>
        <v>0</v>
      </c>
    </row>
    <row r="137">
      <c r="A137" s="19" t="inlineStr">
        <is>
          <t xml:space="preserve">ESTOQUES POR CLIENTE — último valor informado até cada dia (Backlog, Posições e Efetivo)</t>
        </is>
      </c>
    </row>
    <row r="138">
      <c r="A138" s="37" t="inlineStr">
        <is>
          <t xml:space="preserve">Backlog</t>
        </is>
      </c>
      <c r="B138" s="37" t="inlineStr">
        <is>
          <t xml:space="preserve">Data</t>
        </is>
      </c>
      <c r="C138" s="37" t="inlineStr">
        <is>
          <t xml:space="preserve">Alpargatas</t>
        </is>
      </c>
      <c r="D138" s="37" t="inlineStr">
        <is>
          <t xml:space="preserve">Basf</t>
        </is>
      </c>
      <c r="E138" s="37" t="inlineStr">
        <is>
          <t xml:space="preserve">Beautybiz</t>
        </is>
      </c>
      <c r="F138" s="37" t="inlineStr">
        <is>
          <t xml:space="preserve">Boticário</t>
        </is>
      </c>
      <c r="G138" s="37" t="inlineStr">
        <is>
          <t xml:space="preserve">GE Vernova</t>
        </is>
      </c>
      <c r="H138" s="37" t="inlineStr">
        <is>
          <t xml:space="preserve">Omnilife</t>
        </is>
      </c>
      <c r="I138" s="37" t="inlineStr">
        <is>
          <t xml:space="preserve">Supply</t>
        </is>
      </c>
      <c r="J138" s="37" t="inlineStr">
        <is>
          <t xml:space="preserve">Vedacit</t>
        </is>
      </c>
      <c r="K138" s="37" t="inlineStr">
        <is>
          <t xml:space="preserve">Vestas</t>
        </is>
      </c>
    </row>
    <row r="139">
      <c r="A139" s="40">
        <v>1</v>
      </c>
      <c r="B139" s="41">
        <f>$B$12</f>
        <v>46296</v>
      </c>
      <c r="C139" s="42" t="str">
        <f>IF(OR($B139="",$A139&gt;$B$9),"",IF(COUNTIFS(BD!$B$3:$B$5001,C$138,BD!$A$3:$A$5001,"&gt;="&amp;$C$7,BD!$A$3:$A$5001,"&lt;="&amp;$B139,BD!$W$3:$W$5001,"&lt;&gt;")=0,"",SUMIFS(BD!$W$3:$W$5001,BD!$B$3:$B$5001,C$138,BD!$A$3:$A$5001,_xlfn.MAXIFS(BD!$A$3:$A$5001,BD!$B$3:$B$5001,C$138,BD!$A$3:$A$5001,"&gt;="&amp;$C$7,BD!$A$3:$A$5001,"&lt;="&amp;$B139,BD!$W$3:$W$5001,"&lt;&gt;"))))</f>
        <v/>
      </c>
      <c r="D139" s="42" t="str">
        <f>IF(OR($B139="",$A139&gt;$B$9),"",IF(COUNTIFS(BD!$B$3:$B$5001,D$138,BD!$A$3:$A$5001,"&gt;="&amp;$C$7,BD!$A$3:$A$5001,"&lt;="&amp;$B139,BD!$W$3:$W$5001,"&lt;&gt;")=0,"",SUMIFS(BD!$W$3:$W$5001,BD!$B$3:$B$5001,D$138,BD!$A$3:$A$5001,_xlfn.MAXIFS(BD!$A$3:$A$5001,BD!$B$3:$B$5001,D$138,BD!$A$3:$A$5001,"&gt;="&amp;$C$7,BD!$A$3:$A$5001,"&lt;="&amp;$B139,BD!$W$3:$W$5001,"&lt;&gt;"))))</f>
        <v/>
      </c>
      <c r="E139" s="42" t="str">
        <f>IF(OR($B139="",$A139&gt;$B$9),"",IF(COUNTIFS(BD!$B$3:$B$5001,E$138,BD!$A$3:$A$5001,"&gt;="&amp;$C$7,BD!$A$3:$A$5001,"&lt;="&amp;$B139,BD!$W$3:$W$5001,"&lt;&gt;")=0,"",SUMIFS(BD!$W$3:$W$5001,BD!$B$3:$B$5001,E$138,BD!$A$3:$A$5001,_xlfn.MAXIFS(BD!$A$3:$A$5001,BD!$B$3:$B$5001,E$138,BD!$A$3:$A$5001,"&gt;="&amp;$C$7,BD!$A$3:$A$5001,"&lt;="&amp;$B139,BD!$W$3:$W$5001,"&lt;&gt;"))))</f>
        <v/>
      </c>
      <c r="F139" s="42" t="str">
        <f>IF(OR($B139="",$A139&gt;$B$9),"",IF(COUNTIFS(BD!$B$3:$B$5001,F$138,BD!$A$3:$A$5001,"&gt;="&amp;$C$7,BD!$A$3:$A$5001,"&lt;="&amp;$B139,BD!$W$3:$W$5001,"&lt;&gt;")=0,"",SUMIFS(BD!$W$3:$W$5001,BD!$B$3:$B$5001,F$138,BD!$A$3:$A$5001,_xlfn.MAXIFS(BD!$A$3:$A$5001,BD!$B$3:$B$5001,F$138,BD!$A$3:$A$5001,"&gt;="&amp;$C$7,BD!$A$3:$A$5001,"&lt;="&amp;$B139,BD!$W$3:$W$5001,"&lt;&gt;"))))</f>
        <v/>
      </c>
      <c r="G139" s="42" t="str">
        <f>IF(OR($B139="",$A139&gt;$B$9),"",IF(COUNTIFS(BD!$B$3:$B$5001,G$138,BD!$A$3:$A$5001,"&gt;="&amp;$C$7,BD!$A$3:$A$5001,"&lt;="&amp;$B139,BD!$W$3:$W$5001,"&lt;&gt;")=0,"",SUMIFS(BD!$W$3:$W$5001,BD!$B$3:$B$5001,G$138,BD!$A$3:$A$5001,_xlfn.MAXIFS(BD!$A$3:$A$5001,BD!$B$3:$B$5001,G$138,BD!$A$3:$A$5001,"&gt;="&amp;$C$7,BD!$A$3:$A$5001,"&lt;="&amp;$B139,BD!$W$3:$W$5001,"&lt;&gt;"))))</f>
        <v/>
      </c>
      <c r="H139" s="42" t="str">
        <f>IF(OR($B139="",$A139&gt;$B$9),"",IF(COUNTIFS(BD!$B$3:$B$5001,H$138,BD!$A$3:$A$5001,"&gt;="&amp;$C$7,BD!$A$3:$A$5001,"&lt;="&amp;$B139,BD!$W$3:$W$5001,"&lt;&gt;")=0,"",SUMIFS(BD!$W$3:$W$5001,BD!$B$3:$B$5001,H$138,BD!$A$3:$A$5001,_xlfn.MAXIFS(BD!$A$3:$A$5001,BD!$B$3:$B$5001,H$138,BD!$A$3:$A$5001,"&gt;="&amp;$C$7,BD!$A$3:$A$5001,"&lt;="&amp;$B139,BD!$W$3:$W$5001,"&lt;&gt;"))))</f>
        <v/>
      </c>
      <c r="I139" s="42" t="str">
        <f>IF(OR($B139="",$A139&gt;$B$9),"",IF(COUNTIFS(BD!$B$3:$B$5001,I$138,BD!$A$3:$A$5001,"&gt;="&amp;$C$7,BD!$A$3:$A$5001,"&lt;="&amp;$B139,BD!$W$3:$W$5001,"&lt;&gt;")=0,"",SUMIFS(BD!$W$3:$W$5001,BD!$B$3:$B$5001,I$138,BD!$A$3:$A$5001,_xlfn.MAXIFS(BD!$A$3:$A$5001,BD!$B$3:$B$5001,I$138,BD!$A$3:$A$5001,"&gt;="&amp;$C$7,BD!$A$3:$A$5001,"&lt;="&amp;$B139,BD!$W$3:$W$5001,"&lt;&gt;"))))</f>
        <v/>
      </c>
      <c r="J139" s="42" t="str">
        <f>IF(OR($B139="",$A139&gt;$B$9),"",IF(COUNTIFS(BD!$B$3:$B$5001,J$138,BD!$A$3:$A$5001,"&gt;="&amp;$C$7,BD!$A$3:$A$5001,"&lt;="&amp;$B139,BD!$W$3:$W$5001,"&lt;&gt;")=0,"",SUMIFS(BD!$W$3:$W$5001,BD!$B$3:$B$5001,J$138,BD!$A$3:$A$5001,_xlfn.MAXIFS(BD!$A$3:$A$5001,BD!$B$3:$B$5001,J$138,BD!$A$3:$A$5001,"&gt;="&amp;$C$7,BD!$A$3:$A$5001,"&lt;="&amp;$B139,BD!$W$3:$W$5001,"&lt;&gt;"))))</f>
        <v/>
      </c>
      <c r="K139" s="42" t="str">
        <f>IF(OR($B139="",$A139&gt;$B$9),"",IF(COUNTIFS(BD!$B$3:$B$5001,K$138,BD!$A$3:$A$5001,"&gt;="&amp;$C$7,BD!$A$3:$A$5001,"&lt;="&amp;$B139,BD!$W$3:$W$5001,"&lt;&gt;")=0,"",SUMIFS(BD!$W$3:$W$5001,BD!$B$3:$B$5001,K$138,BD!$A$3:$A$5001,_xlfn.MAXIFS(BD!$A$3:$A$5001,BD!$B$3:$B$5001,K$138,BD!$A$3:$A$5001,"&gt;="&amp;$C$7,BD!$A$3:$A$5001,"&lt;="&amp;$B139,BD!$W$3:$W$5001,"&lt;&gt;"))))</f>
        <v/>
      </c>
    </row>
    <row r="140">
      <c r="A140" s="40">
        <v>2</v>
      </c>
      <c r="B140" s="41">
        <f>$B$13</f>
        <v>46297</v>
      </c>
      <c r="C140" s="42" t="str">
        <f>IF(OR($B140="",$A140&gt;$B$9),"",IF(COUNTIFS(BD!$B$3:$B$5001,C$138,BD!$A$3:$A$5001,"&gt;="&amp;$C$7,BD!$A$3:$A$5001,"&lt;="&amp;$B140,BD!$W$3:$W$5001,"&lt;&gt;")=0,"",SUMIFS(BD!$W$3:$W$5001,BD!$B$3:$B$5001,C$138,BD!$A$3:$A$5001,_xlfn.MAXIFS(BD!$A$3:$A$5001,BD!$B$3:$B$5001,C$138,BD!$A$3:$A$5001,"&gt;="&amp;$C$7,BD!$A$3:$A$5001,"&lt;="&amp;$B140,BD!$W$3:$W$5001,"&lt;&gt;"))))</f>
        <v/>
      </c>
      <c r="D140" s="42" t="str">
        <f>IF(OR($B140="",$A140&gt;$B$9),"",IF(COUNTIFS(BD!$B$3:$B$5001,D$138,BD!$A$3:$A$5001,"&gt;="&amp;$C$7,BD!$A$3:$A$5001,"&lt;="&amp;$B140,BD!$W$3:$W$5001,"&lt;&gt;")=0,"",SUMIFS(BD!$W$3:$W$5001,BD!$B$3:$B$5001,D$138,BD!$A$3:$A$5001,_xlfn.MAXIFS(BD!$A$3:$A$5001,BD!$B$3:$B$5001,D$138,BD!$A$3:$A$5001,"&gt;="&amp;$C$7,BD!$A$3:$A$5001,"&lt;="&amp;$B140,BD!$W$3:$W$5001,"&lt;&gt;"))))</f>
        <v/>
      </c>
      <c r="E140" s="42" t="str">
        <f>IF(OR($B140="",$A140&gt;$B$9),"",IF(COUNTIFS(BD!$B$3:$B$5001,E$138,BD!$A$3:$A$5001,"&gt;="&amp;$C$7,BD!$A$3:$A$5001,"&lt;="&amp;$B140,BD!$W$3:$W$5001,"&lt;&gt;")=0,"",SUMIFS(BD!$W$3:$W$5001,BD!$B$3:$B$5001,E$138,BD!$A$3:$A$5001,_xlfn.MAXIFS(BD!$A$3:$A$5001,BD!$B$3:$B$5001,E$138,BD!$A$3:$A$5001,"&gt;="&amp;$C$7,BD!$A$3:$A$5001,"&lt;="&amp;$B140,BD!$W$3:$W$5001,"&lt;&gt;"))))</f>
        <v/>
      </c>
      <c r="F140" s="42" t="str">
        <f>IF(OR($B140="",$A140&gt;$B$9),"",IF(COUNTIFS(BD!$B$3:$B$5001,F$138,BD!$A$3:$A$5001,"&gt;="&amp;$C$7,BD!$A$3:$A$5001,"&lt;="&amp;$B140,BD!$W$3:$W$5001,"&lt;&gt;")=0,"",SUMIFS(BD!$W$3:$W$5001,BD!$B$3:$B$5001,F$138,BD!$A$3:$A$5001,_xlfn.MAXIFS(BD!$A$3:$A$5001,BD!$B$3:$B$5001,F$138,BD!$A$3:$A$5001,"&gt;="&amp;$C$7,BD!$A$3:$A$5001,"&lt;="&amp;$B140,BD!$W$3:$W$5001,"&lt;&gt;"))))</f>
        <v/>
      </c>
      <c r="G140" s="42" t="str">
        <f>IF(OR($B140="",$A140&gt;$B$9),"",IF(COUNTIFS(BD!$B$3:$B$5001,G$138,BD!$A$3:$A$5001,"&gt;="&amp;$C$7,BD!$A$3:$A$5001,"&lt;="&amp;$B140,BD!$W$3:$W$5001,"&lt;&gt;")=0,"",SUMIFS(BD!$W$3:$W$5001,BD!$B$3:$B$5001,G$138,BD!$A$3:$A$5001,_xlfn.MAXIFS(BD!$A$3:$A$5001,BD!$B$3:$B$5001,G$138,BD!$A$3:$A$5001,"&gt;="&amp;$C$7,BD!$A$3:$A$5001,"&lt;="&amp;$B140,BD!$W$3:$W$5001,"&lt;&gt;"))))</f>
        <v/>
      </c>
      <c r="H140" s="42" t="str">
        <f>IF(OR($B140="",$A140&gt;$B$9),"",IF(COUNTIFS(BD!$B$3:$B$5001,H$138,BD!$A$3:$A$5001,"&gt;="&amp;$C$7,BD!$A$3:$A$5001,"&lt;="&amp;$B140,BD!$W$3:$W$5001,"&lt;&gt;")=0,"",SUMIFS(BD!$W$3:$W$5001,BD!$B$3:$B$5001,H$138,BD!$A$3:$A$5001,_xlfn.MAXIFS(BD!$A$3:$A$5001,BD!$B$3:$B$5001,H$138,BD!$A$3:$A$5001,"&gt;="&amp;$C$7,BD!$A$3:$A$5001,"&lt;="&amp;$B140,BD!$W$3:$W$5001,"&lt;&gt;"))))</f>
        <v/>
      </c>
      <c r="I140" s="42" t="str">
        <f>IF(OR($B140="",$A140&gt;$B$9),"",IF(COUNTIFS(BD!$B$3:$B$5001,I$138,BD!$A$3:$A$5001,"&gt;="&amp;$C$7,BD!$A$3:$A$5001,"&lt;="&amp;$B140,BD!$W$3:$W$5001,"&lt;&gt;")=0,"",SUMIFS(BD!$W$3:$W$5001,BD!$B$3:$B$5001,I$138,BD!$A$3:$A$5001,_xlfn.MAXIFS(BD!$A$3:$A$5001,BD!$B$3:$B$5001,I$138,BD!$A$3:$A$5001,"&gt;="&amp;$C$7,BD!$A$3:$A$5001,"&lt;="&amp;$B140,BD!$W$3:$W$5001,"&lt;&gt;"))))</f>
        <v/>
      </c>
      <c r="J140" s="42" t="str">
        <f>IF(OR($B140="",$A140&gt;$B$9),"",IF(COUNTIFS(BD!$B$3:$B$5001,J$138,BD!$A$3:$A$5001,"&gt;="&amp;$C$7,BD!$A$3:$A$5001,"&lt;="&amp;$B140,BD!$W$3:$W$5001,"&lt;&gt;")=0,"",SUMIFS(BD!$W$3:$W$5001,BD!$B$3:$B$5001,J$138,BD!$A$3:$A$5001,_xlfn.MAXIFS(BD!$A$3:$A$5001,BD!$B$3:$B$5001,J$138,BD!$A$3:$A$5001,"&gt;="&amp;$C$7,BD!$A$3:$A$5001,"&lt;="&amp;$B140,BD!$W$3:$W$5001,"&lt;&gt;"))))</f>
        <v/>
      </c>
      <c r="K140" s="42" t="str">
        <f>IF(OR($B140="",$A140&gt;$B$9),"",IF(COUNTIFS(BD!$B$3:$B$5001,K$138,BD!$A$3:$A$5001,"&gt;="&amp;$C$7,BD!$A$3:$A$5001,"&lt;="&amp;$B140,BD!$W$3:$W$5001,"&lt;&gt;")=0,"",SUMIFS(BD!$W$3:$W$5001,BD!$B$3:$B$5001,K$138,BD!$A$3:$A$5001,_xlfn.MAXIFS(BD!$A$3:$A$5001,BD!$B$3:$B$5001,K$138,BD!$A$3:$A$5001,"&gt;="&amp;$C$7,BD!$A$3:$A$5001,"&lt;="&amp;$B140,BD!$W$3:$W$5001,"&lt;&gt;"))))</f>
        <v/>
      </c>
    </row>
    <row r="141">
      <c r="A141" s="40">
        <v>3</v>
      </c>
      <c r="B141" s="41">
        <f>$B$14</f>
        <v>46298</v>
      </c>
      <c r="C141" s="42" t="str">
        <f>IF(OR($B141="",$A141&gt;$B$9),"",IF(COUNTIFS(BD!$B$3:$B$5001,C$138,BD!$A$3:$A$5001,"&gt;="&amp;$C$7,BD!$A$3:$A$5001,"&lt;="&amp;$B141,BD!$W$3:$W$5001,"&lt;&gt;")=0,"",SUMIFS(BD!$W$3:$W$5001,BD!$B$3:$B$5001,C$138,BD!$A$3:$A$5001,_xlfn.MAXIFS(BD!$A$3:$A$5001,BD!$B$3:$B$5001,C$138,BD!$A$3:$A$5001,"&gt;="&amp;$C$7,BD!$A$3:$A$5001,"&lt;="&amp;$B141,BD!$W$3:$W$5001,"&lt;&gt;"))))</f>
        <v/>
      </c>
      <c r="D141" s="42" t="str">
        <f>IF(OR($B141="",$A141&gt;$B$9),"",IF(COUNTIFS(BD!$B$3:$B$5001,D$138,BD!$A$3:$A$5001,"&gt;="&amp;$C$7,BD!$A$3:$A$5001,"&lt;="&amp;$B141,BD!$W$3:$W$5001,"&lt;&gt;")=0,"",SUMIFS(BD!$W$3:$W$5001,BD!$B$3:$B$5001,D$138,BD!$A$3:$A$5001,_xlfn.MAXIFS(BD!$A$3:$A$5001,BD!$B$3:$B$5001,D$138,BD!$A$3:$A$5001,"&gt;="&amp;$C$7,BD!$A$3:$A$5001,"&lt;="&amp;$B141,BD!$W$3:$W$5001,"&lt;&gt;"))))</f>
        <v/>
      </c>
      <c r="E141" s="42" t="str">
        <f>IF(OR($B141="",$A141&gt;$B$9),"",IF(COUNTIFS(BD!$B$3:$B$5001,E$138,BD!$A$3:$A$5001,"&gt;="&amp;$C$7,BD!$A$3:$A$5001,"&lt;="&amp;$B141,BD!$W$3:$W$5001,"&lt;&gt;")=0,"",SUMIFS(BD!$W$3:$W$5001,BD!$B$3:$B$5001,E$138,BD!$A$3:$A$5001,_xlfn.MAXIFS(BD!$A$3:$A$5001,BD!$B$3:$B$5001,E$138,BD!$A$3:$A$5001,"&gt;="&amp;$C$7,BD!$A$3:$A$5001,"&lt;="&amp;$B141,BD!$W$3:$W$5001,"&lt;&gt;"))))</f>
        <v/>
      </c>
      <c r="F141" s="42" t="str">
        <f>IF(OR($B141="",$A141&gt;$B$9),"",IF(COUNTIFS(BD!$B$3:$B$5001,F$138,BD!$A$3:$A$5001,"&gt;="&amp;$C$7,BD!$A$3:$A$5001,"&lt;="&amp;$B141,BD!$W$3:$W$5001,"&lt;&gt;")=0,"",SUMIFS(BD!$W$3:$W$5001,BD!$B$3:$B$5001,F$138,BD!$A$3:$A$5001,_xlfn.MAXIFS(BD!$A$3:$A$5001,BD!$B$3:$B$5001,F$138,BD!$A$3:$A$5001,"&gt;="&amp;$C$7,BD!$A$3:$A$5001,"&lt;="&amp;$B141,BD!$W$3:$W$5001,"&lt;&gt;"))))</f>
        <v/>
      </c>
      <c r="G141" s="42" t="str">
        <f>IF(OR($B141="",$A141&gt;$B$9),"",IF(COUNTIFS(BD!$B$3:$B$5001,G$138,BD!$A$3:$A$5001,"&gt;="&amp;$C$7,BD!$A$3:$A$5001,"&lt;="&amp;$B141,BD!$W$3:$W$5001,"&lt;&gt;")=0,"",SUMIFS(BD!$W$3:$W$5001,BD!$B$3:$B$5001,G$138,BD!$A$3:$A$5001,_xlfn.MAXIFS(BD!$A$3:$A$5001,BD!$B$3:$B$5001,G$138,BD!$A$3:$A$5001,"&gt;="&amp;$C$7,BD!$A$3:$A$5001,"&lt;="&amp;$B141,BD!$W$3:$W$5001,"&lt;&gt;"))))</f>
        <v/>
      </c>
      <c r="H141" s="42" t="str">
        <f>IF(OR($B141="",$A141&gt;$B$9),"",IF(COUNTIFS(BD!$B$3:$B$5001,H$138,BD!$A$3:$A$5001,"&gt;="&amp;$C$7,BD!$A$3:$A$5001,"&lt;="&amp;$B141,BD!$W$3:$W$5001,"&lt;&gt;")=0,"",SUMIFS(BD!$W$3:$W$5001,BD!$B$3:$B$5001,H$138,BD!$A$3:$A$5001,_xlfn.MAXIFS(BD!$A$3:$A$5001,BD!$B$3:$B$5001,H$138,BD!$A$3:$A$5001,"&gt;="&amp;$C$7,BD!$A$3:$A$5001,"&lt;="&amp;$B141,BD!$W$3:$W$5001,"&lt;&gt;"))))</f>
        <v/>
      </c>
      <c r="I141" s="42" t="str">
        <f>IF(OR($B141="",$A141&gt;$B$9),"",IF(COUNTIFS(BD!$B$3:$B$5001,I$138,BD!$A$3:$A$5001,"&gt;="&amp;$C$7,BD!$A$3:$A$5001,"&lt;="&amp;$B141,BD!$W$3:$W$5001,"&lt;&gt;")=0,"",SUMIFS(BD!$W$3:$W$5001,BD!$B$3:$B$5001,I$138,BD!$A$3:$A$5001,_xlfn.MAXIFS(BD!$A$3:$A$5001,BD!$B$3:$B$5001,I$138,BD!$A$3:$A$5001,"&gt;="&amp;$C$7,BD!$A$3:$A$5001,"&lt;="&amp;$B141,BD!$W$3:$W$5001,"&lt;&gt;"))))</f>
        <v/>
      </c>
      <c r="J141" s="42" t="str">
        <f>IF(OR($B141="",$A141&gt;$B$9),"",IF(COUNTIFS(BD!$B$3:$B$5001,J$138,BD!$A$3:$A$5001,"&gt;="&amp;$C$7,BD!$A$3:$A$5001,"&lt;="&amp;$B141,BD!$W$3:$W$5001,"&lt;&gt;")=0,"",SUMIFS(BD!$W$3:$W$5001,BD!$B$3:$B$5001,J$138,BD!$A$3:$A$5001,_xlfn.MAXIFS(BD!$A$3:$A$5001,BD!$B$3:$B$5001,J$138,BD!$A$3:$A$5001,"&gt;="&amp;$C$7,BD!$A$3:$A$5001,"&lt;="&amp;$B141,BD!$W$3:$W$5001,"&lt;&gt;"))))</f>
        <v/>
      </c>
      <c r="K141" s="42" t="str">
        <f>IF(OR($B141="",$A141&gt;$B$9),"",IF(COUNTIFS(BD!$B$3:$B$5001,K$138,BD!$A$3:$A$5001,"&gt;="&amp;$C$7,BD!$A$3:$A$5001,"&lt;="&amp;$B141,BD!$W$3:$W$5001,"&lt;&gt;")=0,"",SUMIFS(BD!$W$3:$W$5001,BD!$B$3:$B$5001,K$138,BD!$A$3:$A$5001,_xlfn.MAXIFS(BD!$A$3:$A$5001,BD!$B$3:$B$5001,K$138,BD!$A$3:$A$5001,"&gt;="&amp;$C$7,BD!$A$3:$A$5001,"&lt;="&amp;$B141,BD!$W$3:$W$5001,"&lt;&gt;"))))</f>
        <v/>
      </c>
    </row>
    <row r="142">
      <c r="A142" s="40">
        <v>4</v>
      </c>
      <c r="B142" s="41">
        <f>$B$15</f>
        <v>46299</v>
      </c>
      <c r="C142" s="42" t="str">
        <f>IF(OR($B142="",$A142&gt;$B$9),"",IF(COUNTIFS(BD!$B$3:$B$5001,C$138,BD!$A$3:$A$5001,"&gt;="&amp;$C$7,BD!$A$3:$A$5001,"&lt;="&amp;$B142,BD!$W$3:$W$5001,"&lt;&gt;")=0,"",SUMIFS(BD!$W$3:$W$5001,BD!$B$3:$B$5001,C$138,BD!$A$3:$A$5001,_xlfn.MAXIFS(BD!$A$3:$A$5001,BD!$B$3:$B$5001,C$138,BD!$A$3:$A$5001,"&gt;="&amp;$C$7,BD!$A$3:$A$5001,"&lt;="&amp;$B142,BD!$W$3:$W$5001,"&lt;&gt;"))))</f>
        <v/>
      </c>
      <c r="D142" s="42" t="str">
        <f>IF(OR($B142="",$A142&gt;$B$9),"",IF(COUNTIFS(BD!$B$3:$B$5001,D$138,BD!$A$3:$A$5001,"&gt;="&amp;$C$7,BD!$A$3:$A$5001,"&lt;="&amp;$B142,BD!$W$3:$W$5001,"&lt;&gt;")=0,"",SUMIFS(BD!$W$3:$W$5001,BD!$B$3:$B$5001,D$138,BD!$A$3:$A$5001,_xlfn.MAXIFS(BD!$A$3:$A$5001,BD!$B$3:$B$5001,D$138,BD!$A$3:$A$5001,"&gt;="&amp;$C$7,BD!$A$3:$A$5001,"&lt;="&amp;$B142,BD!$W$3:$W$5001,"&lt;&gt;"))))</f>
        <v/>
      </c>
      <c r="E142" s="42" t="str">
        <f>IF(OR($B142="",$A142&gt;$B$9),"",IF(COUNTIFS(BD!$B$3:$B$5001,E$138,BD!$A$3:$A$5001,"&gt;="&amp;$C$7,BD!$A$3:$A$5001,"&lt;="&amp;$B142,BD!$W$3:$W$5001,"&lt;&gt;")=0,"",SUMIFS(BD!$W$3:$W$5001,BD!$B$3:$B$5001,E$138,BD!$A$3:$A$5001,_xlfn.MAXIFS(BD!$A$3:$A$5001,BD!$B$3:$B$5001,E$138,BD!$A$3:$A$5001,"&gt;="&amp;$C$7,BD!$A$3:$A$5001,"&lt;="&amp;$B142,BD!$W$3:$W$5001,"&lt;&gt;"))))</f>
        <v/>
      </c>
      <c r="F142" s="42" t="str">
        <f>IF(OR($B142="",$A142&gt;$B$9),"",IF(COUNTIFS(BD!$B$3:$B$5001,F$138,BD!$A$3:$A$5001,"&gt;="&amp;$C$7,BD!$A$3:$A$5001,"&lt;="&amp;$B142,BD!$W$3:$W$5001,"&lt;&gt;")=0,"",SUMIFS(BD!$W$3:$W$5001,BD!$B$3:$B$5001,F$138,BD!$A$3:$A$5001,_xlfn.MAXIFS(BD!$A$3:$A$5001,BD!$B$3:$B$5001,F$138,BD!$A$3:$A$5001,"&gt;="&amp;$C$7,BD!$A$3:$A$5001,"&lt;="&amp;$B142,BD!$W$3:$W$5001,"&lt;&gt;"))))</f>
        <v/>
      </c>
      <c r="G142" s="42" t="str">
        <f>IF(OR($B142="",$A142&gt;$B$9),"",IF(COUNTIFS(BD!$B$3:$B$5001,G$138,BD!$A$3:$A$5001,"&gt;="&amp;$C$7,BD!$A$3:$A$5001,"&lt;="&amp;$B142,BD!$W$3:$W$5001,"&lt;&gt;")=0,"",SUMIFS(BD!$W$3:$W$5001,BD!$B$3:$B$5001,G$138,BD!$A$3:$A$5001,_xlfn.MAXIFS(BD!$A$3:$A$5001,BD!$B$3:$B$5001,G$138,BD!$A$3:$A$5001,"&gt;="&amp;$C$7,BD!$A$3:$A$5001,"&lt;="&amp;$B142,BD!$W$3:$W$5001,"&lt;&gt;"))))</f>
        <v/>
      </c>
      <c r="H142" s="42" t="str">
        <f>IF(OR($B142="",$A142&gt;$B$9),"",IF(COUNTIFS(BD!$B$3:$B$5001,H$138,BD!$A$3:$A$5001,"&gt;="&amp;$C$7,BD!$A$3:$A$5001,"&lt;="&amp;$B142,BD!$W$3:$W$5001,"&lt;&gt;")=0,"",SUMIFS(BD!$W$3:$W$5001,BD!$B$3:$B$5001,H$138,BD!$A$3:$A$5001,_xlfn.MAXIFS(BD!$A$3:$A$5001,BD!$B$3:$B$5001,H$138,BD!$A$3:$A$5001,"&gt;="&amp;$C$7,BD!$A$3:$A$5001,"&lt;="&amp;$B142,BD!$W$3:$W$5001,"&lt;&gt;"))))</f>
        <v/>
      </c>
      <c r="I142" s="42" t="str">
        <f>IF(OR($B142="",$A142&gt;$B$9),"",IF(COUNTIFS(BD!$B$3:$B$5001,I$138,BD!$A$3:$A$5001,"&gt;="&amp;$C$7,BD!$A$3:$A$5001,"&lt;="&amp;$B142,BD!$W$3:$W$5001,"&lt;&gt;")=0,"",SUMIFS(BD!$W$3:$W$5001,BD!$B$3:$B$5001,I$138,BD!$A$3:$A$5001,_xlfn.MAXIFS(BD!$A$3:$A$5001,BD!$B$3:$B$5001,I$138,BD!$A$3:$A$5001,"&gt;="&amp;$C$7,BD!$A$3:$A$5001,"&lt;="&amp;$B142,BD!$W$3:$W$5001,"&lt;&gt;"))))</f>
        <v/>
      </c>
      <c r="J142" s="42" t="str">
        <f>IF(OR($B142="",$A142&gt;$B$9),"",IF(COUNTIFS(BD!$B$3:$B$5001,J$138,BD!$A$3:$A$5001,"&gt;="&amp;$C$7,BD!$A$3:$A$5001,"&lt;="&amp;$B142,BD!$W$3:$W$5001,"&lt;&gt;")=0,"",SUMIFS(BD!$W$3:$W$5001,BD!$B$3:$B$5001,J$138,BD!$A$3:$A$5001,_xlfn.MAXIFS(BD!$A$3:$A$5001,BD!$B$3:$B$5001,J$138,BD!$A$3:$A$5001,"&gt;="&amp;$C$7,BD!$A$3:$A$5001,"&lt;="&amp;$B142,BD!$W$3:$W$5001,"&lt;&gt;"))))</f>
        <v/>
      </c>
      <c r="K142" s="42" t="str">
        <f>IF(OR($B142="",$A142&gt;$B$9),"",IF(COUNTIFS(BD!$B$3:$B$5001,K$138,BD!$A$3:$A$5001,"&gt;="&amp;$C$7,BD!$A$3:$A$5001,"&lt;="&amp;$B142,BD!$W$3:$W$5001,"&lt;&gt;")=0,"",SUMIFS(BD!$W$3:$W$5001,BD!$B$3:$B$5001,K$138,BD!$A$3:$A$5001,_xlfn.MAXIFS(BD!$A$3:$A$5001,BD!$B$3:$B$5001,K$138,BD!$A$3:$A$5001,"&gt;="&amp;$C$7,BD!$A$3:$A$5001,"&lt;="&amp;$B142,BD!$W$3:$W$5001,"&lt;&gt;"))))</f>
        <v/>
      </c>
    </row>
    <row r="143">
      <c r="A143" s="40">
        <v>5</v>
      </c>
      <c r="B143" s="41">
        <f>$B$16</f>
        <v>46300</v>
      </c>
      <c r="C143" s="42" t="str">
        <f>IF(OR($B143="",$A143&gt;$B$9),"",IF(COUNTIFS(BD!$B$3:$B$5001,C$138,BD!$A$3:$A$5001,"&gt;="&amp;$C$7,BD!$A$3:$A$5001,"&lt;="&amp;$B143,BD!$W$3:$W$5001,"&lt;&gt;")=0,"",SUMIFS(BD!$W$3:$W$5001,BD!$B$3:$B$5001,C$138,BD!$A$3:$A$5001,_xlfn.MAXIFS(BD!$A$3:$A$5001,BD!$B$3:$B$5001,C$138,BD!$A$3:$A$5001,"&gt;="&amp;$C$7,BD!$A$3:$A$5001,"&lt;="&amp;$B143,BD!$W$3:$W$5001,"&lt;&gt;"))))</f>
        <v/>
      </c>
      <c r="D143" s="42" t="str">
        <f>IF(OR($B143="",$A143&gt;$B$9),"",IF(COUNTIFS(BD!$B$3:$B$5001,D$138,BD!$A$3:$A$5001,"&gt;="&amp;$C$7,BD!$A$3:$A$5001,"&lt;="&amp;$B143,BD!$W$3:$W$5001,"&lt;&gt;")=0,"",SUMIFS(BD!$W$3:$W$5001,BD!$B$3:$B$5001,D$138,BD!$A$3:$A$5001,_xlfn.MAXIFS(BD!$A$3:$A$5001,BD!$B$3:$B$5001,D$138,BD!$A$3:$A$5001,"&gt;="&amp;$C$7,BD!$A$3:$A$5001,"&lt;="&amp;$B143,BD!$W$3:$W$5001,"&lt;&gt;"))))</f>
        <v/>
      </c>
      <c r="E143" s="42" t="str">
        <f>IF(OR($B143="",$A143&gt;$B$9),"",IF(COUNTIFS(BD!$B$3:$B$5001,E$138,BD!$A$3:$A$5001,"&gt;="&amp;$C$7,BD!$A$3:$A$5001,"&lt;="&amp;$B143,BD!$W$3:$W$5001,"&lt;&gt;")=0,"",SUMIFS(BD!$W$3:$W$5001,BD!$B$3:$B$5001,E$138,BD!$A$3:$A$5001,_xlfn.MAXIFS(BD!$A$3:$A$5001,BD!$B$3:$B$5001,E$138,BD!$A$3:$A$5001,"&gt;="&amp;$C$7,BD!$A$3:$A$5001,"&lt;="&amp;$B143,BD!$W$3:$W$5001,"&lt;&gt;"))))</f>
        <v/>
      </c>
      <c r="F143" s="42" t="str">
        <f>IF(OR($B143="",$A143&gt;$B$9),"",IF(COUNTIFS(BD!$B$3:$B$5001,F$138,BD!$A$3:$A$5001,"&gt;="&amp;$C$7,BD!$A$3:$A$5001,"&lt;="&amp;$B143,BD!$W$3:$W$5001,"&lt;&gt;")=0,"",SUMIFS(BD!$W$3:$W$5001,BD!$B$3:$B$5001,F$138,BD!$A$3:$A$5001,_xlfn.MAXIFS(BD!$A$3:$A$5001,BD!$B$3:$B$5001,F$138,BD!$A$3:$A$5001,"&gt;="&amp;$C$7,BD!$A$3:$A$5001,"&lt;="&amp;$B143,BD!$W$3:$W$5001,"&lt;&gt;"))))</f>
        <v/>
      </c>
      <c r="G143" s="42" t="str">
        <f>IF(OR($B143="",$A143&gt;$B$9),"",IF(COUNTIFS(BD!$B$3:$B$5001,G$138,BD!$A$3:$A$5001,"&gt;="&amp;$C$7,BD!$A$3:$A$5001,"&lt;="&amp;$B143,BD!$W$3:$W$5001,"&lt;&gt;")=0,"",SUMIFS(BD!$W$3:$W$5001,BD!$B$3:$B$5001,G$138,BD!$A$3:$A$5001,_xlfn.MAXIFS(BD!$A$3:$A$5001,BD!$B$3:$B$5001,G$138,BD!$A$3:$A$5001,"&gt;="&amp;$C$7,BD!$A$3:$A$5001,"&lt;="&amp;$B143,BD!$W$3:$W$5001,"&lt;&gt;"))))</f>
        <v/>
      </c>
      <c r="H143" s="42" t="str">
        <f>IF(OR($B143="",$A143&gt;$B$9),"",IF(COUNTIFS(BD!$B$3:$B$5001,H$138,BD!$A$3:$A$5001,"&gt;="&amp;$C$7,BD!$A$3:$A$5001,"&lt;="&amp;$B143,BD!$W$3:$W$5001,"&lt;&gt;")=0,"",SUMIFS(BD!$W$3:$W$5001,BD!$B$3:$B$5001,H$138,BD!$A$3:$A$5001,_xlfn.MAXIFS(BD!$A$3:$A$5001,BD!$B$3:$B$5001,H$138,BD!$A$3:$A$5001,"&gt;="&amp;$C$7,BD!$A$3:$A$5001,"&lt;="&amp;$B143,BD!$W$3:$W$5001,"&lt;&gt;"))))</f>
        <v/>
      </c>
      <c r="I143" s="42" t="str">
        <f>IF(OR($B143="",$A143&gt;$B$9),"",IF(COUNTIFS(BD!$B$3:$B$5001,I$138,BD!$A$3:$A$5001,"&gt;="&amp;$C$7,BD!$A$3:$A$5001,"&lt;="&amp;$B143,BD!$W$3:$W$5001,"&lt;&gt;")=0,"",SUMIFS(BD!$W$3:$W$5001,BD!$B$3:$B$5001,I$138,BD!$A$3:$A$5001,_xlfn.MAXIFS(BD!$A$3:$A$5001,BD!$B$3:$B$5001,I$138,BD!$A$3:$A$5001,"&gt;="&amp;$C$7,BD!$A$3:$A$5001,"&lt;="&amp;$B143,BD!$W$3:$W$5001,"&lt;&gt;"))))</f>
        <v/>
      </c>
      <c r="J143" s="42" t="str">
        <f>IF(OR($B143="",$A143&gt;$B$9),"",IF(COUNTIFS(BD!$B$3:$B$5001,J$138,BD!$A$3:$A$5001,"&gt;="&amp;$C$7,BD!$A$3:$A$5001,"&lt;="&amp;$B143,BD!$W$3:$W$5001,"&lt;&gt;")=0,"",SUMIFS(BD!$W$3:$W$5001,BD!$B$3:$B$5001,J$138,BD!$A$3:$A$5001,_xlfn.MAXIFS(BD!$A$3:$A$5001,BD!$B$3:$B$5001,J$138,BD!$A$3:$A$5001,"&gt;="&amp;$C$7,BD!$A$3:$A$5001,"&lt;="&amp;$B143,BD!$W$3:$W$5001,"&lt;&gt;"))))</f>
        <v/>
      </c>
      <c r="K143" s="42" t="str">
        <f>IF(OR($B143="",$A143&gt;$B$9),"",IF(COUNTIFS(BD!$B$3:$B$5001,K$138,BD!$A$3:$A$5001,"&gt;="&amp;$C$7,BD!$A$3:$A$5001,"&lt;="&amp;$B143,BD!$W$3:$W$5001,"&lt;&gt;")=0,"",SUMIFS(BD!$W$3:$W$5001,BD!$B$3:$B$5001,K$138,BD!$A$3:$A$5001,_xlfn.MAXIFS(BD!$A$3:$A$5001,BD!$B$3:$B$5001,K$138,BD!$A$3:$A$5001,"&gt;="&amp;$C$7,BD!$A$3:$A$5001,"&lt;="&amp;$B143,BD!$W$3:$W$5001,"&lt;&gt;"))))</f>
        <v/>
      </c>
    </row>
    <row r="144">
      <c r="A144" s="40">
        <v>6</v>
      </c>
      <c r="B144" s="41">
        <f>$B$17</f>
        <v>46301</v>
      </c>
      <c r="C144" s="42" t="str">
        <f>IF(OR($B144="",$A144&gt;$B$9),"",IF(COUNTIFS(BD!$B$3:$B$5001,C$138,BD!$A$3:$A$5001,"&gt;="&amp;$C$7,BD!$A$3:$A$5001,"&lt;="&amp;$B144,BD!$W$3:$W$5001,"&lt;&gt;")=0,"",SUMIFS(BD!$W$3:$W$5001,BD!$B$3:$B$5001,C$138,BD!$A$3:$A$5001,_xlfn.MAXIFS(BD!$A$3:$A$5001,BD!$B$3:$B$5001,C$138,BD!$A$3:$A$5001,"&gt;="&amp;$C$7,BD!$A$3:$A$5001,"&lt;="&amp;$B144,BD!$W$3:$W$5001,"&lt;&gt;"))))</f>
        <v/>
      </c>
      <c r="D144" s="42" t="str">
        <f>IF(OR($B144="",$A144&gt;$B$9),"",IF(COUNTIFS(BD!$B$3:$B$5001,D$138,BD!$A$3:$A$5001,"&gt;="&amp;$C$7,BD!$A$3:$A$5001,"&lt;="&amp;$B144,BD!$W$3:$W$5001,"&lt;&gt;")=0,"",SUMIFS(BD!$W$3:$W$5001,BD!$B$3:$B$5001,D$138,BD!$A$3:$A$5001,_xlfn.MAXIFS(BD!$A$3:$A$5001,BD!$B$3:$B$5001,D$138,BD!$A$3:$A$5001,"&gt;="&amp;$C$7,BD!$A$3:$A$5001,"&lt;="&amp;$B144,BD!$W$3:$W$5001,"&lt;&gt;"))))</f>
        <v/>
      </c>
      <c r="E144" s="42" t="str">
        <f>IF(OR($B144="",$A144&gt;$B$9),"",IF(COUNTIFS(BD!$B$3:$B$5001,E$138,BD!$A$3:$A$5001,"&gt;="&amp;$C$7,BD!$A$3:$A$5001,"&lt;="&amp;$B144,BD!$W$3:$W$5001,"&lt;&gt;")=0,"",SUMIFS(BD!$W$3:$W$5001,BD!$B$3:$B$5001,E$138,BD!$A$3:$A$5001,_xlfn.MAXIFS(BD!$A$3:$A$5001,BD!$B$3:$B$5001,E$138,BD!$A$3:$A$5001,"&gt;="&amp;$C$7,BD!$A$3:$A$5001,"&lt;="&amp;$B144,BD!$W$3:$W$5001,"&lt;&gt;"))))</f>
        <v/>
      </c>
      <c r="F144" s="42" t="str">
        <f>IF(OR($B144="",$A144&gt;$B$9),"",IF(COUNTIFS(BD!$B$3:$B$5001,F$138,BD!$A$3:$A$5001,"&gt;="&amp;$C$7,BD!$A$3:$A$5001,"&lt;="&amp;$B144,BD!$W$3:$W$5001,"&lt;&gt;")=0,"",SUMIFS(BD!$W$3:$W$5001,BD!$B$3:$B$5001,F$138,BD!$A$3:$A$5001,_xlfn.MAXIFS(BD!$A$3:$A$5001,BD!$B$3:$B$5001,F$138,BD!$A$3:$A$5001,"&gt;="&amp;$C$7,BD!$A$3:$A$5001,"&lt;="&amp;$B144,BD!$W$3:$W$5001,"&lt;&gt;"))))</f>
        <v/>
      </c>
      <c r="G144" s="42" t="str">
        <f>IF(OR($B144="",$A144&gt;$B$9),"",IF(COUNTIFS(BD!$B$3:$B$5001,G$138,BD!$A$3:$A$5001,"&gt;="&amp;$C$7,BD!$A$3:$A$5001,"&lt;="&amp;$B144,BD!$W$3:$W$5001,"&lt;&gt;")=0,"",SUMIFS(BD!$W$3:$W$5001,BD!$B$3:$B$5001,G$138,BD!$A$3:$A$5001,_xlfn.MAXIFS(BD!$A$3:$A$5001,BD!$B$3:$B$5001,G$138,BD!$A$3:$A$5001,"&gt;="&amp;$C$7,BD!$A$3:$A$5001,"&lt;="&amp;$B144,BD!$W$3:$W$5001,"&lt;&gt;"))))</f>
        <v/>
      </c>
      <c r="H144" s="42" t="str">
        <f>IF(OR($B144="",$A144&gt;$B$9),"",IF(COUNTIFS(BD!$B$3:$B$5001,H$138,BD!$A$3:$A$5001,"&gt;="&amp;$C$7,BD!$A$3:$A$5001,"&lt;="&amp;$B144,BD!$W$3:$W$5001,"&lt;&gt;")=0,"",SUMIFS(BD!$W$3:$W$5001,BD!$B$3:$B$5001,H$138,BD!$A$3:$A$5001,_xlfn.MAXIFS(BD!$A$3:$A$5001,BD!$B$3:$B$5001,H$138,BD!$A$3:$A$5001,"&gt;="&amp;$C$7,BD!$A$3:$A$5001,"&lt;="&amp;$B144,BD!$W$3:$W$5001,"&lt;&gt;"))))</f>
        <v/>
      </c>
      <c r="I144" s="42" t="str">
        <f>IF(OR($B144="",$A144&gt;$B$9),"",IF(COUNTIFS(BD!$B$3:$B$5001,I$138,BD!$A$3:$A$5001,"&gt;="&amp;$C$7,BD!$A$3:$A$5001,"&lt;="&amp;$B144,BD!$W$3:$W$5001,"&lt;&gt;")=0,"",SUMIFS(BD!$W$3:$W$5001,BD!$B$3:$B$5001,I$138,BD!$A$3:$A$5001,_xlfn.MAXIFS(BD!$A$3:$A$5001,BD!$B$3:$B$5001,I$138,BD!$A$3:$A$5001,"&gt;="&amp;$C$7,BD!$A$3:$A$5001,"&lt;="&amp;$B144,BD!$W$3:$W$5001,"&lt;&gt;"))))</f>
        <v/>
      </c>
      <c r="J144" s="42" t="str">
        <f>IF(OR($B144="",$A144&gt;$B$9),"",IF(COUNTIFS(BD!$B$3:$B$5001,J$138,BD!$A$3:$A$5001,"&gt;="&amp;$C$7,BD!$A$3:$A$5001,"&lt;="&amp;$B144,BD!$W$3:$W$5001,"&lt;&gt;")=0,"",SUMIFS(BD!$W$3:$W$5001,BD!$B$3:$B$5001,J$138,BD!$A$3:$A$5001,_xlfn.MAXIFS(BD!$A$3:$A$5001,BD!$B$3:$B$5001,J$138,BD!$A$3:$A$5001,"&gt;="&amp;$C$7,BD!$A$3:$A$5001,"&lt;="&amp;$B144,BD!$W$3:$W$5001,"&lt;&gt;"))))</f>
        <v/>
      </c>
      <c r="K144" s="42" t="str">
        <f>IF(OR($B144="",$A144&gt;$B$9),"",IF(COUNTIFS(BD!$B$3:$B$5001,K$138,BD!$A$3:$A$5001,"&gt;="&amp;$C$7,BD!$A$3:$A$5001,"&lt;="&amp;$B144,BD!$W$3:$W$5001,"&lt;&gt;")=0,"",SUMIFS(BD!$W$3:$W$5001,BD!$B$3:$B$5001,K$138,BD!$A$3:$A$5001,_xlfn.MAXIFS(BD!$A$3:$A$5001,BD!$B$3:$B$5001,K$138,BD!$A$3:$A$5001,"&gt;="&amp;$C$7,BD!$A$3:$A$5001,"&lt;="&amp;$B144,BD!$W$3:$W$5001,"&lt;&gt;"))))</f>
        <v/>
      </c>
    </row>
    <row r="145">
      <c r="A145" s="40">
        <v>7</v>
      </c>
      <c r="B145" s="41">
        <f>$B$18</f>
        <v>46302</v>
      </c>
      <c r="C145" s="42" t="str">
        <f>IF(OR($B145="",$A145&gt;$B$9),"",IF(COUNTIFS(BD!$B$3:$B$5001,C$138,BD!$A$3:$A$5001,"&gt;="&amp;$C$7,BD!$A$3:$A$5001,"&lt;="&amp;$B145,BD!$W$3:$W$5001,"&lt;&gt;")=0,"",SUMIFS(BD!$W$3:$W$5001,BD!$B$3:$B$5001,C$138,BD!$A$3:$A$5001,_xlfn.MAXIFS(BD!$A$3:$A$5001,BD!$B$3:$B$5001,C$138,BD!$A$3:$A$5001,"&gt;="&amp;$C$7,BD!$A$3:$A$5001,"&lt;="&amp;$B145,BD!$W$3:$W$5001,"&lt;&gt;"))))</f>
        <v/>
      </c>
      <c r="D145" s="42" t="str">
        <f>IF(OR($B145="",$A145&gt;$B$9),"",IF(COUNTIFS(BD!$B$3:$B$5001,D$138,BD!$A$3:$A$5001,"&gt;="&amp;$C$7,BD!$A$3:$A$5001,"&lt;="&amp;$B145,BD!$W$3:$W$5001,"&lt;&gt;")=0,"",SUMIFS(BD!$W$3:$W$5001,BD!$B$3:$B$5001,D$138,BD!$A$3:$A$5001,_xlfn.MAXIFS(BD!$A$3:$A$5001,BD!$B$3:$B$5001,D$138,BD!$A$3:$A$5001,"&gt;="&amp;$C$7,BD!$A$3:$A$5001,"&lt;="&amp;$B145,BD!$W$3:$W$5001,"&lt;&gt;"))))</f>
        <v/>
      </c>
      <c r="E145" s="42" t="str">
        <f>IF(OR($B145="",$A145&gt;$B$9),"",IF(COUNTIFS(BD!$B$3:$B$5001,E$138,BD!$A$3:$A$5001,"&gt;="&amp;$C$7,BD!$A$3:$A$5001,"&lt;="&amp;$B145,BD!$W$3:$W$5001,"&lt;&gt;")=0,"",SUMIFS(BD!$W$3:$W$5001,BD!$B$3:$B$5001,E$138,BD!$A$3:$A$5001,_xlfn.MAXIFS(BD!$A$3:$A$5001,BD!$B$3:$B$5001,E$138,BD!$A$3:$A$5001,"&gt;="&amp;$C$7,BD!$A$3:$A$5001,"&lt;="&amp;$B145,BD!$W$3:$W$5001,"&lt;&gt;"))))</f>
        <v/>
      </c>
      <c r="F145" s="42" t="str">
        <f>IF(OR($B145="",$A145&gt;$B$9),"",IF(COUNTIFS(BD!$B$3:$B$5001,F$138,BD!$A$3:$A$5001,"&gt;="&amp;$C$7,BD!$A$3:$A$5001,"&lt;="&amp;$B145,BD!$W$3:$W$5001,"&lt;&gt;")=0,"",SUMIFS(BD!$W$3:$W$5001,BD!$B$3:$B$5001,F$138,BD!$A$3:$A$5001,_xlfn.MAXIFS(BD!$A$3:$A$5001,BD!$B$3:$B$5001,F$138,BD!$A$3:$A$5001,"&gt;="&amp;$C$7,BD!$A$3:$A$5001,"&lt;="&amp;$B145,BD!$W$3:$W$5001,"&lt;&gt;"))))</f>
        <v/>
      </c>
      <c r="G145" s="42" t="str">
        <f>IF(OR($B145="",$A145&gt;$B$9),"",IF(COUNTIFS(BD!$B$3:$B$5001,G$138,BD!$A$3:$A$5001,"&gt;="&amp;$C$7,BD!$A$3:$A$5001,"&lt;="&amp;$B145,BD!$W$3:$W$5001,"&lt;&gt;")=0,"",SUMIFS(BD!$W$3:$W$5001,BD!$B$3:$B$5001,G$138,BD!$A$3:$A$5001,_xlfn.MAXIFS(BD!$A$3:$A$5001,BD!$B$3:$B$5001,G$138,BD!$A$3:$A$5001,"&gt;="&amp;$C$7,BD!$A$3:$A$5001,"&lt;="&amp;$B145,BD!$W$3:$W$5001,"&lt;&gt;"))))</f>
        <v/>
      </c>
      <c r="H145" s="42" t="str">
        <f>IF(OR($B145="",$A145&gt;$B$9),"",IF(COUNTIFS(BD!$B$3:$B$5001,H$138,BD!$A$3:$A$5001,"&gt;="&amp;$C$7,BD!$A$3:$A$5001,"&lt;="&amp;$B145,BD!$W$3:$W$5001,"&lt;&gt;")=0,"",SUMIFS(BD!$W$3:$W$5001,BD!$B$3:$B$5001,H$138,BD!$A$3:$A$5001,_xlfn.MAXIFS(BD!$A$3:$A$5001,BD!$B$3:$B$5001,H$138,BD!$A$3:$A$5001,"&gt;="&amp;$C$7,BD!$A$3:$A$5001,"&lt;="&amp;$B145,BD!$W$3:$W$5001,"&lt;&gt;"))))</f>
        <v/>
      </c>
      <c r="I145" s="42" t="str">
        <f>IF(OR($B145="",$A145&gt;$B$9),"",IF(COUNTIFS(BD!$B$3:$B$5001,I$138,BD!$A$3:$A$5001,"&gt;="&amp;$C$7,BD!$A$3:$A$5001,"&lt;="&amp;$B145,BD!$W$3:$W$5001,"&lt;&gt;")=0,"",SUMIFS(BD!$W$3:$W$5001,BD!$B$3:$B$5001,I$138,BD!$A$3:$A$5001,_xlfn.MAXIFS(BD!$A$3:$A$5001,BD!$B$3:$B$5001,I$138,BD!$A$3:$A$5001,"&gt;="&amp;$C$7,BD!$A$3:$A$5001,"&lt;="&amp;$B145,BD!$W$3:$W$5001,"&lt;&gt;"))))</f>
        <v/>
      </c>
      <c r="J145" s="42" t="str">
        <f>IF(OR($B145="",$A145&gt;$B$9),"",IF(COUNTIFS(BD!$B$3:$B$5001,J$138,BD!$A$3:$A$5001,"&gt;="&amp;$C$7,BD!$A$3:$A$5001,"&lt;="&amp;$B145,BD!$W$3:$W$5001,"&lt;&gt;")=0,"",SUMIFS(BD!$W$3:$W$5001,BD!$B$3:$B$5001,J$138,BD!$A$3:$A$5001,_xlfn.MAXIFS(BD!$A$3:$A$5001,BD!$B$3:$B$5001,J$138,BD!$A$3:$A$5001,"&gt;="&amp;$C$7,BD!$A$3:$A$5001,"&lt;="&amp;$B145,BD!$W$3:$W$5001,"&lt;&gt;"))))</f>
        <v/>
      </c>
      <c r="K145" s="42" t="str">
        <f>IF(OR($B145="",$A145&gt;$B$9),"",IF(COUNTIFS(BD!$B$3:$B$5001,K$138,BD!$A$3:$A$5001,"&gt;="&amp;$C$7,BD!$A$3:$A$5001,"&lt;="&amp;$B145,BD!$W$3:$W$5001,"&lt;&gt;")=0,"",SUMIFS(BD!$W$3:$W$5001,BD!$B$3:$B$5001,K$138,BD!$A$3:$A$5001,_xlfn.MAXIFS(BD!$A$3:$A$5001,BD!$B$3:$B$5001,K$138,BD!$A$3:$A$5001,"&gt;="&amp;$C$7,BD!$A$3:$A$5001,"&lt;="&amp;$B145,BD!$W$3:$W$5001,"&lt;&gt;"))))</f>
        <v/>
      </c>
    </row>
    <row r="146">
      <c r="A146" s="40">
        <v>8</v>
      </c>
      <c r="B146" s="41">
        <f>$B$19</f>
        <v>46303</v>
      </c>
      <c r="C146" s="42" t="str">
        <f>IF(OR($B146="",$A146&gt;$B$9),"",IF(COUNTIFS(BD!$B$3:$B$5001,C$138,BD!$A$3:$A$5001,"&gt;="&amp;$C$7,BD!$A$3:$A$5001,"&lt;="&amp;$B146,BD!$W$3:$W$5001,"&lt;&gt;")=0,"",SUMIFS(BD!$W$3:$W$5001,BD!$B$3:$B$5001,C$138,BD!$A$3:$A$5001,_xlfn.MAXIFS(BD!$A$3:$A$5001,BD!$B$3:$B$5001,C$138,BD!$A$3:$A$5001,"&gt;="&amp;$C$7,BD!$A$3:$A$5001,"&lt;="&amp;$B146,BD!$W$3:$W$5001,"&lt;&gt;"))))</f>
        <v/>
      </c>
      <c r="D146" s="42" t="str">
        <f>IF(OR($B146="",$A146&gt;$B$9),"",IF(COUNTIFS(BD!$B$3:$B$5001,D$138,BD!$A$3:$A$5001,"&gt;="&amp;$C$7,BD!$A$3:$A$5001,"&lt;="&amp;$B146,BD!$W$3:$W$5001,"&lt;&gt;")=0,"",SUMIFS(BD!$W$3:$W$5001,BD!$B$3:$B$5001,D$138,BD!$A$3:$A$5001,_xlfn.MAXIFS(BD!$A$3:$A$5001,BD!$B$3:$B$5001,D$138,BD!$A$3:$A$5001,"&gt;="&amp;$C$7,BD!$A$3:$A$5001,"&lt;="&amp;$B146,BD!$W$3:$W$5001,"&lt;&gt;"))))</f>
        <v/>
      </c>
      <c r="E146" s="42" t="str">
        <f>IF(OR($B146="",$A146&gt;$B$9),"",IF(COUNTIFS(BD!$B$3:$B$5001,E$138,BD!$A$3:$A$5001,"&gt;="&amp;$C$7,BD!$A$3:$A$5001,"&lt;="&amp;$B146,BD!$W$3:$W$5001,"&lt;&gt;")=0,"",SUMIFS(BD!$W$3:$W$5001,BD!$B$3:$B$5001,E$138,BD!$A$3:$A$5001,_xlfn.MAXIFS(BD!$A$3:$A$5001,BD!$B$3:$B$5001,E$138,BD!$A$3:$A$5001,"&gt;="&amp;$C$7,BD!$A$3:$A$5001,"&lt;="&amp;$B146,BD!$W$3:$W$5001,"&lt;&gt;"))))</f>
        <v/>
      </c>
      <c r="F146" s="42" t="str">
        <f>IF(OR($B146="",$A146&gt;$B$9),"",IF(COUNTIFS(BD!$B$3:$B$5001,F$138,BD!$A$3:$A$5001,"&gt;="&amp;$C$7,BD!$A$3:$A$5001,"&lt;="&amp;$B146,BD!$W$3:$W$5001,"&lt;&gt;")=0,"",SUMIFS(BD!$W$3:$W$5001,BD!$B$3:$B$5001,F$138,BD!$A$3:$A$5001,_xlfn.MAXIFS(BD!$A$3:$A$5001,BD!$B$3:$B$5001,F$138,BD!$A$3:$A$5001,"&gt;="&amp;$C$7,BD!$A$3:$A$5001,"&lt;="&amp;$B146,BD!$W$3:$W$5001,"&lt;&gt;"))))</f>
        <v/>
      </c>
      <c r="G146" s="42" t="str">
        <f>IF(OR($B146="",$A146&gt;$B$9),"",IF(COUNTIFS(BD!$B$3:$B$5001,G$138,BD!$A$3:$A$5001,"&gt;="&amp;$C$7,BD!$A$3:$A$5001,"&lt;="&amp;$B146,BD!$W$3:$W$5001,"&lt;&gt;")=0,"",SUMIFS(BD!$W$3:$W$5001,BD!$B$3:$B$5001,G$138,BD!$A$3:$A$5001,_xlfn.MAXIFS(BD!$A$3:$A$5001,BD!$B$3:$B$5001,G$138,BD!$A$3:$A$5001,"&gt;="&amp;$C$7,BD!$A$3:$A$5001,"&lt;="&amp;$B146,BD!$W$3:$W$5001,"&lt;&gt;"))))</f>
        <v/>
      </c>
      <c r="H146" s="42" t="str">
        <f>IF(OR($B146="",$A146&gt;$B$9),"",IF(COUNTIFS(BD!$B$3:$B$5001,H$138,BD!$A$3:$A$5001,"&gt;="&amp;$C$7,BD!$A$3:$A$5001,"&lt;="&amp;$B146,BD!$W$3:$W$5001,"&lt;&gt;")=0,"",SUMIFS(BD!$W$3:$W$5001,BD!$B$3:$B$5001,H$138,BD!$A$3:$A$5001,_xlfn.MAXIFS(BD!$A$3:$A$5001,BD!$B$3:$B$5001,H$138,BD!$A$3:$A$5001,"&gt;="&amp;$C$7,BD!$A$3:$A$5001,"&lt;="&amp;$B146,BD!$W$3:$W$5001,"&lt;&gt;"))))</f>
        <v/>
      </c>
      <c r="I146" s="42" t="str">
        <f>IF(OR($B146="",$A146&gt;$B$9),"",IF(COUNTIFS(BD!$B$3:$B$5001,I$138,BD!$A$3:$A$5001,"&gt;="&amp;$C$7,BD!$A$3:$A$5001,"&lt;="&amp;$B146,BD!$W$3:$W$5001,"&lt;&gt;")=0,"",SUMIFS(BD!$W$3:$W$5001,BD!$B$3:$B$5001,I$138,BD!$A$3:$A$5001,_xlfn.MAXIFS(BD!$A$3:$A$5001,BD!$B$3:$B$5001,I$138,BD!$A$3:$A$5001,"&gt;="&amp;$C$7,BD!$A$3:$A$5001,"&lt;="&amp;$B146,BD!$W$3:$W$5001,"&lt;&gt;"))))</f>
        <v/>
      </c>
      <c r="J146" s="42" t="str">
        <f>IF(OR($B146="",$A146&gt;$B$9),"",IF(COUNTIFS(BD!$B$3:$B$5001,J$138,BD!$A$3:$A$5001,"&gt;="&amp;$C$7,BD!$A$3:$A$5001,"&lt;="&amp;$B146,BD!$W$3:$W$5001,"&lt;&gt;")=0,"",SUMIFS(BD!$W$3:$W$5001,BD!$B$3:$B$5001,J$138,BD!$A$3:$A$5001,_xlfn.MAXIFS(BD!$A$3:$A$5001,BD!$B$3:$B$5001,J$138,BD!$A$3:$A$5001,"&gt;="&amp;$C$7,BD!$A$3:$A$5001,"&lt;="&amp;$B146,BD!$W$3:$W$5001,"&lt;&gt;"))))</f>
        <v/>
      </c>
      <c r="K146" s="42" t="str">
        <f>IF(OR($B146="",$A146&gt;$B$9),"",IF(COUNTIFS(BD!$B$3:$B$5001,K$138,BD!$A$3:$A$5001,"&gt;="&amp;$C$7,BD!$A$3:$A$5001,"&lt;="&amp;$B146,BD!$W$3:$W$5001,"&lt;&gt;")=0,"",SUMIFS(BD!$W$3:$W$5001,BD!$B$3:$B$5001,K$138,BD!$A$3:$A$5001,_xlfn.MAXIFS(BD!$A$3:$A$5001,BD!$B$3:$B$5001,K$138,BD!$A$3:$A$5001,"&gt;="&amp;$C$7,BD!$A$3:$A$5001,"&lt;="&amp;$B146,BD!$W$3:$W$5001,"&lt;&gt;"))))</f>
        <v/>
      </c>
    </row>
    <row r="147">
      <c r="A147" s="40">
        <v>9</v>
      </c>
      <c r="B147" s="41">
        <f>$B$20</f>
        <v>46304</v>
      </c>
      <c r="C147" s="42" t="str">
        <f>IF(OR($B147="",$A147&gt;$B$9),"",IF(COUNTIFS(BD!$B$3:$B$5001,C$138,BD!$A$3:$A$5001,"&gt;="&amp;$C$7,BD!$A$3:$A$5001,"&lt;="&amp;$B147,BD!$W$3:$W$5001,"&lt;&gt;")=0,"",SUMIFS(BD!$W$3:$W$5001,BD!$B$3:$B$5001,C$138,BD!$A$3:$A$5001,_xlfn.MAXIFS(BD!$A$3:$A$5001,BD!$B$3:$B$5001,C$138,BD!$A$3:$A$5001,"&gt;="&amp;$C$7,BD!$A$3:$A$5001,"&lt;="&amp;$B147,BD!$W$3:$W$5001,"&lt;&gt;"))))</f>
        <v/>
      </c>
      <c r="D147" s="42" t="str">
        <f>IF(OR($B147="",$A147&gt;$B$9),"",IF(COUNTIFS(BD!$B$3:$B$5001,D$138,BD!$A$3:$A$5001,"&gt;="&amp;$C$7,BD!$A$3:$A$5001,"&lt;="&amp;$B147,BD!$W$3:$W$5001,"&lt;&gt;")=0,"",SUMIFS(BD!$W$3:$W$5001,BD!$B$3:$B$5001,D$138,BD!$A$3:$A$5001,_xlfn.MAXIFS(BD!$A$3:$A$5001,BD!$B$3:$B$5001,D$138,BD!$A$3:$A$5001,"&gt;="&amp;$C$7,BD!$A$3:$A$5001,"&lt;="&amp;$B147,BD!$W$3:$W$5001,"&lt;&gt;"))))</f>
        <v/>
      </c>
      <c r="E147" s="42" t="str">
        <f>IF(OR($B147="",$A147&gt;$B$9),"",IF(COUNTIFS(BD!$B$3:$B$5001,E$138,BD!$A$3:$A$5001,"&gt;="&amp;$C$7,BD!$A$3:$A$5001,"&lt;="&amp;$B147,BD!$W$3:$W$5001,"&lt;&gt;")=0,"",SUMIFS(BD!$W$3:$W$5001,BD!$B$3:$B$5001,E$138,BD!$A$3:$A$5001,_xlfn.MAXIFS(BD!$A$3:$A$5001,BD!$B$3:$B$5001,E$138,BD!$A$3:$A$5001,"&gt;="&amp;$C$7,BD!$A$3:$A$5001,"&lt;="&amp;$B147,BD!$W$3:$W$5001,"&lt;&gt;"))))</f>
        <v/>
      </c>
      <c r="F147" s="42" t="str">
        <f>IF(OR($B147="",$A147&gt;$B$9),"",IF(COUNTIFS(BD!$B$3:$B$5001,F$138,BD!$A$3:$A$5001,"&gt;="&amp;$C$7,BD!$A$3:$A$5001,"&lt;="&amp;$B147,BD!$W$3:$W$5001,"&lt;&gt;")=0,"",SUMIFS(BD!$W$3:$W$5001,BD!$B$3:$B$5001,F$138,BD!$A$3:$A$5001,_xlfn.MAXIFS(BD!$A$3:$A$5001,BD!$B$3:$B$5001,F$138,BD!$A$3:$A$5001,"&gt;="&amp;$C$7,BD!$A$3:$A$5001,"&lt;="&amp;$B147,BD!$W$3:$W$5001,"&lt;&gt;"))))</f>
        <v/>
      </c>
      <c r="G147" s="42" t="str">
        <f>IF(OR($B147="",$A147&gt;$B$9),"",IF(COUNTIFS(BD!$B$3:$B$5001,G$138,BD!$A$3:$A$5001,"&gt;="&amp;$C$7,BD!$A$3:$A$5001,"&lt;="&amp;$B147,BD!$W$3:$W$5001,"&lt;&gt;")=0,"",SUMIFS(BD!$W$3:$W$5001,BD!$B$3:$B$5001,G$138,BD!$A$3:$A$5001,_xlfn.MAXIFS(BD!$A$3:$A$5001,BD!$B$3:$B$5001,G$138,BD!$A$3:$A$5001,"&gt;="&amp;$C$7,BD!$A$3:$A$5001,"&lt;="&amp;$B147,BD!$W$3:$W$5001,"&lt;&gt;"))))</f>
        <v/>
      </c>
      <c r="H147" s="42" t="str">
        <f>IF(OR($B147="",$A147&gt;$B$9),"",IF(COUNTIFS(BD!$B$3:$B$5001,H$138,BD!$A$3:$A$5001,"&gt;="&amp;$C$7,BD!$A$3:$A$5001,"&lt;="&amp;$B147,BD!$W$3:$W$5001,"&lt;&gt;")=0,"",SUMIFS(BD!$W$3:$W$5001,BD!$B$3:$B$5001,H$138,BD!$A$3:$A$5001,_xlfn.MAXIFS(BD!$A$3:$A$5001,BD!$B$3:$B$5001,H$138,BD!$A$3:$A$5001,"&gt;="&amp;$C$7,BD!$A$3:$A$5001,"&lt;="&amp;$B147,BD!$W$3:$W$5001,"&lt;&gt;"))))</f>
        <v/>
      </c>
      <c r="I147" s="42" t="str">
        <f>IF(OR($B147="",$A147&gt;$B$9),"",IF(COUNTIFS(BD!$B$3:$B$5001,I$138,BD!$A$3:$A$5001,"&gt;="&amp;$C$7,BD!$A$3:$A$5001,"&lt;="&amp;$B147,BD!$W$3:$W$5001,"&lt;&gt;")=0,"",SUMIFS(BD!$W$3:$W$5001,BD!$B$3:$B$5001,I$138,BD!$A$3:$A$5001,_xlfn.MAXIFS(BD!$A$3:$A$5001,BD!$B$3:$B$5001,I$138,BD!$A$3:$A$5001,"&gt;="&amp;$C$7,BD!$A$3:$A$5001,"&lt;="&amp;$B147,BD!$W$3:$W$5001,"&lt;&gt;"))))</f>
        <v/>
      </c>
      <c r="J147" s="42" t="str">
        <f>IF(OR($B147="",$A147&gt;$B$9),"",IF(COUNTIFS(BD!$B$3:$B$5001,J$138,BD!$A$3:$A$5001,"&gt;="&amp;$C$7,BD!$A$3:$A$5001,"&lt;="&amp;$B147,BD!$W$3:$W$5001,"&lt;&gt;")=0,"",SUMIFS(BD!$W$3:$W$5001,BD!$B$3:$B$5001,J$138,BD!$A$3:$A$5001,_xlfn.MAXIFS(BD!$A$3:$A$5001,BD!$B$3:$B$5001,J$138,BD!$A$3:$A$5001,"&gt;="&amp;$C$7,BD!$A$3:$A$5001,"&lt;="&amp;$B147,BD!$W$3:$W$5001,"&lt;&gt;"))))</f>
        <v/>
      </c>
      <c r="K147" s="42" t="str">
        <f>IF(OR($B147="",$A147&gt;$B$9),"",IF(COUNTIFS(BD!$B$3:$B$5001,K$138,BD!$A$3:$A$5001,"&gt;="&amp;$C$7,BD!$A$3:$A$5001,"&lt;="&amp;$B147,BD!$W$3:$W$5001,"&lt;&gt;")=0,"",SUMIFS(BD!$W$3:$W$5001,BD!$B$3:$B$5001,K$138,BD!$A$3:$A$5001,_xlfn.MAXIFS(BD!$A$3:$A$5001,BD!$B$3:$B$5001,K$138,BD!$A$3:$A$5001,"&gt;="&amp;$C$7,BD!$A$3:$A$5001,"&lt;="&amp;$B147,BD!$W$3:$W$5001,"&lt;&gt;"))))</f>
        <v/>
      </c>
    </row>
    <row r="148">
      <c r="A148" s="40">
        <v>10</v>
      </c>
      <c r="B148" s="41">
        <f>$B$21</f>
        <v>46305</v>
      </c>
      <c r="C148" s="42" t="str">
        <f>IF(OR($B148="",$A148&gt;$B$9),"",IF(COUNTIFS(BD!$B$3:$B$5001,C$138,BD!$A$3:$A$5001,"&gt;="&amp;$C$7,BD!$A$3:$A$5001,"&lt;="&amp;$B148,BD!$W$3:$W$5001,"&lt;&gt;")=0,"",SUMIFS(BD!$W$3:$W$5001,BD!$B$3:$B$5001,C$138,BD!$A$3:$A$5001,_xlfn.MAXIFS(BD!$A$3:$A$5001,BD!$B$3:$B$5001,C$138,BD!$A$3:$A$5001,"&gt;="&amp;$C$7,BD!$A$3:$A$5001,"&lt;="&amp;$B148,BD!$W$3:$W$5001,"&lt;&gt;"))))</f>
        <v/>
      </c>
      <c r="D148" s="42" t="str">
        <f>IF(OR($B148="",$A148&gt;$B$9),"",IF(COUNTIFS(BD!$B$3:$B$5001,D$138,BD!$A$3:$A$5001,"&gt;="&amp;$C$7,BD!$A$3:$A$5001,"&lt;="&amp;$B148,BD!$W$3:$W$5001,"&lt;&gt;")=0,"",SUMIFS(BD!$W$3:$W$5001,BD!$B$3:$B$5001,D$138,BD!$A$3:$A$5001,_xlfn.MAXIFS(BD!$A$3:$A$5001,BD!$B$3:$B$5001,D$138,BD!$A$3:$A$5001,"&gt;="&amp;$C$7,BD!$A$3:$A$5001,"&lt;="&amp;$B148,BD!$W$3:$W$5001,"&lt;&gt;"))))</f>
        <v/>
      </c>
      <c r="E148" s="42" t="str">
        <f>IF(OR($B148="",$A148&gt;$B$9),"",IF(COUNTIFS(BD!$B$3:$B$5001,E$138,BD!$A$3:$A$5001,"&gt;="&amp;$C$7,BD!$A$3:$A$5001,"&lt;="&amp;$B148,BD!$W$3:$W$5001,"&lt;&gt;")=0,"",SUMIFS(BD!$W$3:$W$5001,BD!$B$3:$B$5001,E$138,BD!$A$3:$A$5001,_xlfn.MAXIFS(BD!$A$3:$A$5001,BD!$B$3:$B$5001,E$138,BD!$A$3:$A$5001,"&gt;="&amp;$C$7,BD!$A$3:$A$5001,"&lt;="&amp;$B148,BD!$W$3:$W$5001,"&lt;&gt;"))))</f>
        <v/>
      </c>
      <c r="F148" s="42" t="str">
        <f>IF(OR($B148="",$A148&gt;$B$9),"",IF(COUNTIFS(BD!$B$3:$B$5001,F$138,BD!$A$3:$A$5001,"&gt;="&amp;$C$7,BD!$A$3:$A$5001,"&lt;="&amp;$B148,BD!$W$3:$W$5001,"&lt;&gt;")=0,"",SUMIFS(BD!$W$3:$W$5001,BD!$B$3:$B$5001,F$138,BD!$A$3:$A$5001,_xlfn.MAXIFS(BD!$A$3:$A$5001,BD!$B$3:$B$5001,F$138,BD!$A$3:$A$5001,"&gt;="&amp;$C$7,BD!$A$3:$A$5001,"&lt;="&amp;$B148,BD!$W$3:$W$5001,"&lt;&gt;"))))</f>
        <v/>
      </c>
      <c r="G148" s="42" t="str">
        <f>IF(OR($B148="",$A148&gt;$B$9),"",IF(COUNTIFS(BD!$B$3:$B$5001,G$138,BD!$A$3:$A$5001,"&gt;="&amp;$C$7,BD!$A$3:$A$5001,"&lt;="&amp;$B148,BD!$W$3:$W$5001,"&lt;&gt;")=0,"",SUMIFS(BD!$W$3:$W$5001,BD!$B$3:$B$5001,G$138,BD!$A$3:$A$5001,_xlfn.MAXIFS(BD!$A$3:$A$5001,BD!$B$3:$B$5001,G$138,BD!$A$3:$A$5001,"&gt;="&amp;$C$7,BD!$A$3:$A$5001,"&lt;="&amp;$B148,BD!$W$3:$W$5001,"&lt;&gt;"))))</f>
        <v/>
      </c>
      <c r="H148" s="42" t="str">
        <f>IF(OR($B148="",$A148&gt;$B$9),"",IF(COUNTIFS(BD!$B$3:$B$5001,H$138,BD!$A$3:$A$5001,"&gt;="&amp;$C$7,BD!$A$3:$A$5001,"&lt;="&amp;$B148,BD!$W$3:$W$5001,"&lt;&gt;")=0,"",SUMIFS(BD!$W$3:$W$5001,BD!$B$3:$B$5001,H$138,BD!$A$3:$A$5001,_xlfn.MAXIFS(BD!$A$3:$A$5001,BD!$B$3:$B$5001,H$138,BD!$A$3:$A$5001,"&gt;="&amp;$C$7,BD!$A$3:$A$5001,"&lt;="&amp;$B148,BD!$W$3:$W$5001,"&lt;&gt;"))))</f>
        <v/>
      </c>
      <c r="I148" s="42" t="str">
        <f>IF(OR($B148="",$A148&gt;$B$9),"",IF(COUNTIFS(BD!$B$3:$B$5001,I$138,BD!$A$3:$A$5001,"&gt;="&amp;$C$7,BD!$A$3:$A$5001,"&lt;="&amp;$B148,BD!$W$3:$W$5001,"&lt;&gt;")=0,"",SUMIFS(BD!$W$3:$W$5001,BD!$B$3:$B$5001,I$138,BD!$A$3:$A$5001,_xlfn.MAXIFS(BD!$A$3:$A$5001,BD!$B$3:$B$5001,I$138,BD!$A$3:$A$5001,"&gt;="&amp;$C$7,BD!$A$3:$A$5001,"&lt;="&amp;$B148,BD!$W$3:$W$5001,"&lt;&gt;"))))</f>
        <v/>
      </c>
      <c r="J148" s="42" t="str">
        <f>IF(OR($B148="",$A148&gt;$B$9),"",IF(COUNTIFS(BD!$B$3:$B$5001,J$138,BD!$A$3:$A$5001,"&gt;="&amp;$C$7,BD!$A$3:$A$5001,"&lt;="&amp;$B148,BD!$W$3:$W$5001,"&lt;&gt;")=0,"",SUMIFS(BD!$W$3:$W$5001,BD!$B$3:$B$5001,J$138,BD!$A$3:$A$5001,_xlfn.MAXIFS(BD!$A$3:$A$5001,BD!$B$3:$B$5001,J$138,BD!$A$3:$A$5001,"&gt;="&amp;$C$7,BD!$A$3:$A$5001,"&lt;="&amp;$B148,BD!$W$3:$W$5001,"&lt;&gt;"))))</f>
        <v/>
      </c>
      <c r="K148" s="42" t="str">
        <f>IF(OR($B148="",$A148&gt;$B$9),"",IF(COUNTIFS(BD!$B$3:$B$5001,K$138,BD!$A$3:$A$5001,"&gt;="&amp;$C$7,BD!$A$3:$A$5001,"&lt;="&amp;$B148,BD!$W$3:$W$5001,"&lt;&gt;")=0,"",SUMIFS(BD!$W$3:$W$5001,BD!$B$3:$B$5001,K$138,BD!$A$3:$A$5001,_xlfn.MAXIFS(BD!$A$3:$A$5001,BD!$B$3:$B$5001,K$138,BD!$A$3:$A$5001,"&gt;="&amp;$C$7,BD!$A$3:$A$5001,"&lt;="&amp;$B148,BD!$W$3:$W$5001,"&lt;&gt;"))))</f>
        <v/>
      </c>
    </row>
    <row r="149">
      <c r="A149" s="40">
        <v>11</v>
      </c>
      <c r="B149" s="41">
        <f>$B$22</f>
        <v>46306</v>
      </c>
      <c r="C149" s="42" t="str">
        <f>IF(OR($B149="",$A149&gt;$B$9),"",IF(COUNTIFS(BD!$B$3:$B$5001,C$138,BD!$A$3:$A$5001,"&gt;="&amp;$C$7,BD!$A$3:$A$5001,"&lt;="&amp;$B149,BD!$W$3:$W$5001,"&lt;&gt;")=0,"",SUMIFS(BD!$W$3:$W$5001,BD!$B$3:$B$5001,C$138,BD!$A$3:$A$5001,_xlfn.MAXIFS(BD!$A$3:$A$5001,BD!$B$3:$B$5001,C$138,BD!$A$3:$A$5001,"&gt;="&amp;$C$7,BD!$A$3:$A$5001,"&lt;="&amp;$B149,BD!$W$3:$W$5001,"&lt;&gt;"))))</f>
        <v/>
      </c>
      <c r="D149" s="42" t="str">
        <f>IF(OR($B149="",$A149&gt;$B$9),"",IF(COUNTIFS(BD!$B$3:$B$5001,D$138,BD!$A$3:$A$5001,"&gt;="&amp;$C$7,BD!$A$3:$A$5001,"&lt;="&amp;$B149,BD!$W$3:$W$5001,"&lt;&gt;")=0,"",SUMIFS(BD!$W$3:$W$5001,BD!$B$3:$B$5001,D$138,BD!$A$3:$A$5001,_xlfn.MAXIFS(BD!$A$3:$A$5001,BD!$B$3:$B$5001,D$138,BD!$A$3:$A$5001,"&gt;="&amp;$C$7,BD!$A$3:$A$5001,"&lt;="&amp;$B149,BD!$W$3:$W$5001,"&lt;&gt;"))))</f>
        <v/>
      </c>
      <c r="E149" s="42" t="str">
        <f>IF(OR($B149="",$A149&gt;$B$9),"",IF(COUNTIFS(BD!$B$3:$B$5001,E$138,BD!$A$3:$A$5001,"&gt;="&amp;$C$7,BD!$A$3:$A$5001,"&lt;="&amp;$B149,BD!$W$3:$W$5001,"&lt;&gt;")=0,"",SUMIFS(BD!$W$3:$W$5001,BD!$B$3:$B$5001,E$138,BD!$A$3:$A$5001,_xlfn.MAXIFS(BD!$A$3:$A$5001,BD!$B$3:$B$5001,E$138,BD!$A$3:$A$5001,"&gt;="&amp;$C$7,BD!$A$3:$A$5001,"&lt;="&amp;$B149,BD!$W$3:$W$5001,"&lt;&gt;"))))</f>
        <v/>
      </c>
      <c r="F149" s="42" t="str">
        <f>IF(OR($B149="",$A149&gt;$B$9),"",IF(COUNTIFS(BD!$B$3:$B$5001,F$138,BD!$A$3:$A$5001,"&gt;="&amp;$C$7,BD!$A$3:$A$5001,"&lt;="&amp;$B149,BD!$W$3:$W$5001,"&lt;&gt;")=0,"",SUMIFS(BD!$W$3:$W$5001,BD!$B$3:$B$5001,F$138,BD!$A$3:$A$5001,_xlfn.MAXIFS(BD!$A$3:$A$5001,BD!$B$3:$B$5001,F$138,BD!$A$3:$A$5001,"&gt;="&amp;$C$7,BD!$A$3:$A$5001,"&lt;="&amp;$B149,BD!$W$3:$W$5001,"&lt;&gt;"))))</f>
        <v/>
      </c>
      <c r="G149" s="42" t="str">
        <f>IF(OR($B149="",$A149&gt;$B$9),"",IF(COUNTIFS(BD!$B$3:$B$5001,G$138,BD!$A$3:$A$5001,"&gt;="&amp;$C$7,BD!$A$3:$A$5001,"&lt;="&amp;$B149,BD!$W$3:$W$5001,"&lt;&gt;")=0,"",SUMIFS(BD!$W$3:$W$5001,BD!$B$3:$B$5001,G$138,BD!$A$3:$A$5001,_xlfn.MAXIFS(BD!$A$3:$A$5001,BD!$B$3:$B$5001,G$138,BD!$A$3:$A$5001,"&gt;="&amp;$C$7,BD!$A$3:$A$5001,"&lt;="&amp;$B149,BD!$W$3:$W$5001,"&lt;&gt;"))))</f>
        <v/>
      </c>
      <c r="H149" s="42" t="str">
        <f>IF(OR($B149="",$A149&gt;$B$9),"",IF(COUNTIFS(BD!$B$3:$B$5001,H$138,BD!$A$3:$A$5001,"&gt;="&amp;$C$7,BD!$A$3:$A$5001,"&lt;="&amp;$B149,BD!$W$3:$W$5001,"&lt;&gt;")=0,"",SUMIFS(BD!$W$3:$W$5001,BD!$B$3:$B$5001,H$138,BD!$A$3:$A$5001,_xlfn.MAXIFS(BD!$A$3:$A$5001,BD!$B$3:$B$5001,H$138,BD!$A$3:$A$5001,"&gt;="&amp;$C$7,BD!$A$3:$A$5001,"&lt;="&amp;$B149,BD!$W$3:$W$5001,"&lt;&gt;"))))</f>
        <v/>
      </c>
      <c r="I149" s="42" t="str">
        <f>IF(OR($B149="",$A149&gt;$B$9),"",IF(COUNTIFS(BD!$B$3:$B$5001,I$138,BD!$A$3:$A$5001,"&gt;="&amp;$C$7,BD!$A$3:$A$5001,"&lt;="&amp;$B149,BD!$W$3:$W$5001,"&lt;&gt;")=0,"",SUMIFS(BD!$W$3:$W$5001,BD!$B$3:$B$5001,I$138,BD!$A$3:$A$5001,_xlfn.MAXIFS(BD!$A$3:$A$5001,BD!$B$3:$B$5001,I$138,BD!$A$3:$A$5001,"&gt;="&amp;$C$7,BD!$A$3:$A$5001,"&lt;="&amp;$B149,BD!$W$3:$W$5001,"&lt;&gt;"))))</f>
        <v/>
      </c>
      <c r="J149" s="42" t="str">
        <f>IF(OR($B149="",$A149&gt;$B$9),"",IF(COUNTIFS(BD!$B$3:$B$5001,J$138,BD!$A$3:$A$5001,"&gt;="&amp;$C$7,BD!$A$3:$A$5001,"&lt;="&amp;$B149,BD!$W$3:$W$5001,"&lt;&gt;")=0,"",SUMIFS(BD!$W$3:$W$5001,BD!$B$3:$B$5001,J$138,BD!$A$3:$A$5001,_xlfn.MAXIFS(BD!$A$3:$A$5001,BD!$B$3:$B$5001,J$138,BD!$A$3:$A$5001,"&gt;="&amp;$C$7,BD!$A$3:$A$5001,"&lt;="&amp;$B149,BD!$W$3:$W$5001,"&lt;&gt;"))))</f>
        <v/>
      </c>
      <c r="K149" s="42" t="str">
        <f>IF(OR($B149="",$A149&gt;$B$9),"",IF(COUNTIFS(BD!$B$3:$B$5001,K$138,BD!$A$3:$A$5001,"&gt;="&amp;$C$7,BD!$A$3:$A$5001,"&lt;="&amp;$B149,BD!$W$3:$W$5001,"&lt;&gt;")=0,"",SUMIFS(BD!$W$3:$W$5001,BD!$B$3:$B$5001,K$138,BD!$A$3:$A$5001,_xlfn.MAXIFS(BD!$A$3:$A$5001,BD!$B$3:$B$5001,K$138,BD!$A$3:$A$5001,"&gt;="&amp;$C$7,BD!$A$3:$A$5001,"&lt;="&amp;$B149,BD!$W$3:$W$5001,"&lt;&gt;"))))</f>
        <v/>
      </c>
    </row>
    <row r="150">
      <c r="A150" s="40">
        <v>12</v>
      </c>
      <c r="B150" s="41">
        <f>$B$23</f>
        <v>46307</v>
      </c>
      <c r="C150" s="42" t="str">
        <f>IF(OR($B150="",$A150&gt;$B$9),"",IF(COUNTIFS(BD!$B$3:$B$5001,C$138,BD!$A$3:$A$5001,"&gt;="&amp;$C$7,BD!$A$3:$A$5001,"&lt;="&amp;$B150,BD!$W$3:$W$5001,"&lt;&gt;")=0,"",SUMIFS(BD!$W$3:$W$5001,BD!$B$3:$B$5001,C$138,BD!$A$3:$A$5001,_xlfn.MAXIFS(BD!$A$3:$A$5001,BD!$B$3:$B$5001,C$138,BD!$A$3:$A$5001,"&gt;="&amp;$C$7,BD!$A$3:$A$5001,"&lt;="&amp;$B150,BD!$W$3:$W$5001,"&lt;&gt;"))))</f>
        <v/>
      </c>
      <c r="D150" s="42" t="str">
        <f>IF(OR($B150="",$A150&gt;$B$9),"",IF(COUNTIFS(BD!$B$3:$B$5001,D$138,BD!$A$3:$A$5001,"&gt;="&amp;$C$7,BD!$A$3:$A$5001,"&lt;="&amp;$B150,BD!$W$3:$W$5001,"&lt;&gt;")=0,"",SUMIFS(BD!$W$3:$W$5001,BD!$B$3:$B$5001,D$138,BD!$A$3:$A$5001,_xlfn.MAXIFS(BD!$A$3:$A$5001,BD!$B$3:$B$5001,D$138,BD!$A$3:$A$5001,"&gt;="&amp;$C$7,BD!$A$3:$A$5001,"&lt;="&amp;$B150,BD!$W$3:$W$5001,"&lt;&gt;"))))</f>
        <v/>
      </c>
      <c r="E150" s="42" t="str">
        <f>IF(OR($B150="",$A150&gt;$B$9),"",IF(COUNTIFS(BD!$B$3:$B$5001,E$138,BD!$A$3:$A$5001,"&gt;="&amp;$C$7,BD!$A$3:$A$5001,"&lt;="&amp;$B150,BD!$W$3:$W$5001,"&lt;&gt;")=0,"",SUMIFS(BD!$W$3:$W$5001,BD!$B$3:$B$5001,E$138,BD!$A$3:$A$5001,_xlfn.MAXIFS(BD!$A$3:$A$5001,BD!$B$3:$B$5001,E$138,BD!$A$3:$A$5001,"&gt;="&amp;$C$7,BD!$A$3:$A$5001,"&lt;="&amp;$B150,BD!$W$3:$W$5001,"&lt;&gt;"))))</f>
        <v/>
      </c>
      <c r="F150" s="42" t="str">
        <f>IF(OR($B150="",$A150&gt;$B$9),"",IF(COUNTIFS(BD!$B$3:$B$5001,F$138,BD!$A$3:$A$5001,"&gt;="&amp;$C$7,BD!$A$3:$A$5001,"&lt;="&amp;$B150,BD!$W$3:$W$5001,"&lt;&gt;")=0,"",SUMIFS(BD!$W$3:$W$5001,BD!$B$3:$B$5001,F$138,BD!$A$3:$A$5001,_xlfn.MAXIFS(BD!$A$3:$A$5001,BD!$B$3:$B$5001,F$138,BD!$A$3:$A$5001,"&gt;="&amp;$C$7,BD!$A$3:$A$5001,"&lt;="&amp;$B150,BD!$W$3:$W$5001,"&lt;&gt;"))))</f>
        <v/>
      </c>
      <c r="G150" s="42" t="str">
        <f>IF(OR($B150="",$A150&gt;$B$9),"",IF(COUNTIFS(BD!$B$3:$B$5001,G$138,BD!$A$3:$A$5001,"&gt;="&amp;$C$7,BD!$A$3:$A$5001,"&lt;="&amp;$B150,BD!$W$3:$W$5001,"&lt;&gt;")=0,"",SUMIFS(BD!$W$3:$W$5001,BD!$B$3:$B$5001,G$138,BD!$A$3:$A$5001,_xlfn.MAXIFS(BD!$A$3:$A$5001,BD!$B$3:$B$5001,G$138,BD!$A$3:$A$5001,"&gt;="&amp;$C$7,BD!$A$3:$A$5001,"&lt;="&amp;$B150,BD!$W$3:$W$5001,"&lt;&gt;"))))</f>
        <v/>
      </c>
      <c r="H150" s="42" t="str">
        <f>IF(OR($B150="",$A150&gt;$B$9),"",IF(COUNTIFS(BD!$B$3:$B$5001,H$138,BD!$A$3:$A$5001,"&gt;="&amp;$C$7,BD!$A$3:$A$5001,"&lt;="&amp;$B150,BD!$W$3:$W$5001,"&lt;&gt;")=0,"",SUMIFS(BD!$W$3:$W$5001,BD!$B$3:$B$5001,H$138,BD!$A$3:$A$5001,_xlfn.MAXIFS(BD!$A$3:$A$5001,BD!$B$3:$B$5001,H$138,BD!$A$3:$A$5001,"&gt;="&amp;$C$7,BD!$A$3:$A$5001,"&lt;="&amp;$B150,BD!$W$3:$W$5001,"&lt;&gt;"))))</f>
        <v/>
      </c>
      <c r="I150" s="42" t="str">
        <f>IF(OR($B150="",$A150&gt;$B$9),"",IF(COUNTIFS(BD!$B$3:$B$5001,I$138,BD!$A$3:$A$5001,"&gt;="&amp;$C$7,BD!$A$3:$A$5001,"&lt;="&amp;$B150,BD!$W$3:$W$5001,"&lt;&gt;")=0,"",SUMIFS(BD!$W$3:$W$5001,BD!$B$3:$B$5001,I$138,BD!$A$3:$A$5001,_xlfn.MAXIFS(BD!$A$3:$A$5001,BD!$B$3:$B$5001,I$138,BD!$A$3:$A$5001,"&gt;="&amp;$C$7,BD!$A$3:$A$5001,"&lt;="&amp;$B150,BD!$W$3:$W$5001,"&lt;&gt;"))))</f>
        <v/>
      </c>
      <c r="J150" s="42" t="str">
        <f>IF(OR($B150="",$A150&gt;$B$9),"",IF(COUNTIFS(BD!$B$3:$B$5001,J$138,BD!$A$3:$A$5001,"&gt;="&amp;$C$7,BD!$A$3:$A$5001,"&lt;="&amp;$B150,BD!$W$3:$W$5001,"&lt;&gt;")=0,"",SUMIFS(BD!$W$3:$W$5001,BD!$B$3:$B$5001,J$138,BD!$A$3:$A$5001,_xlfn.MAXIFS(BD!$A$3:$A$5001,BD!$B$3:$B$5001,J$138,BD!$A$3:$A$5001,"&gt;="&amp;$C$7,BD!$A$3:$A$5001,"&lt;="&amp;$B150,BD!$W$3:$W$5001,"&lt;&gt;"))))</f>
        <v/>
      </c>
      <c r="K150" s="42" t="str">
        <f>IF(OR($B150="",$A150&gt;$B$9),"",IF(COUNTIFS(BD!$B$3:$B$5001,K$138,BD!$A$3:$A$5001,"&gt;="&amp;$C$7,BD!$A$3:$A$5001,"&lt;="&amp;$B150,BD!$W$3:$W$5001,"&lt;&gt;")=0,"",SUMIFS(BD!$W$3:$W$5001,BD!$B$3:$B$5001,K$138,BD!$A$3:$A$5001,_xlfn.MAXIFS(BD!$A$3:$A$5001,BD!$B$3:$B$5001,K$138,BD!$A$3:$A$5001,"&gt;="&amp;$C$7,BD!$A$3:$A$5001,"&lt;="&amp;$B150,BD!$W$3:$W$5001,"&lt;&gt;"))))</f>
        <v/>
      </c>
    </row>
    <row r="151">
      <c r="A151" s="40">
        <v>13</v>
      </c>
      <c r="B151" s="41">
        <f>$B$24</f>
        <v>46308</v>
      </c>
      <c r="C151" s="42" t="str">
        <f>IF(OR($B151="",$A151&gt;$B$9),"",IF(COUNTIFS(BD!$B$3:$B$5001,C$138,BD!$A$3:$A$5001,"&gt;="&amp;$C$7,BD!$A$3:$A$5001,"&lt;="&amp;$B151,BD!$W$3:$W$5001,"&lt;&gt;")=0,"",SUMIFS(BD!$W$3:$W$5001,BD!$B$3:$B$5001,C$138,BD!$A$3:$A$5001,_xlfn.MAXIFS(BD!$A$3:$A$5001,BD!$B$3:$B$5001,C$138,BD!$A$3:$A$5001,"&gt;="&amp;$C$7,BD!$A$3:$A$5001,"&lt;="&amp;$B151,BD!$W$3:$W$5001,"&lt;&gt;"))))</f>
        <v/>
      </c>
      <c r="D151" s="42" t="str">
        <f>IF(OR($B151="",$A151&gt;$B$9),"",IF(COUNTIFS(BD!$B$3:$B$5001,D$138,BD!$A$3:$A$5001,"&gt;="&amp;$C$7,BD!$A$3:$A$5001,"&lt;="&amp;$B151,BD!$W$3:$W$5001,"&lt;&gt;")=0,"",SUMIFS(BD!$W$3:$W$5001,BD!$B$3:$B$5001,D$138,BD!$A$3:$A$5001,_xlfn.MAXIFS(BD!$A$3:$A$5001,BD!$B$3:$B$5001,D$138,BD!$A$3:$A$5001,"&gt;="&amp;$C$7,BD!$A$3:$A$5001,"&lt;="&amp;$B151,BD!$W$3:$W$5001,"&lt;&gt;"))))</f>
        <v/>
      </c>
      <c r="E151" s="42" t="str">
        <f>IF(OR($B151="",$A151&gt;$B$9),"",IF(COUNTIFS(BD!$B$3:$B$5001,E$138,BD!$A$3:$A$5001,"&gt;="&amp;$C$7,BD!$A$3:$A$5001,"&lt;="&amp;$B151,BD!$W$3:$W$5001,"&lt;&gt;")=0,"",SUMIFS(BD!$W$3:$W$5001,BD!$B$3:$B$5001,E$138,BD!$A$3:$A$5001,_xlfn.MAXIFS(BD!$A$3:$A$5001,BD!$B$3:$B$5001,E$138,BD!$A$3:$A$5001,"&gt;="&amp;$C$7,BD!$A$3:$A$5001,"&lt;="&amp;$B151,BD!$W$3:$W$5001,"&lt;&gt;"))))</f>
        <v/>
      </c>
      <c r="F151" s="42" t="str">
        <f>IF(OR($B151="",$A151&gt;$B$9),"",IF(COUNTIFS(BD!$B$3:$B$5001,F$138,BD!$A$3:$A$5001,"&gt;="&amp;$C$7,BD!$A$3:$A$5001,"&lt;="&amp;$B151,BD!$W$3:$W$5001,"&lt;&gt;")=0,"",SUMIFS(BD!$W$3:$W$5001,BD!$B$3:$B$5001,F$138,BD!$A$3:$A$5001,_xlfn.MAXIFS(BD!$A$3:$A$5001,BD!$B$3:$B$5001,F$138,BD!$A$3:$A$5001,"&gt;="&amp;$C$7,BD!$A$3:$A$5001,"&lt;="&amp;$B151,BD!$W$3:$W$5001,"&lt;&gt;"))))</f>
        <v/>
      </c>
      <c r="G151" s="42" t="str">
        <f>IF(OR($B151="",$A151&gt;$B$9),"",IF(COUNTIFS(BD!$B$3:$B$5001,G$138,BD!$A$3:$A$5001,"&gt;="&amp;$C$7,BD!$A$3:$A$5001,"&lt;="&amp;$B151,BD!$W$3:$W$5001,"&lt;&gt;")=0,"",SUMIFS(BD!$W$3:$W$5001,BD!$B$3:$B$5001,G$138,BD!$A$3:$A$5001,_xlfn.MAXIFS(BD!$A$3:$A$5001,BD!$B$3:$B$5001,G$138,BD!$A$3:$A$5001,"&gt;="&amp;$C$7,BD!$A$3:$A$5001,"&lt;="&amp;$B151,BD!$W$3:$W$5001,"&lt;&gt;"))))</f>
        <v/>
      </c>
      <c r="H151" s="42" t="str">
        <f>IF(OR($B151="",$A151&gt;$B$9),"",IF(COUNTIFS(BD!$B$3:$B$5001,H$138,BD!$A$3:$A$5001,"&gt;="&amp;$C$7,BD!$A$3:$A$5001,"&lt;="&amp;$B151,BD!$W$3:$W$5001,"&lt;&gt;")=0,"",SUMIFS(BD!$W$3:$W$5001,BD!$B$3:$B$5001,H$138,BD!$A$3:$A$5001,_xlfn.MAXIFS(BD!$A$3:$A$5001,BD!$B$3:$B$5001,H$138,BD!$A$3:$A$5001,"&gt;="&amp;$C$7,BD!$A$3:$A$5001,"&lt;="&amp;$B151,BD!$W$3:$W$5001,"&lt;&gt;"))))</f>
        <v/>
      </c>
      <c r="I151" s="42" t="str">
        <f>IF(OR($B151="",$A151&gt;$B$9),"",IF(COUNTIFS(BD!$B$3:$B$5001,I$138,BD!$A$3:$A$5001,"&gt;="&amp;$C$7,BD!$A$3:$A$5001,"&lt;="&amp;$B151,BD!$W$3:$W$5001,"&lt;&gt;")=0,"",SUMIFS(BD!$W$3:$W$5001,BD!$B$3:$B$5001,I$138,BD!$A$3:$A$5001,_xlfn.MAXIFS(BD!$A$3:$A$5001,BD!$B$3:$B$5001,I$138,BD!$A$3:$A$5001,"&gt;="&amp;$C$7,BD!$A$3:$A$5001,"&lt;="&amp;$B151,BD!$W$3:$W$5001,"&lt;&gt;"))))</f>
        <v/>
      </c>
      <c r="J151" s="42" t="str">
        <f>IF(OR($B151="",$A151&gt;$B$9),"",IF(COUNTIFS(BD!$B$3:$B$5001,J$138,BD!$A$3:$A$5001,"&gt;="&amp;$C$7,BD!$A$3:$A$5001,"&lt;="&amp;$B151,BD!$W$3:$W$5001,"&lt;&gt;")=0,"",SUMIFS(BD!$W$3:$W$5001,BD!$B$3:$B$5001,J$138,BD!$A$3:$A$5001,_xlfn.MAXIFS(BD!$A$3:$A$5001,BD!$B$3:$B$5001,J$138,BD!$A$3:$A$5001,"&gt;="&amp;$C$7,BD!$A$3:$A$5001,"&lt;="&amp;$B151,BD!$W$3:$W$5001,"&lt;&gt;"))))</f>
        <v/>
      </c>
      <c r="K151" s="42" t="str">
        <f>IF(OR($B151="",$A151&gt;$B$9),"",IF(COUNTIFS(BD!$B$3:$B$5001,K$138,BD!$A$3:$A$5001,"&gt;="&amp;$C$7,BD!$A$3:$A$5001,"&lt;="&amp;$B151,BD!$W$3:$W$5001,"&lt;&gt;")=0,"",SUMIFS(BD!$W$3:$W$5001,BD!$B$3:$B$5001,K$138,BD!$A$3:$A$5001,_xlfn.MAXIFS(BD!$A$3:$A$5001,BD!$B$3:$B$5001,K$138,BD!$A$3:$A$5001,"&gt;="&amp;$C$7,BD!$A$3:$A$5001,"&lt;="&amp;$B151,BD!$W$3:$W$5001,"&lt;&gt;"))))</f>
        <v/>
      </c>
    </row>
    <row r="152">
      <c r="A152" s="40">
        <v>14</v>
      </c>
      <c r="B152" s="41">
        <f>$B$25</f>
        <v>46309</v>
      </c>
      <c r="C152" s="42" t="str">
        <f>IF(OR($B152="",$A152&gt;$B$9),"",IF(COUNTIFS(BD!$B$3:$B$5001,C$138,BD!$A$3:$A$5001,"&gt;="&amp;$C$7,BD!$A$3:$A$5001,"&lt;="&amp;$B152,BD!$W$3:$W$5001,"&lt;&gt;")=0,"",SUMIFS(BD!$W$3:$W$5001,BD!$B$3:$B$5001,C$138,BD!$A$3:$A$5001,_xlfn.MAXIFS(BD!$A$3:$A$5001,BD!$B$3:$B$5001,C$138,BD!$A$3:$A$5001,"&gt;="&amp;$C$7,BD!$A$3:$A$5001,"&lt;="&amp;$B152,BD!$W$3:$W$5001,"&lt;&gt;"))))</f>
        <v/>
      </c>
      <c r="D152" s="42" t="str">
        <f>IF(OR($B152="",$A152&gt;$B$9),"",IF(COUNTIFS(BD!$B$3:$B$5001,D$138,BD!$A$3:$A$5001,"&gt;="&amp;$C$7,BD!$A$3:$A$5001,"&lt;="&amp;$B152,BD!$W$3:$W$5001,"&lt;&gt;")=0,"",SUMIFS(BD!$W$3:$W$5001,BD!$B$3:$B$5001,D$138,BD!$A$3:$A$5001,_xlfn.MAXIFS(BD!$A$3:$A$5001,BD!$B$3:$B$5001,D$138,BD!$A$3:$A$5001,"&gt;="&amp;$C$7,BD!$A$3:$A$5001,"&lt;="&amp;$B152,BD!$W$3:$W$5001,"&lt;&gt;"))))</f>
        <v/>
      </c>
      <c r="E152" s="42" t="str">
        <f>IF(OR($B152="",$A152&gt;$B$9),"",IF(COUNTIFS(BD!$B$3:$B$5001,E$138,BD!$A$3:$A$5001,"&gt;="&amp;$C$7,BD!$A$3:$A$5001,"&lt;="&amp;$B152,BD!$W$3:$W$5001,"&lt;&gt;")=0,"",SUMIFS(BD!$W$3:$W$5001,BD!$B$3:$B$5001,E$138,BD!$A$3:$A$5001,_xlfn.MAXIFS(BD!$A$3:$A$5001,BD!$B$3:$B$5001,E$138,BD!$A$3:$A$5001,"&gt;="&amp;$C$7,BD!$A$3:$A$5001,"&lt;="&amp;$B152,BD!$W$3:$W$5001,"&lt;&gt;"))))</f>
        <v/>
      </c>
      <c r="F152" s="42" t="str">
        <f>IF(OR($B152="",$A152&gt;$B$9),"",IF(COUNTIFS(BD!$B$3:$B$5001,F$138,BD!$A$3:$A$5001,"&gt;="&amp;$C$7,BD!$A$3:$A$5001,"&lt;="&amp;$B152,BD!$W$3:$W$5001,"&lt;&gt;")=0,"",SUMIFS(BD!$W$3:$W$5001,BD!$B$3:$B$5001,F$138,BD!$A$3:$A$5001,_xlfn.MAXIFS(BD!$A$3:$A$5001,BD!$B$3:$B$5001,F$138,BD!$A$3:$A$5001,"&gt;="&amp;$C$7,BD!$A$3:$A$5001,"&lt;="&amp;$B152,BD!$W$3:$W$5001,"&lt;&gt;"))))</f>
        <v/>
      </c>
      <c r="G152" s="42" t="str">
        <f>IF(OR($B152="",$A152&gt;$B$9),"",IF(COUNTIFS(BD!$B$3:$B$5001,G$138,BD!$A$3:$A$5001,"&gt;="&amp;$C$7,BD!$A$3:$A$5001,"&lt;="&amp;$B152,BD!$W$3:$W$5001,"&lt;&gt;")=0,"",SUMIFS(BD!$W$3:$W$5001,BD!$B$3:$B$5001,G$138,BD!$A$3:$A$5001,_xlfn.MAXIFS(BD!$A$3:$A$5001,BD!$B$3:$B$5001,G$138,BD!$A$3:$A$5001,"&gt;="&amp;$C$7,BD!$A$3:$A$5001,"&lt;="&amp;$B152,BD!$W$3:$W$5001,"&lt;&gt;"))))</f>
        <v/>
      </c>
      <c r="H152" s="42" t="str">
        <f>IF(OR($B152="",$A152&gt;$B$9),"",IF(COUNTIFS(BD!$B$3:$B$5001,H$138,BD!$A$3:$A$5001,"&gt;="&amp;$C$7,BD!$A$3:$A$5001,"&lt;="&amp;$B152,BD!$W$3:$W$5001,"&lt;&gt;")=0,"",SUMIFS(BD!$W$3:$W$5001,BD!$B$3:$B$5001,H$138,BD!$A$3:$A$5001,_xlfn.MAXIFS(BD!$A$3:$A$5001,BD!$B$3:$B$5001,H$138,BD!$A$3:$A$5001,"&gt;="&amp;$C$7,BD!$A$3:$A$5001,"&lt;="&amp;$B152,BD!$W$3:$W$5001,"&lt;&gt;"))))</f>
        <v/>
      </c>
      <c r="I152" s="42" t="str">
        <f>IF(OR($B152="",$A152&gt;$B$9),"",IF(COUNTIFS(BD!$B$3:$B$5001,I$138,BD!$A$3:$A$5001,"&gt;="&amp;$C$7,BD!$A$3:$A$5001,"&lt;="&amp;$B152,BD!$W$3:$W$5001,"&lt;&gt;")=0,"",SUMIFS(BD!$W$3:$W$5001,BD!$B$3:$B$5001,I$138,BD!$A$3:$A$5001,_xlfn.MAXIFS(BD!$A$3:$A$5001,BD!$B$3:$B$5001,I$138,BD!$A$3:$A$5001,"&gt;="&amp;$C$7,BD!$A$3:$A$5001,"&lt;="&amp;$B152,BD!$W$3:$W$5001,"&lt;&gt;"))))</f>
        <v/>
      </c>
      <c r="J152" s="42" t="str">
        <f>IF(OR($B152="",$A152&gt;$B$9),"",IF(COUNTIFS(BD!$B$3:$B$5001,J$138,BD!$A$3:$A$5001,"&gt;="&amp;$C$7,BD!$A$3:$A$5001,"&lt;="&amp;$B152,BD!$W$3:$W$5001,"&lt;&gt;")=0,"",SUMIFS(BD!$W$3:$W$5001,BD!$B$3:$B$5001,J$138,BD!$A$3:$A$5001,_xlfn.MAXIFS(BD!$A$3:$A$5001,BD!$B$3:$B$5001,J$138,BD!$A$3:$A$5001,"&gt;="&amp;$C$7,BD!$A$3:$A$5001,"&lt;="&amp;$B152,BD!$W$3:$W$5001,"&lt;&gt;"))))</f>
        <v/>
      </c>
      <c r="K152" s="42" t="str">
        <f>IF(OR($B152="",$A152&gt;$B$9),"",IF(COUNTIFS(BD!$B$3:$B$5001,K$138,BD!$A$3:$A$5001,"&gt;="&amp;$C$7,BD!$A$3:$A$5001,"&lt;="&amp;$B152,BD!$W$3:$W$5001,"&lt;&gt;")=0,"",SUMIFS(BD!$W$3:$W$5001,BD!$B$3:$B$5001,K$138,BD!$A$3:$A$5001,_xlfn.MAXIFS(BD!$A$3:$A$5001,BD!$B$3:$B$5001,K$138,BD!$A$3:$A$5001,"&gt;="&amp;$C$7,BD!$A$3:$A$5001,"&lt;="&amp;$B152,BD!$W$3:$W$5001,"&lt;&gt;"))))</f>
        <v/>
      </c>
    </row>
    <row r="153">
      <c r="A153" s="40">
        <v>15</v>
      </c>
      <c r="B153" s="41">
        <f>$B$26</f>
        <v>46310</v>
      </c>
      <c r="C153" s="42" t="str">
        <f>IF(OR($B153="",$A153&gt;$B$9),"",IF(COUNTIFS(BD!$B$3:$B$5001,C$138,BD!$A$3:$A$5001,"&gt;="&amp;$C$7,BD!$A$3:$A$5001,"&lt;="&amp;$B153,BD!$W$3:$W$5001,"&lt;&gt;")=0,"",SUMIFS(BD!$W$3:$W$5001,BD!$B$3:$B$5001,C$138,BD!$A$3:$A$5001,_xlfn.MAXIFS(BD!$A$3:$A$5001,BD!$B$3:$B$5001,C$138,BD!$A$3:$A$5001,"&gt;="&amp;$C$7,BD!$A$3:$A$5001,"&lt;="&amp;$B153,BD!$W$3:$W$5001,"&lt;&gt;"))))</f>
        <v/>
      </c>
      <c r="D153" s="42" t="str">
        <f>IF(OR($B153="",$A153&gt;$B$9),"",IF(COUNTIFS(BD!$B$3:$B$5001,D$138,BD!$A$3:$A$5001,"&gt;="&amp;$C$7,BD!$A$3:$A$5001,"&lt;="&amp;$B153,BD!$W$3:$W$5001,"&lt;&gt;")=0,"",SUMIFS(BD!$W$3:$W$5001,BD!$B$3:$B$5001,D$138,BD!$A$3:$A$5001,_xlfn.MAXIFS(BD!$A$3:$A$5001,BD!$B$3:$B$5001,D$138,BD!$A$3:$A$5001,"&gt;="&amp;$C$7,BD!$A$3:$A$5001,"&lt;="&amp;$B153,BD!$W$3:$W$5001,"&lt;&gt;"))))</f>
        <v/>
      </c>
      <c r="E153" s="42" t="str">
        <f>IF(OR($B153="",$A153&gt;$B$9),"",IF(COUNTIFS(BD!$B$3:$B$5001,E$138,BD!$A$3:$A$5001,"&gt;="&amp;$C$7,BD!$A$3:$A$5001,"&lt;="&amp;$B153,BD!$W$3:$W$5001,"&lt;&gt;")=0,"",SUMIFS(BD!$W$3:$W$5001,BD!$B$3:$B$5001,E$138,BD!$A$3:$A$5001,_xlfn.MAXIFS(BD!$A$3:$A$5001,BD!$B$3:$B$5001,E$138,BD!$A$3:$A$5001,"&gt;="&amp;$C$7,BD!$A$3:$A$5001,"&lt;="&amp;$B153,BD!$W$3:$W$5001,"&lt;&gt;"))))</f>
        <v/>
      </c>
      <c r="F153" s="42" t="str">
        <f>IF(OR($B153="",$A153&gt;$B$9),"",IF(COUNTIFS(BD!$B$3:$B$5001,F$138,BD!$A$3:$A$5001,"&gt;="&amp;$C$7,BD!$A$3:$A$5001,"&lt;="&amp;$B153,BD!$W$3:$W$5001,"&lt;&gt;")=0,"",SUMIFS(BD!$W$3:$W$5001,BD!$B$3:$B$5001,F$138,BD!$A$3:$A$5001,_xlfn.MAXIFS(BD!$A$3:$A$5001,BD!$B$3:$B$5001,F$138,BD!$A$3:$A$5001,"&gt;="&amp;$C$7,BD!$A$3:$A$5001,"&lt;="&amp;$B153,BD!$W$3:$W$5001,"&lt;&gt;"))))</f>
        <v/>
      </c>
      <c r="G153" s="42" t="str">
        <f>IF(OR($B153="",$A153&gt;$B$9),"",IF(COUNTIFS(BD!$B$3:$B$5001,G$138,BD!$A$3:$A$5001,"&gt;="&amp;$C$7,BD!$A$3:$A$5001,"&lt;="&amp;$B153,BD!$W$3:$W$5001,"&lt;&gt;")=0,"",SUMIFS(BD!$W$3:$W$5001,BD!$B$3:$B$5001,G$138,BD!$A$3:$A$5001,_xlfn.MAXIFS(BD!$A$3:$A$5001,BD!$B$3:$B$5001,G$138,BD!$A$3:$A$5001,"&gt;="&amp;$C$7,BD!$A$3:$A$5001,"&lt;="&amp;$B153,BD!$W$3:$W$5001,"&lt;&gt;"))))</f>
        <v/>
      </c>
      <c r="H153" s="42" t="str">
        <f>IF(OR($B153="",$A153&gt;$B$9),"",IF(COUNTIFS(BD!$B$3:$B$5001,H$138,BD!$A$3:$A$5001,"&gt;="&amp;$C$7,BD!$A$3:$A$5001,"&lt;="&amp;$B153,BD!$W$3:$W$5001,"&lt;&gt;")=0,"",SUMIFS(BD!$W$3:$W$5001,BD!$B$3:$B$5001,H$138,BD!$A$3:$A$5001,_xlfn.MAXIFS(BD!$A$3:$A$5001,BD!$B$3:$B$5001,H$138,BD!$A$3:$A$5001,"&gt;="&amp;$C$7,BD!$A$3:$A$5001,"&lt;="&amp;$B153,BD!$W$3:$W$5001,"&lt;&gt;"))))</f>
        <v/>
      </c>
      <c r="I153" s="42" t="str">
        <f>IF(OR($B153="",$A153&gt;$B$9),"",IF(COUNTIFS(BD!$B$3:$B$5001,I$138,BD!$A$3:$A$5001,"&gt;="&amp;$C$7,BD!$A$3:$A$5001,"&lt;="&amp;$B153,BD!$W$3:$W$5001,"&lt;&gt;")=0,"",SUMIFS(BD!$W$3:$W$5001,BD!$B$3:$B$5001,I$138,BD!$A$3:$A$5001,_xlfn.MAXIFS(BD!$A$3:$A$5001,BD!$B$3:$B$5001,I$138,BD!$A$3:$A$5001,"&gt;="&amp;$C$7,BD!$A$3:$A$5001,"&lt;="&amp;$B153,BD!$W$3:$W$5001,"&lt;&gt;"))))</f>
        <v/>
      </c>
      <c r="J153" s="42" t="str">
        <f>IF(OR($B153="",$A153&gt;$B$9),"",IF(COUNTIFS(BD!$B$3:$B$5001,J$138,BD!$A$3:$A$5001,"&gt;="&amp;$C$7,BD!$A$3:$A$5001,"&lt;="&amp;$B153,BD!$W$3:$W$5001,"&lt;&gt;")=0,"",SUMIFS(BD!$W$3:$W$5001,BD!$B$3:$B$5001,J$138,BD!$A$3:$A$5001,_xlfn.MAXIFS(BD!$A$3:$A$5001,BD!$B$3:$B$5001,J$138,BD!$A$3:$A$5001,"&gt;="&amp;$C$7,BD!$A$3:$A$5001,"&lt;="&amp;$B153,BD!$W$3:$W$5001,"&lt;&gt;"))))</f>
        <v/>
      </c>
      <c r="K153" s="42" t="str">
        <f>IF(OR($B153="",$A153&gt;$B$9),"",IF(COUNTIFS(BD!$B$3:$B$5001,K$138,BD!$A$3:$A$5001,"&gt;="&amp;$C$7,BD!$A$3:$A$5001,"&lt;="&amp;$B153,BD!$W$3:$W$5001,"&lt;&gt;")=0,"",SUMIFS(BD!$W$3:$W$5001,BD!$B$3:$B$5001,K$138,BD!$A$3:$A$5001,_xlfn.MAXIFS(BD!$A$3:$A$5001,BD!$B$3:$B$5001,K$138,BD!$A$3:$A$5001,"&gt;="&amp;$C$7,BD!$A$3:$A$5001,"&lt;="&amp;$B153,BD!$W$3:$W$5001,"&lt;&gt;"))))</f>
        <v/>
      </c>
    </row>
    <row r="154">
      <c r="A154" s="40">
        <v>16</v>
      </c>
      <c r="B154" s="41">
        <f>$B$27</f>
        <v>46311</v>
      </c>
      <c r="C154" s="42" t="str">
        <f>IF(OR($B154="",$A154&gt;$B$9),"",IF(COUNTIFS(BD!$B$3:$B$5001,C$138,BD!$A$3:$A$5001,"&gt;="&amp;$C$7,BD!$A$3:$A$5001,"&lt;="&amp;$B154,BD!$W$3:$W$5001,"&lt;&gt;")=0,"",SUMIFS(BD!$W$3:$W$5001,BD!$B$3:$B$5001,C$138,BD!$A$3:$A$5001,_xlfn.MAXIFS(BD!$A$3:$A$5001,BD!$B$3:$B$5001,C$138,BD!$A$3:$A$5001,"&gt;="&amp;$C$7,BD!$A$3:$A$5001,"&lt;="&amp;$B154,BD!$W$3:$W$5001,"&lt;&gt;"))))</f>
        <v/>
      </c>
      <c r="D154" s="42" t="str">
        <f>IF(OR($B154="",$A154&gt;$B$9),"",IF(COUNTIFS(BD!$B$3:$B$5001,D$138,BD!$A$3:$A$5001,"&gt;="&amp;$C$7,BD!$A$3:$A$5001,"&lt;="&amp;$B154,BD!$W$3:$W$5001,"&lt;&gt;")=0,"",SUMIFS(BD!$W$3:$W$5001,BD!$B$3:$B$5001,D$138,BD!$A$3:$A$5001,_xlfn.MAXIFS(BD!$A$3:$A$5001,BD!$B$3:$B$5001,D$138,BD!$A$3:$A$5001,"&gt;="&amp;$C$7,BD!$A$3:$A$5001,"&lt;="&amp;$B154,BD!$W$3:$W$5001,"&lt;&gt;"))))</f>
        <v/>
      </c>
      <c r="E154" s="42" t="str">
        <f>IF(OR($B154="",$A154&gt;$B$9),"",IF(COUNTIFS(BD!$B$3:$B$5001,E$138,BD!$A$3:$A$5001,"&gt;="&amp;$C$7,BD!$A$3:$A$5001,"&lt;="&amp;$B154,BD!$W$3:$W$5001,"&lt;&gt;")=0,"",SUMIFS(BD!$W$3:$W$5001,BD!$B$3:$B$5001,E$138,BD!$A$3:$A$5001,_xlfn.MAXIFS(BD!$A$3:$A$5001,BD!$B$3:$B$5001,E$138,BD!$A$3:$A$5001,"&gt;="&amp;$C$7,BD!$A$3:$A$5001,"&lt;="&amp;$B154,BD!$W$3:$W$5001,"&lt;&gt;"))))</f>
        <v/>
      </c>
      <c r="F154" s="42" t="str">
        <f>IF(OR($B154="",$A154&gt;$B$9),"",IF(COUNTIFS(BD!$B$3:$B$5001,F$138,BD!$A$3:$A$5001,"&gt;="&amp;$C$7,BD!$A$3:$A$5001,"&lt;="&amp;$B154,BD!$W$3:$W$5001,"&lt;&gt;")=0,"",SUMIFS(BD!$W$3:$W$5001,BD!$B$3:$B$5001,F$138,BD!$A$3:$A$5001,_xlfn.MAXIFS(BD!$A$3:$A$5001,BD!$B$3:$B$5001,F$138,BD!$A$3:$A$5001,"&gt;="&amp;$C$7,BD!$A$3:$A$5001,"&lt;="&amp;$B154,BD!$W$3:$W$5001,"&lt;&gt;"))))</f>
        <v/>
      </c>
      <c r="G154" s="42" t="str">
        <f>IF(OR($B154="",$A154&gt;$B$9),"",IF(COUNTIFS(BD!$B$3:$B$5001,G$138,BD!$A$3:$A$5001,"&gt;="&amp;$C$7,BD!$A$3:$A$5001,"&lt;="&amp;$B154,BD!$W$3:$W$5001,"&lt;&gt;")=0,"",SUMIFS(BD!$W$3:$W$5001,BD!$B$3:$B$5001,G$138,BD!$A$3:$A$5001,_xlfn.MAXIFS(BD!$A$3:$A$5001,BD!$B$3:$B$5001,G$138,BD!$A$3:$A$5001,"&gt;="&amp;$C$7,BD!$A$3:$A$5001,"&lt;="&amp;$B154,BD!$W$3:$W$5001,"&lt;&gt;"))))</f>
        <v/>
      </c>
      <c r="H154" s="42" t="str">
        <f>IF(OR($B154="",$A154&gt;$B$9),"",IF(COUNTIFS(BD!$B$3:$B$5001,H$138,BD!$A$3:$A$5001,"&gt;="&amp;$C$7,BD!$A$3:$A$5001,"&lt;="&amp;$B154,BD!$W$3:$W$5001,"&lt;&gt;")=0,"",SUMIFS(BD!$W$3:$W$5001,BD!$B$3:$B$5001,H$138,BD!$A$3:$A$5001,_xlfn.MAXIFS(BD!$A$3:$A$5001,BD!$B$3:$B$5001,H$138,BD!$A$3:$A$5001,"&gt;="&amp;$C$7,BD!$A$3:$A$5001,"&lt;="&amp;$B154,BD!$W$3:$W$5001,"&lt;&gt;"))))</f>
        <v/>
      </c>
      <c r="I154" s="42" t="str">
        <f>IF(OR($B154="",$A154&gt;$B$9),"",IF(COUNTIFS(BD!$B$3:$B$5001,I$138,BD!$A$3:$A$5001,"&gt;="&amp;$C$7,BD!$A$3:$A$5001,"&lt;="&amp;$B154,BD!$W$3:$W$5001,"&lt;&gt;")=0,"",SUMIFS(BD!$W$3:$W$5001,BD!$B$3:$B$5001,I$138,BD!$A$3:$A$5001,_xlfn.MAXIFS(BD!$A$3:$A$5001,BD!$B$3:$B$5001,I$138,BD!$A$3:$A$5001,"&gt;="&amp;$C$7,BD!$A$3:$A$5001,"&lt;="&amp;$B154,BD!$W$3:$W$5001,"&lt;&gt;"))))</f>
        <v/>
      </c>
      <c r="J154" s="42" t="str">
        <f>IF(OR($B154="",$A154&gt;$B$9),"",IF(COUNTIFS(BD!$B$3:$B$5001,J$138,BD!$A$3:$A$5001,"&gt;="&amp;$C$7,BD!$A$3:$A$5001,"&lt;="&amp;$B154,BD!$W$3:$W$5001,"&lt;&gt;")=0,"",SUMIFS(BD!$W$3:$W$5001,BD!$B$3:$B$5001,J$138,BD!$A$3:$A$5001,_xlfn.MAXIFS(BD!$A$3:$A$5001,BD!$B$3:$B$5001,J$138,BD!$A$3:$A$5001,"&gt;="&amp;$C$7,BD!$A$3:$A$5001,"&lt;="&amp;$B154,BD!$W$3:$W$5001,"&lt;&gt;"))))</f>
        <v/>
      </c>
      <c r="K154" s="42" t="str">
        <f>IF(OR($B154="",$A154&gt;$B$9),"",IF(COUNTIFS(BD!$B$3:$B$5001,K$138,BD!$A$3:$A$5001,"&gt;="&amp;$C$7,BD!$A$3:$A$5001,"&lt;="&amp;$B154,BD!$W$3:$W$5001,"&lt;&gt;")=0,"",SUMIFS(BD!$W$3:$W$5001,BD!$B$3:$B$5001,K$138,BD!$A$3:$A$5001,_xlfn.MAXIFS(BD!$A$3:$A$5001,BD!$B$3:$B$5001,K$138,BD!$A$3:$A$5001,"&gt;="&amp;$C$7,BD!$A$3:$A$5001,"&lt;="&amp;$B154,BD!$W$3:$W$5001,"&lt;&gt;"))))</f>
        <v/>
      </c>
    </row>
    <row r="155">
      <c r="A155" s="40">
        <v>17</v>
      </c>
      <c r="B155" s="41">
        <f>$B$28</f>
        <v>46312</v>
      </c>
      <c r="C155" s="42" t="str">
        <f>IF(OR($B155="",$A155&gt;$B$9),"",IF(COUNTIFS(BD!$B$3:$B$5001,C$138,BD!$A$3:$A$5001,"&gt;="&amp;$C$7,BD!$A$3:$A$5001,"&lt;="&amp;$B155,BD!$W$3:$W$5001,"&lt;&gt;")=0,"",SUMIFS(BD!$W$3:$W$5001,BD!$B$3:$B$5001,C$138,BD!$A$3:$A$5001,_xlfn.MAXIFS(BD!$A$3:$A$5001,BD!$B$3:$B$5001,C$138,BD!$A$3:$A$5001,"&gt;="&amp;$C$7,BD!$A$3:$A$5001,"&lt;="&amp;$B155,BD!$W$3:$W$5001,"&lt;&gt;"))))</f>
        <v/>
      </c>
      <c r="D155" s="42" t="str">
        <f>IF(OR($B155="",$A155&gt;$B$9),"",IF(COUNTIFS(BD!$B$3:$B$5001,D$138,BD!$A$3:$A$5001,"&gt;="&amp;$C$7,BD!$A$3:$A$5001,"&lt;="&amp;$B155,BD!$W$3:$W$5001,"&lt;&gt;")=0,"",SUMIFS(BD!$W$3:$W$5001,BD!$B$3:$B$5001,D$138,BD!$A$3:$A$5001,_xlfn.MAXIFS(BD!$A$3:$A$5001,BD!$B$3:$B$5001,D$138,BD!$A$3:$A$5001,"&gt;="&amp;$C$7,BD!$A$3:$A$5001,"&lt;="&amp;$B155,BD!$W$3:$W$5001,"&lt;&gt;"))))</f>
        <v/>
      </c>
      <c r="E155" s="42" t="str">
        <f>IF(OR($B155="",$A155&gt;$B$9),"",IF(COUNTIFS(BD!$B$3:$B$5001,E$138,BD!$A$3:$A$5001,"&gt;="&amp;$C$7,BD!$A$3:$A$5001,"&lt;="&amp;$B155,BD!$W$3:$W$5001,"&lt;&gt;")=0,"",SUMIFS(BD!$W$3:$W$5001,BD!$B$3:$B$5001,E$138,BD!$A$3:$A$5001,_xlfn.MAXIFS(BD!$A$3:$A$5001,BD!$B$3:$B$5001,E$138,BD!$A$3:$A$5001,"&gt;="&amp;$C$7,BD!$A$3:$A$5001,"&lt;="&amp;$B155,BD!$W$3:$W$5001,"&lt;&gt;"))))</f>
        <v/>
      </c>
      <c r="F155" s="42" t="str">
        <f>IF(OR($B155="",$A155&gt;$B$9),"",IF(COUNTIFS(BD!$B$3:$B$5001,F$138,BD!$A$3:$A$5001,"&gt;="&amp;$C$7,BD!$A$3:$A$5001,"&lt;="&amp;$B155,BD!$W$3:$W$5001,"&lt;&gt;")=0,"",SUMIFS(BD!$W$3:$W$5001,BD!$B$3:$B$5001,F$138,BD!$A$3:$A$5001,_xlfn.MAXIFS(BD!$A$3:$A$5001,BD!$B$3:$B$5001,F$138,BD!$A$3:$A$5001,"&gt;="&amp;$C$7,BD!$A$3:$A$5001,"&lt;="&amp;$B155,BD!$W$3:$W$5001,"&lt;&gt;"))))</f>
        <v/>
      </c>
      <c r="G155" s="42" t="str">
        <f>IF(OR($B155="",$A155&gt;$B$9),"",IF(COUNTIFS(BD!$B$3:$B$5001,G$138,BD!$A$3:$A$5001,"&gt;="&amp;$C$7,BD!$A$3:$A$5001,"&lt;="&amp;$B155,BD!$W$3:$W$5001,"&lt;&gt;")=0,"",SUMIFS(BD!$W$3:$W$5001,BD!$B$3:$B$5001,G$138,BD!$A$3:$A$5001,_xlfn.MAXIFS(BD!$A$3:$A$5001,BD!$B$3:$B$5001,G$138,BD!$A$3:$A$5001,"&gt;="&amp;$C$7,BD!$A$3:$A$5001,"&lt;="&amp;$B155,BD!$W$3:$W$5001,"&lt;&gt;"))))</f>
        <v/>
      </c>
      <c r="H155" s="42" t="str">
        <f>IF(OR($B155="",$A155&gt;$B$9),"",IF(COUNTIFS(BD!$B$3:$B$5001,H$138,BD!$A$3:$A$5001,"&gt;="&amp;$C$7,BD!$A$3:$A$5001,"&lt;="&amp;$B155,BD!$W$3:$W$5001,"&lt;&gt;")=0,"",SUMIFS(BD!$W$3:$W$5001,BD!$B$3:$B$5001,H$138,BD!$A$3:$A$5001,_xlfn.MAXIFS(BD!$A$3:$A$5001,BD!$B$3:$B$5001,H$138,BD!$A$3:$A$5001,"&gt;="&amp;$C$7,BD!$A$3:$A$5001,"&lt;="&amp;$B155,BD!$W$3:$W$5001,"&lt;&gt;"))))</f>
        <v/>
      </c>
      <c r="I155" s="42" t="str">
        <f>IF(OR($B155="",$A155&gt;$B$9),"",IF(COUNTIFS(BD!$B$3:$B$5001,I$138,BD!$A$3:$A$5001,"&gt;="&amp;$C$7,BD!$A$3:$A$5001,"&lt;="&amp;$B155,BD!$W$3:$W$5001,"&lt;&gt;")=0,"",SUMIFS(BD!$W$3:$W$5001,BD!$B$3:$B$5001,I$138,BD!$A$3:$A$5001,_xlfn.MAXIFS(BD!$A$3:$A$5001,BD!$B$3:$B$5001,I$138,BD!$A$3:$A$5001,"&gt;="&amp;$C$7,BD!$A$3:$A$5001,"&lt;="&amp;$B155,BD!$W$3:$W$5001,"&lt;&gt;"))))</f>
        <v/>
      </c>
      <c r="J155" s="42" t="str">
        <f>IF(OR($B155="",$A155&gt;$B$9),"",IF(COUNTIFS(BD!$B$3:$B$5001,J$138,BD!$A$3:$A$5001,"&gt;="&amp;$C$7,BD!$A$3:$A$5001,"&lt;="&amp;$B155,BD!$W$3:$W$5001,"&lt;&gt;")=0,"",SUMIFS(BD!$W$3:$W$5001,BD!$B$3:$B$5001,J$138,BD!$A$3:$A$5001,_xlfn.MAXIFS(BD!$A$3:$A$5001,BD!$B$3:$B$5001,J$138,BD!$A$3:$A$5001,"&gt;="&amp;$C$7,BD!$A$3:$A$5001,"&lt;="&amp;$B155,BD!$W$3:$W$5001,"&lt;&gt;"))))</f>
        <v/>
      </c>
      <c r="K155" s="42" t="str">
        <f>IF(OR($B155="",$A155&gt;$B$9),"",IF(COUNTIFS(BD!$B$3:$B$5001,K$138,BD!$A$3:$A$5001,"&gt;="&amp;$C$7,BD!$A$3:$A$5001,"&lt;="&amp;$B155,BD!$W$3:$W$5001,"&lt;&gt;")=0,"",SUMIFS(BD!$W$3:$W$5001,BD!$B$3:$B$5001,K$138,BD!$A$3:$A$5001,_xlfn.MAXIFS(BD!$A$3:$A$5001,BD!$B$3:$B$5001,K$138,BD!$A$3:$A$5001,"&gt;="&amp;$C$7,BD!$A$3:$A$5001,"&lt;="&amp;$B155,BD!$W$3:$W$5001,"&lt;&gt;"))))</f>
        <v/>
      </c>
    </row>
    <row r="156">
      <c r="A156" s="40">
        <v>18</v>
      </c>
      <c r="B156" s="41">
        <f>$B$29</f>
        <v>46313</v>
      </c>
      <c r="C156" s="42" t="str">
        <f>IF(OR($B156="",$A156&gt;$B$9),"",IF(COUNTIFS(BD!$B$3:$B$5001,C$138,BD!$A$3:$A$5001,"&gt;="&amp;$C$7,BD!$A$3:$A$5001,"&lt;="&amp;$B156,BD!$W$3:$W$5001,"&lt;&gt;")=0,"",SUMIFS(BD!$W$3:$W$5001,BD!$B$3:$B$5001,C$138,BD!$A$3:$A$5001,_xlfn.MAXIFS(BD!$A$3:$A$5001,BD!$B$3:$B$5001,C$138,BD!$A$3:$A$5001,"&gt;="&amp;$C$7,BD!$A$3:$A$5001,"&lt;="&amp;$B156,BD!$W$3:$W$5001,"&lt;&gt;"))))</f>
        <v/>
      </c>
      <c r="D156" s="42" t="str">
        <f>IF(OR($B156="",$A156&gt;$B$9),"",IF(COUNTIFS(BD!$B$3:$B$5001,D$138,BD!$A$3:$A$5001,"&gt;="&amp;$C$7,BD!$A$3:$A$5001,"&lt;="&amp;$B156,BD!$W$3:$W$5001,"&lt;&gt;")=0,"",SUMIFS(BD!$W$3:$W$5001,BD!$B$3:$B$5001,D$138,BD!$A$3:$A$5001,_xlfn.MAXIFS(BD!$A$3:$A$5001,BD!$B$3:$B$5001,D$138,BD!$A$3:$A$5001,"&gt;="&amp;$C$7,BD!$A$3:$A$5001,"&lt;="&amp;$B156,BD!$W$3:$W$5001,"&lt;&gt;"))))</f>
        <v/>
      </c>
      <c r="E156" s="42" t="str">
        <f>IF(OR($B156="",$A156&gt;$B$9),"",IF(COUNTIFS(BD!$B$3:$B$5001,E$138,BD!$A$3:$A$5001,"&gt;="&amp;$C$7,BD!$A$3:$A$5001,"&lt;="&amp;$B156,BD!$W$3:$W$5001,"&lt;&gt;")=0,"",SUMIFS(BD!$W$3:$W$5001,BD!$B$3:$B$5001,E$138,BD!$A$3:$A$5001,_xlfn.MAXIFS(BD!$A$3:$A$5001,BD!$B$3:$B$5001,E$138,BD!$A$3:$A$5001,"&gt;="&amp;$C$7,BD!$A$3:$A$5001,"&lt;="&amp;$B156,BD!$W$3:$W$5001,"&lt;&gt;"))))</f>
        <v/>
      </c>
      <c r="F156" s="42" t="str">
        <f>IF(OR($B156="",$A156&gt;$B$9),"",IF(COUNTIFS(BD!$B$3:$B$5001,F$138,BD!$A$3:$A$5001,"&gt;="&amp;$C$7,BD!$A$3:$A$5001,"&lt;="&amp;$B156,BD!$W$3:$W$5001,"&lt;&gt;")=0,"",SUMIFS(BD!$W$3:$W$5001,BD!$B$3:$B$5001,F$138,BD!$A$3:$A$5001,_xlfn.MAXIFS(BD!$A$3:$A$5001,BD!$B$3:$B$5001,F$138,BD!$A$3:$A$5001,"&gt;="&amp;$C$7,BD!$A$3:$A$5001,"&lt;="&amp;$B156,BD!$W$3:$W$5001,"&lt;&gt;"))))</f>
        <v/>
      </c>
      <c r="G156" s="42" t="str">
        <f>IF(OR($B156="",$A156&gt;$B$9),"",IF(COUNTIFS(BD!$B$3:$B$5001,G$138,BD!$A$3:$A$5001,"&gt;="&amp;$C$7,BD!$A$3:$A$5001,"&lt;="&amp;$B156,BD!$W$3:$W$5001,"&lt;&gt;")=0,"",SUMIFS(BD!$W$3:$W$5001,BD!$B$3:$B$5001,G$138,BD!$A$3:$A$5001,_xlfn.MAXIFS(BD!$A$3:$A$5001,BD!$B$3:$B$5001,G$138,BD!$A$3:$A$5001,"&gt;="&amp;$C$7,BD!$A$3:$A$5001,"&lt;="&amp;$B156,BD!$W$3:$W$5001,"&lt;&gt;"))))</f>
        <v/>
      </c>
      <c r="H156" s="42" t="str">
        <f>IF(OR($B156="",$A156&gt;$B$9),"",IF(COUNTIFS(BD!$B$3:$B$5001,H$138,BD!$A$3:$A$5001,"&gt;="&amp;$C$7,BD!$A$3:$A$5001,"&lt;="&amp;$B156,BD!$W$3:$W$5001,"&lt;&gt;")=0,"",SUMIFS(BD!$W$3:$W$5001,BD!$B$3:$B$5001,H$138,BD!$A$3:$A$5001,_xlfn.MAXIFS(BD!$A$3:$A$5001,BD!$B$3:$B$5001,H$138,BD!$A$3:$A$5001,"&gt;="&amp;$C$7,BD!$A$3:$A$5001,"&lt;="&amp;$B156,BD!$W$3:$W$5001,"&lt;&gt;"))))</f>
        <v/>
      </c>
      <c r="I156" s="42" t="str">
        <f>IF(OR($B156="",$A156&gt;$B$9),"",IF(COUNTIFS(BD!$B$3:$B$5001,I$138,BD!$A$3:$A$5001,"&gt;="&amp;$C$7,BD!$A$3:$A$5001,"&lt;="&amp;$B156,BD!$W$3:$W$5001,"&lt;&gt;")=0,"",SUMIFS(BD!$W$3:$W$5001,BD!$B$3:$B$5001,I$138,BD!$A$3:$A$5001,_xlfn.MAXIFS(BD!$A$3:$A$5001,BD!$B$3:$B$5001,I$138,BD!$A$3:$A$5001,"&gt;="&amp;$C$7,BD!$A$3:$A$5001,"&lt;="&amp;$B156,BD!$W$3:$W$5001,"&lt;&gt;"))))</f>
        <v/>
      </c>
      <c r="J156" s="42" t="str">
        <f>IF(OR($B156="",$A156&gt;$B$9),"",IF(COUNTIFS(BD!$B$3:$B$5001,J$138,BD!$A$3:$A$5001,"&gt;="&amp;$C$7,BD!$A$3:$A$5001,"&lt;="&amp;$B156,BD!$W$3:$W$5001,"&lt;&gt;")=0,"",SUMIFS(BD!$W$3:$W$5001,BD!$B$3:$B$5001,J$138,BD!$A$3:$A$5001,_xlfn.MAXIFS(BD!$A$3:$A$5001,BD!$B$3:$B$5001,J$138,BD!$A$3:$A$5001,"&gt;="&amp;$C$7,BD!$A$3:$A$5001,"&lt;="&amp;$B156,BD!$W$3:$W$5001,"&lt;&gt;"))))</f>
        <v/>
      </c>
      <c r="K156" s="42" t="str">
        <f>IF(OR($B156="",$A156&gt;$B$9),"",IF(COUNTIFS(BD!$B$3:$B$5001,K$138,BD!$A$3:$A$5001,"&gt;="&amp;$C$7,BD!$A$3:$A$5001,"&lt;="&amp;$B156,BD!$W$3:$W$5001,"&lt;&gt;")=0,"",SUMIFS(BD!$W$3:$W$5001,BD!$B$3:$B$5001,K$138,BD!$A$3:$A$5001,_xlfn.MAXIFS(BD!$A$3:$A$5001,BD!$B$3:$B$5001,K$138,BD!$A$3:$A$5001,"&gt;="&amp;$C$7,BD!$A$3:$A$5001,"&lt;="&amp;$B156,BD!$W$3:$W$5001,"&lt;&gt;"))))</f>
        <v/>
      </c>
    </row>
    <row r="157">
      <c r="A157" s="40">
        <v>19</v>
      </c>
      <c r="B157" s="41">
        <f>$B$30</f>
        <v>46314</v>
      </c>
      <c r="C157" s="42" t="str">
        <f>IF(OR($B157="",$A157&gt;$B$9),"",IF(COUNTIFS(BD!$B$3:$B$5001,C$138,BD!$A$3:$A$5001,"&gt;="&amp;$C$7,BD!$A$3:$A$5001,"&lt;="&amp;$B157,BD!$W$3:$W$5001,"&lt;&gt;")=0,"",SUMIFS(BD!$W$3:$W$5001,BD!$B$3:$B$5001,C$138,BD!$A$3:$A$5001,_xlfn.MAXIFS(BD!$A$3:$A$5001,BD!$B$3:$B$5001,C$138,BD!$A$3:$A$5001,"&gt;="&amp;$C$7,BD!$A$3:$A$5001,"&lt;="&amp;$B157,BD!$W$3:$W$5001,"&lt;&gt;"))))</f>
        <v/>
      </c>
      <c r="D157" s="42" t="str">
        <f>IF(OR($B157="",$A157&gt;$B$9),"",IF(COUNTIFS(BD!$B$3:$B$5001,D$138,BD!$A$3:$A$5001,"&gt;="&amp;$C$7,BD!$A$3:$A$5001,"&lt;="&amp;$B157,BD!$W$3:$W$5001,"&lt;&gt;")=0,"",SUMIFS(BD!$W$3:$W$5001,BD!$B$3:$B$5001,D$138,BD!$A$3:$A$5001,_xlfn.MAXIFS(BD!$A$3:$A$5001,BD!$B$3:$B$5001,D$138,BD!$A$3:$A$5001,"&gt;="&amp;$C$7,BD!$A$3:$A$5001,"&lt;="&amp;$B157,BD!$W$3:$W$5001,"&lt;&gt;"))))</f>
        <v/>
      </c>
      <c r="E157" s="42" t="str">
        <f>IF(OR($B157="",$A157&gt;$B$9),"",IF(COUNTIFS(BD!$B$3:$B$5001,E$138,BD!$A$3:$A$5001,"&gt;="&amp;$C$7,BD!$A$3:$A$5001,"&lt;="&amp;$B157,BD!$W$3:$W$5001,"&lt;&gt;")=0,"",SUMIFS(BD!$W$3:$W$5001,BD!$B$3:$B$5001,E$138,BD!$A$3:$A$5001,_xlfn.MAXIFS(BD!$A$3:$A$5001,BD!$B$3:$B$5001,E$138,BD!$A$3:$A$5001,"&gt;="&amp;$C$7,BD!$A$3:$A$5001,"&lt;="&amp;$B157,BD!$W$3:$W$5001,"&lt;&gt;"))))</f>
        <v/>
      </c>
      <c r="F157" s="42" t="str">
        <f>IF(OR($B157="",$A157&gt;$B$9),"",IF(COUNTIFS(BD!$B$3:$B$5001,F$138,BD!$A$3:$A$5001,"&gt;="&amp;$C$7,BD!$A$3:$A$5001,"&lt;="&amp;$B157,BD!$W$3:$W$5001,"&lt;&gt;")=0,"",SUMIFS(BD!$W$3:$W$5001,BD!$B$3:$B$5001,F$138,BD!$A$3:$A$5001,_xlfn.MAXIFS(BD!$A$3:$A$5001,BD!$B$3:$B$5001,F$138,BD!$A$3:$A$5001,"&gt;="&amp;$C$7,BD!$A$3:$A$5001,"&lt;="&amp;$B157,BD!$W$3:$W$5001,"&lt;&gt;"))))</f>
        <v/>
      </c>
      <c r="G157" s="42" t="str">
        <f>IF(OR($B157="",$A157&gt;$B$9),"",IF(COUNTIFS(BD!$B$3:$B$5001,G$138,BD!$A$3:$A$5001,"&gt;="&amp;$C$7,BD!$A$3:$A$5001,"&lt;="&amp;$B157,BD!$W$3:$W$5001,"&lt;&gt;")=0,"",SUMIFS(BD!$W$3:$W$5001,BD!$B$3:$B$5001,G$138,BD!$A$3:$A$5001,_xlfn.MAXIFS(BD!$A$3:$A$5001,BD!$B$3:$B$5001,G$138,BD!$A$3:$A$5001,"&gt;="&amp;$C$7,BD!$A$3:$A$5001,"&lt;="&amp;$B157,BD!$W$3:$W$5001,"&lt;&gt;"))))</f>
        <v/>
      </c>
      <c r="H157" s="42" t="str">
        <f>IF(OR($B157="",$A157&gt;$B$9),"",IF(COUNTIFS(BD!$B$3:$B$5001,H$138,BD!$A$3:$A$5001,"&gt;="&amp;$C$7,BD!$A$3:$A$5001,"&lt;="&amp;$B157,BD!$W$3:$W$5001,"&lt;&gt;")=0,"",SUMIFS(BD!$W$3:$W$5001,BD!$B$3:$B$5001,H$138,BD!$A$3:$A$5001,_xlfn.MAXIFS(BD!$A$3:$A$5001,BD!$B$3:$B$5001,H$138,BD!$A$3:$A$5001,"&gt;="&amp;$C$7,BD!$A$3:$A$5001,"&lt;="&amp;$B157,BD!$W$3:$W$5001,"&lt;&gt;"))))</f>
        <v/>
      </c>
      <c r="I157" s="42" t="str">
        <f>IF(OR($B157="",$A157&gt;$B$9),"",IF(COUNTIFS(BD!$B$3:$B$5001,I$138,BD!$A$3:$A$5001,"&gt;="&amp;$C$7,BD!$A$3:$A$5001,"&lt;="&amp;$B157,BD!$W$3:$W$5001,"&lt;&gt;")=0,"",SUMIFS(BD!$W$3:$W$5001,BD!$B$3:$B$5001,I$138,BD!$A$3:$A$5001,_xlfn.MAXIFS(BD!$A$3:$A$5001,BD!$B$3:$B$5001,I$138,BD!$A$3:$A$5001,"&gt;="&amp;$C$7,BD!$A$3:$A$5001,"&lt;="&amp;$B157,BD!$W$3:$W$5001,"&lt;&gt;"))))</f>
        <v/>
      </c>
      <c r="J157" s="42" t="str">
        <f>IF(OR($B157="",$A157&gt;$B$9),"",IF(COUNTIFS(BD!$B$3:$B$5001,J$138,BD!$A$3:$A$5001,"&gt;="&amp;$C$7,BD!$A$3:$A$5001,"&lt;="&amp;$B157,BD!$W$3:$W$5001,"&lt;&gt;")=0,"",SUMIFS(BD!$W$3:$W$5001,BD!$B$3:$B$5001,J$138,BD!$A$3:$A$5001,_xlfn.MAXIFS(BD!$A$3:$A$5001,BD!$B$3:$B$5001,J$138,BD!$A$3:$A$5001,"&gt;="&amp;$C$7,BD!$A$3:$A$5001,"&lt;="&amp;$B157,BD!$W$3:$W$5001,"&lt;&gt;"))))</f>
        <v/>
      </c>
      <c r="K157" s="42" t="str">
        <f>IF(OR($B157="",$A157&gt;$B$9),"",IF(COUNTIFS(BD!$B$3:$B$5001,K$138,BD!$A$3:$A$5001,"&gt;="&amp;$C$7,BD!$A$3:$A$5001,"&lt;="&amp;$B157,BD!$W$3:$W$5001,"&lt;&gt;")=0,"",SUMIFS(BD!$W$3:$W$5001,BD!$B$3:$B$5001,K$138,BD!$A$3:$A$5001,_xlfn.MAXIFS(BD!$A$3:$A$5001,BD!$B$3:$B$5001,K$138,BD!$A$3:$A$5001,"&gt;="&amp;$C$7,BD!$A$3:$A$5001,"&lt;="&amp;$B157,BD!$W$3:$W$5001,"&lt;&gt;"))))</f>
        <v/>
      </c>
    </row>
    <row r="158">
      <c r="A158" s="40">
        <v>20</v>
      </c>
      <c r="B158" s="41">
        <f>$B$31</f>
        <v>46315</v>
      </c>
      <c r="C158" s="42" t="str">
        <f>IF(OR($B158="",$A158&gt;$B$9),"",IF(COUNTIFS(BD!$B$3:$B$5001,C$138,BD!$A$3:$A$5001,"&gt;="&amp;$C$7,BD!$A$3:$A$5001,"&lt;="&amp;$B158,BD!$W$3:$W$5001,"&lt;&gt;")=0,"",SUMIFS(BD!$W$3:$W$5001,BD!$B$3:$B$5001,C$138,BD!$A$3:$A$5001,_xlfn.MAXIFS(BD!$A$3:$A$5001,BD!$B$3:$B$5001,C$138,BD!$A$3:$A$5001,"&gt;="&amp;$C$7,BD!$A$3:$A$5001,"&lt;="&amp;$B158,BD!$W$3:$W$5001,"&lt;&gt;"))))</f>
        <v/>
      </c>
      <c r="D158" s="42" t="str">
        <f>IF(OR($B158="",$A158&gt;$B$9),"",IF(COUNTIFS(BD!$B$3:$B$5001,D$138,BD!$A$3:$A$5001,"&gt;="&amp;$C$7,BD!$A$3:$A$5001,"&lt;="&amp;$B158,BD!$W$3:$W$5001,"&lt;&gt;")=0,"",SUMIFS(BD!$W$3:$W$5001,BD!$B$3:$B$5001,D$138,BD!$A$3:$A$5001,_xlfn.MAXIFS(BD!$A$3:$A$5001,BD!$B$3:$B$5001,D$138,BD!$A$3:$A$5001,"&gt;="&amp;$C$7,BD!$A$3:$A$5001,"&lt;="&amp;$B158,BD!$W$3:$W$5001,"&lt;&gt;"))))</f>
        <v/>
      </c>
      <c r="E158" s="42" t="str">
        <f>IF(OR($B158="",$A158&gt;$B$9),"",IF(COUNTIFS(BD!$B$3:$B$5001,E$138,BD!$A$3:$A$5001,"&gt;="&amp;$C$7,BD!$A$3:$A$5001,"&lt;="&amp;$B158,BD!$W$3:$W$5001,"&lt;&gt;")=0,"",SUMIFS(BD!$W$3:$W$5001,BD!$B$3:$B$5001,E$138,BD!$A$3:$A$5001,_xlfn.MAXIFS(BD!$A$3:$A$5001,BD!$B$3:$B$5001,E$138,BD!$A$3:$A$5001,"&gt;="&amp;$C$7,BD!$A$3:$A$5001,"&lt;="&amp;$B158,BD!$W$3:$W$5001,"&lt;&gt;"))))</f>
        <v/>
      </c>
      <c r="F158" s="42" t="str">
        <f>IF(OR($B158="",$A158&gt;$B$9),"",IF(COUNTIFS(BD!$B$3:$B$5001,F$138,BD!$A$3:$A$5001,"&gt;="&amp;$C$7,BD!$A$3:$A$5001,"&lt;="&amp;$B158,BD!$W$3:$W$5001,"&lt;&gt;")=0,"",SUMIFS(BD!$W$3:$W$5001,BD!$B$3:$B$5001,F$138,BD!$A$3:$A$5001,_xlfn.MAXIFS(BD!$A$3:$A$5001,BD!$B$3:$B$5001,F$138,BD!$A$3:$A$5001,"&gt;="&amp;$C$7,BD!$A$3:$A$5001,"&lt;="&amp;$B158,BD!$W$3:$W$5001,"&lt;&gt;"))))</f>
        <v/>
      </c>
      <c r="G158" s="42" t="str">
        <f>IF(OR($B158="",$A158&gt;$B$9),"",IF(COUNTIFS(BD!$B$3:$B$5001,G$138,BD!$A$3:$A$5001,"&gt;="&amp;$C$7,BD!$A$3:$A$5001,"&lt;="&amp;$B158,BD!$W$3:$W$5001,"&lt;&gt;")=0,"",SUMIFS(BD!$W$3:$W$5001,BD!$B$3:$B$5001,G$138,BD!$A$3:$A$5001,_xlfn.MAXIFS(BD!$A$3:$A$5001,BD!$B$3:$B$5001,G$138,BD!$A$3:$A$5001,"&gt;="&amp;$C$7,BD!$A$3:$A$5001,"&lt;="&amp;$B158,BD!$W$3:$W$5001,"&lt;&gt;"))))</f>
        <v/>
      </c>
      <c r="H158" s="42" t="str">
        <f>IF(OR($B158="",$A158&gt;$B$9),"",IF(COUNTIFS(BD!$B$3:$B$5001,H$138,BD!$A$3:$A$5001,"&gt;="&amp;$C$7,BD!$A$3:$A$5001,"&lt;="&amp;$B158,BD!$W$3:$W$5001,"&lt;&gt;")=0,"",SUMIFS(BD!$W$3:$W$5001,BD!$B$3:$B$5001,H$138,BD!$A$3:$A$5001,_xlfn.MAXIFS(BD!$A$3:$A$5001,BD!$B$3:$B$5001,H$138,BD!$A$3:$A$5001,"&gt;="&amp;$C$7,BD!$A$3:$A$5001,"&lt;="&amp;$B158,BD!$W$3:$W$5001,"&lt;&gt;"))))</f>
        <v/>
      </c>
      <c r="I158" s="42" t="str">
        <f>IF(OR($B158="",$A158&gt;$B$9),"",IF(COUNTIFS(BD!$B$3:$B$5001,I$138,BD!$A$3:$A$5001,"&gt;="&amp;$C$7,BD!$A$3:$A$5001,"&lt;="&amp;$B158,BD!$W$3:$W$5001,"&lt;&gt;")=0,"",SUMIFS(BD!$W$3:$W$5001,BD!$B$3:$B$5001,I$138,BD!$A$3:$A$5001,_xlfn.MAXIFS(BD!$A$3:$A$5001,BD!$B$3:$B$5001,I$138,BD!$A$3:$A$5001,"&gt;="&amp;$C$7,BD!$A$3:$A$5001,"&lt;="&amp;$B158,BD!$W$3:$W$5001,"&lt;&gt;"))))</f>
        <v/>
      </c>
      <c r="J158" s="42" t="str">
        <f>IF(OR($B158="",$A158&gt;$B$9),"",IF(COUNTIFS(BD!$B$3:$B$5001,J$138,BD!$A$3:$A$5001,"&gt;="&amp;$C$7,BD!$A$3:$A$5001,"&lt;="&amp;$B158,BD!$W$3:$W$5001,"&lt;&gt;")=0,"",SUMIFS(BD!$W$3:$W$5001,BD!$B$3:$B$5001,J$138,BD!$A$3:$A$5001,_xlfn.MAXIFS(BD!$A$3:$A$5001,BD!$B$3:$B$5001,J$138,BD!$A$3:$A$5001,"&gt;="&amp;$C$7,BD!$A$3:$A$5001,"&lt;="&amp;$B158,BD!$W$3:$W$5001,"&lt;&gt;"))))</f>
        <v/>
      </c>
      <c r="K158" s="42" t="str">
        <f>IF(OR($B158="",$A158&gt;$B$9),"",IF(COUNTIFS(BD!$B$3:$B$5001,K$138,BD!$A$3:$A$5001,"&gt;="&amp;$C$7,BD!$A$3:$A$5001,"&lt;="&amp;$B158,BD!$W$3:$W$5001,"&lt;&gt;")=0,"",SUMIFS(BD!$W$3:$W$5001,BD!$B$3:$B$5001,K$138,BD!$A$3:$A$5001,_xlfn.MAXIFS(BD!$A$3:$A$5001,BD!$B$3:$B$5001,K$138,BD!$A$3:$A$5001,"&gt;="&amp;$C$7,BD!$A$3:$A$5001,"&lt;="&amp;$B158,BD!$W$3:$W$5001,"&lt;&gt;"))))</f>
        <v/>
      </c>
    </row>
    <row r="159">
      <c r="A159" s="40">
        <v>21</v>
      </c>
      <c r="B159" s="41">
        <f>$B$32</f>
        <v>46316</v>
      </c>
      <c r="C159" s="42" t="str">
        <f>IF(OR($B159="",$A159&gt;$B$9),"",IF(COUNTIFS(BD!$B$3:$B$5001,C$138,BD!$A$3:$A$5001,"&gt;="&amp;$C$7,BD!$A$3:$A$5001,"&lt;="&amp;$B159,BD!$W$3:$W$5001,"&lt;&gt;")=0,"",SUMIFS(BD!$W$3:$W$5001,BD!$B$3:$B$5001,C$138,BD!$A$3:$A$5001,_xlfn.MAXIFS(BD!$A$3:$A$5001,BD!$B$3:$B$5001,C$138,BD!$A$3:$A$5001,"&gt;="&amp;$C$7,BD!$A$3:$A$5001,"&lt;="&amp;$B159,BD!$W$3:$W$5001,"&lt;&gt;"))))</f>
        <v/>
      </c>
      <c r="D159" s="42" t="str">
        <f>IF(OR($B159="",$A159&gt;$B$9),"",IF(COUNTIFS(BD!$B$3:$B$5001,D$138,BD!$A$3:$A$5001,"&gt;="&amp;$C$7,BD!$A$3:$A$5001,"&lt;="&amp;$B159,BD!$W$3:$W$5001,"&lt;&gt;")=0,"",SUMIFS(BD!$W$3:$W$5001,BD!$B$3:$B$5001,D$138,BD!$A$3:$A$5001,_xlfn.MAXIFS(BD!$A$3:$A$5001,BD!$B$3:$B$5001,D$138,BD!$A$3:$A$5001,"&gt;="&amp;$C$7,BD!$A$3:$A$5001,"&lt;="&amp;$B159,BD!$W$3:$W$5001,"&lt;&gt;"))))</f>
        <v/>
      </c>
      <c r="E159" s="42" t="str">
        <f>IF(OR($B159="",$A159&gt;$B$9),"",IF(COUNTIFS(BD!$B$3:$B$5001,E$138,BD!$A$3:$A$5001,"&gt;="&amp;$C$7,BD!$A$3:$A$5001,"&lt;="&amp;$B159,BD!$W$3:$W$5001,"&lt;&gt;")=0,"",SUMIFS(BD!$W$3:$W$5001,BD!$B$3:$B$5001,E$138,BD!$A$3:$A$5001,_xlfn.MAXIFS(BD!$A$3:$A$5001,BD!$B$3:$B$5001,E$138,BD!$A$3:$A$5001,"&gt;="&amp;$C$7,BD!$A$3:$A$5001,"&lt;="&amp;$B159,BD!$W$3:$W$5001,"&lt;&gt;"))))</f>
        <v/>
      </c>
      <c r="F159" s="42" t="str">
        <f>IF(OR($B159="",$A159&gt;$B$9),"",IF(COUNTIFS(BD!$B$3:$B$5001,F$138,BD!$A$3:$A$5001,"&gt;="&amp;$C$7,BD!$A$3:$A$5001,"&lt;="&amp;$B159,BD!$W$3:$W$5001,"&lt;&gt;")=0,"",SUMIFS(BD!$W$3:$W$5001,BD!$B$3:$B$5001,F$138,BD!$A$3:$A$5001,_xlfn.MAXIFS(BD!$A$3:$A$5001,BD!$B$3:$B$5001,F$138,BD!$A$3:$A$5001,"&gt;="&amp;$C$7,BD!$A$3:$A$5001,"&lt;="&amp;$B159,BD!$W$3:$W$5001,"&lt;&gt;"))))</f>
        <v/>
      </c>
      <c r="G159" s="42" t="str">
        <f>IF(OR($B159="",$A159&gt;$B$9),"",IF(COUNTIFS(BD!$B$3:$B$5001,G$138,BD!$A$3:$A$5001,"&gt;="&amp;$C$7,BD!$A$3:$A$5001,"&lt;="&amp;$B159,BD!$W$3:$W$5001,"&lt;&gt;")=0,"",SUMIFS(BD!$W$3:$W$5001,BD!$B$3:$B$5001,G$138,BD!$A$3:$A$5001,_xlfn.MAXIFS(BD!$A$3:$A$5001,BD!$B$3:$B$5001,G$138,BD!$A$3:$A$5001,"&gt;="&amp;$C$7,BD!$A$3:$A$5001,"&lt;="&amp;$B159,BD!$W$3:$W$5001,"&lt;&gt;"))))</f>
        <v/>
      </c>
      <c r="H159" s="42" t="str">
        <f>IF(OR($B159="",$A159&gt;$B$9),"",IF(COUNTIFS(BD!$B$3:$B$5001,H$138,BD!$A$3:$A$5001,"&gt;="&amp;$C$7,BD!$A$3:$A$5001,"&lt;="&amp;$B159,BD!$W$3:$W$5001,"&lt;&gt;")=0,"",SUMIFS(BD!$W$3:$W$5001,BD!$B$3:$B$5001,H$138,BD!$A$3:$A$5001,_xlfn.MAXIFS(BD!$A$3:$A$5001,BD!$B$3:$B$5001,H$138,BD!$A$3:$A$5001,"&gt;="&amp;$C$7,BD!$A$3:$A$5001,"&lt;="&amp;$B159,BD!$W$3:$W$5001,"&lt;&gt;"))))</f>
        <v/>
      </c>
      <c r="I159" s="42" t="str">
        <f>IF(OR($B159="",$A159&gt;$B$9),"",IF(COUNTIFS(BD!$B$3:$B$5001,I$138,BD!$A$3:$A$5001,"&gt;="&amp;$C$7,BD!$A$3:$A$5001,"&lt;="&amp;$B159,BD!$W$3:$W$5001,"&lt;&gt;")=0,"",SUMIFS(BD!$W$3:$W$5001,BD!$B$3:$B$5001,I$138,BD!$A$3:$A$5001,_xlfn.MAXIFS(BD!$A$3:$A$5001,BD!$B$3:$B$5001,I$138,BD!$A$3:$A$5001,"&gt;="&amp;$C$7,BD!$A$3:$A$5001,"&lt;="&amp;$B159,BD!$W$3:$W$5001,"&lt;&gt;"))))</f>
        <v/>
      </c>
      <c r="J159" s="42" t="str">
        <f>IF(OR($B159="",$A159&gt;$B$9),"",IF(COUNTIFS(BD!$B$3:$B$5001,J$138,BD!$A$3:$A$5001,"&gt;="&amp;$C$7,BD!$A$3:$A$5001,"&lt;="&amp;$B159,BD!$W$3:$W$5001,"&lt;&gt;")=0,"",SUMIFS(BD!$W$3:$W$5001,BD!$B$3:$B$5001,J$138,BD!$A$3:$A$5001,_xlfn.MAXIFS(BD!$A$3:$A$5001,BD!$B$3:$B$5001,J$138,BD!$A$3:$A$5001,"&gt;="&amp;$C$7,BD!$A$3:$A$5001,"&lt;="&amp;$B159,BD!$W$3:$W$5001,"&lt;&gt;"))))</f>
        <v/>
      </c>
      <c r="K159" s="42" t="str">
        <f>IF(OR($B159="",$A159&gt;$B$9),"",IF(COUNTIFS(BD!$B$3:$B$5001,K$138,BD!$A$3:$A$5001,"&gt;="&amp;$C$7,BD!$A$3:$A$5001,"&lt;="&amp;$B159,BD!$W$3:$W$5001,"&lt;&gt;")=0,"",SUMIFS(BD!$W$3:$W$5001,BD!$B$3:$B$5001,K$138,BD!$A$3:$A$5001,_xlfn.MAXIFS(BD!$A$3:$A$5001,BD!$B$3:$B$5001,K$138,BD!$A$3:$A$5001,"&gt;="&amp;$C$7,BD!$A$3:$A$5001,"&lt;="&amp;$B159,BD!$W$3:$W$5001,"&lt;&gt;"))))</f>
        <v/>
      </c>
    </row>
    <row r="160">
      <c r="A160" s="40">
        <v>22</v>
      </c>
      <c r="B160" s="41">
        <f>$B$33</f>
        <v>46317</v>
      </c>
      <c r="C160" s="42" t="str">
        <f>IF(OR($B160="",$A160&gt;$B$9),"",IF(COUNTIFS(BD!$B$3:$B$5001,C$138,BD!$A$3:$A$5001,"&gt;="&amp;$C$7,BD!$A$3:$A$5001,"&lt;="&amp;$B160,BD!$W$3:$W$5001,"&lt;&gt;")=0,"",SUMIFS(BD!$W$3:$W$5001,BD!$B$3:$B$5001,C$138,BD!$A$3:$A$5001,_xlfn.MAXIFS(BD!$A$3:$A$5001,BD!$B$3:$B$5001,C$138,BD!$A$3:$A$5001,"&gt;="&amp;$C$7,BD!$A$3:$A$5001,"&lt;="&amp;$B160,BD!$W$3:$W$5001,"&lt;&gt;"))))</f>
        <v/>
      </c>
      <c r="D160" s="42" t="str">
        <f>IF(OR($B160="",$A160&gt;$B$9),"",IF(COUNTIFS(BD!$B$3:$B$5001,D$138,BD!$A$3:$A$5001,"&gt;="&amp;$C$7,BD!$A$3:$A$5001,"&lt;="&amp;$B160,BD!$W$3:$W$5001,"&lt;&gt;")=0,"",SUMIFS(BD!$W$3:$W$5001,BD!$B$3:$B$5001,D$138,BD!$A$3:$A$5001,_xlfn.MAXIFS(BD!$A$3:$A$5001,BD!$B$3:$B$5001,D$138,BD!$A$3:$A$5001,"&gt;="&amp;$C$7,BD!$A$3:$A$5001,"&lt;="&amp;$B160,BD!$W$3:$W$5001,"&lt;&gt;"))))</f>
        <v/>
      </c>
      <c r="E160" s="42" t="str">
        <f>IF(OR($B160="",$A160&gt;$B$9),"",IF(COUNTIFS(BD!$B$3:$B$5001,E$138,BD!$A$3:$A$5001,"&gt;="&amp;$C$7,BD!$A$3:$A$5001,"&lt;="&amp;$B160,BD!$W$3:$W$5001,"&lt;&gt;")=0,"",SUMIFS(BD!$W$3:$W$5001,BD!$B$3:$B$5001,E$138,BD!$A$3:$A$5001,_xlfn.MAXIFS(BD!$A$3:$A$5001,BD!$B$3:$B$5001,E$138,BD!$A$3:$A$5001,"&gt;="&amp;$C$7,BD!$A$3:$A$5001,"&lt;="&amp;$B160,BD!$W$3:$W$5001,"&lt;&gt;"))))</f>
        <v/>
      </c>
      <c r="F160" s="42" t="str">
        <f>IF(OR($B160="",$A160&gt;$B$9),"",IF(COUNTIFS(BD!$B$3:$B$5001,F$138,BD!$A$3:$A$5001,"&gt;="&amp;$C$7,BD!$A$3:$A$5001,"&lt;="&amp;$B160,BD!$W$3:$W$5001,"&lt;&gt;")=0,"",SUMIFS(BD!$W$3:$W$5001,BD!$B$3:$B$5001,F$138,BD!$A$3:$A$5001,_xlfn.MAXIFS(BD!$A$3:$A$5001,BD!$B$3:$B$5001,F$138,BD!$A$3:$A$5001,"&gt;="&amp;$C$7,BD!$A$3:$A$5001,"&lt;="&amp;$B160,BD!$W$3:$W$5001,"&lt;&gt;"))))</f>
        <v/>
      </c>
      <c r="G160" s="42" t="str">
        <f>IF(OR($B160="",$A160&gt;$B$9),"",IF(COUNTIFS(BD!$B$3:$B$5001,G$138,BD!$A$3:$A$5001,"&gt;="&amp;$C$7,BD!$A$3:$A$5001,"&lt;="&amp;$B160,BD!$W$3:$W$5001,"&lt;&gt;")=0,"",SUMIFS(BD!$W$3:$W$5001,BD!$B$3:$B$5001,G$138,BD!$A$3:$A$5001,_xlfn.MAXIFS(BD!$A$3:$A$5001,BD!$B$3:$B$5001,G$138,BD!$A$3:$A$5001,"&gt;="&amp;$C$7,BD!$A$3:$A$5001,"&lt;="&amp;$B160,BD!$W$3:$W$5001,"&lt;&gt;"))))</f>
        <v/>
      </c>
      <c r="H160" s="42" t="str">
        <f>IF(OR($B160="",$A160&gt;$B$9),"",IF(COUNTIFS(BD!$B$3:$B$5001,H$138,BD!$A$3:$A$5001,"&gt;="&amp;$C$7,BD!$A$3:$A$5001,"&lt;="&amp;$B160,BD!$W$3:$W$5001,"&lt;&gt;")=0,"",SUMIFS(BD!$W$3:$W$5001,BD!$B$3:$B$5001,H$138,BD!$A$3:$A$5001,_xlfn.MAXIFS(BD!$A$3:$A$5001,BD!$B$3:$B$5001,H$138,BD!$A$3:$A$5001,"&gt;="&amp;$C$7,BD!$A$3:$A$5001,"&lt;="&amp;$B160,BD!$W$3:$W$5001,"&lt;&gt;"))))</f>
        <v/>
      </c>
      <c r="I160" s="42" t="str">
        <f>IF(OR($B160="",$A160&gt;$B$9),"",IF(COUNTIFS(BD!$B$3:$B$5001,I$138,BD!$A$3:$A$5001,"&gt;="&amp;$C$7,BD!$A$3:$A$5001,"&lt;="&amp;$B160,BD!$W$3:$W$5001,"&lt;&gt;")=0,"",SUMIFS(BD!$W$3:$W$5001,BD!$B$3:$B$5001,I$138,BD!$A$3:$A$5001,_xlfn.MAXIFS(BD!$A$3:$A$5001,BD!$B$3:$B$5001,I$138,BD!$A$3:$A$5001,"&gt;="&amp;$C$7,BD!$A$3:$A$5001,"&lt;="&amp;$B160,BD!$W$3:$W$5001,"&lt;&gt;"))))</f>
        <v/>
      </c>
      <c r="J160" s="42" t="str">
        <f>IF(OR($B160="",$A160&gt;$B$9),"",IF(COUNTIFS(BD!$B$3:$B$5001,J$138,BD!$A$3:$A$5001,"&gt;="&amp;$C$7,BD!$A$3:$A$5001,"&lt;="&amp;$B160,BD!$W$3:$W$5001,"&lt;&gt;")=0,"",SUMIFS(BD!$W$3:$W$5001,BD!$B$3:$B$5001,J$138,BD!$A$3:$A$5001,_xlfn.MAXIFS(BD!$A$3:$A$5001,BD!$B$3:$B$5001,J$138,BD!$A$3:$A$5001,"&gt;="&amp;$C$7,BD!$A$3:$A$5001,"&lt;="&amp;$B160,BD!$W$3:$W$5001,"&lt;&gt;"))))</f>
        <v/>
      </c>
      <c r="K160" s="42" t="str">
        <f>IF(OR($B160="",$A160&gt;$B$9),"",IF(COUNTIFS(BD!$B$3:$B$5001,K$138,BD!$A$3:$A$5001,"&gt;="&amp;$C$7,BD!$A$3:$A$5001,"&lt;="&amp;$B160,BD!$W$3:$W$5001,"&lt;&gt;")=0,"",SUMIFS(BD!$W$3:$W$5001,BD!$B$3:$B$5001,K$138,BD!$A$3:$A$5001,_xlfn.MAXIFS(BD!$A$3:$A$5001,BD!$B$3:$B$5001,K$138,BD!$A$3:$A$5001,"&gt;="&amp;$C$7,BD!$A$3:$A$5001,"&lt;="&amp;$B160,BD!$W$3:$W$5001,"&lt;&gt;"))))</f>
        <v/>
      </c>
    </row>
    <row r="161">
      <c r="A161" s="40">
        <v>23</v>
      </c>
      <c r="B161" s="41">
        <f>$B$34</f>
        <v>46318</v>
      </c>
      <c r="C161" s="42" t="str">
        <f>IF(OR($B161="",$A161&gt;$B$9),"",IF(COUNTIFS(BD!$B$3:$B$5001,C$138,BD!$A$3:$A$5001,"&gt;="&amp;$C$7,BD!$A$3:$A$5001,"&lt;="&amp;$B161,BD!$W$3:$W$5001,"&lt;&gt;")=0,"",SUMIFS(BD!$W$3:$W$5001,BD!$B$3:$B$5001,C$138,BD!$A$3:$A$5001,_xlfn.MAXIFS(BD!$A$3:$A$5001,BD!$B$3:$B$5001,C$138,BD!$A$3:$A$5001,"&gt;="&amp;$C$7,BD!$A$3:$A$5001,"&lt;="&amp;$B161,BD!$W$3:$W$5001,"&lt;&gt;"))))</f>
        <v/>
      </c>
      <c r="D161" s="42" t="str">
        <f>IF(OR($B161="",$A161&gt;$B$9),"",IF(COUNTIFS(BD!$B$3:$B$5001,D$138,BD!$A$3:$A$5001,"&gt;="&amp;$C$7,BD!$A$3:$A$5001,"&lt;="&amp;$B161,BD!$W$3:$W$5001,"&lt;&gt;")=0,"",SUMIFS(BD!$W$3:$W$5001,BD!$B$3:$B$5001,D$138,BD!$A$3:$A$5001,_xlfn.MAXIFS(BD!$A$3:$A$5001,BD!$B$3:$B$5001,D$138,BD!$A$3:$A$5001,"&gt;="&amp;$C$7,BD!$A$3:$A$5001,"&lt;="&amp;$B161,BD!$W$3:$W$5001,"&lt;&gt;"))))</f>
        <v/>
      </c>
      <c r="E161" s="42" t="str">
        <f>IF(OR($B161="",$A161&gt;$B$9),"",IF(COUNTIFS(BD!$B$3:$B$5001,E$138,BD!$A$3:$A$5001,"&gt;="&amp;$C$7,BD!$A$3:$A$5001,"&lt;="&amp;$B161,BD!$W$3:$W$5001,"&lt;&gt;")=0,"",SUMIFS(BD!$W$3:$W$5001,BD!$B$3:$B$5001,E$138,BD!$A$3:$A$5001,_xlfn.MAXIFS(BD!$A$3:$A$5001,BD!$B$3:$B$5001,E$138,BD!$A$3:$A$5001,"&gt;="&amp;$C$7,BD!$A$3:$A$5001,"&lt;="&amp;$B161,BD!$W$3:$W$5001,"&lt;&gt;"))))</f>
        <v/>
      </c>
      <c r="F161" s="42" t="str">
        <f>IF(OR($B161="",$A161&gt;$B$9),"",IF(COUNTIFS(BD!$B$3:$B$5001,F$138,BD!$A$3:$A$5001,"&gt;="&amp;$C$7,BD!$A$3:$A$5001,"&lt;="&amp;$B161,BD!$W$3:$W$5001,"&lt;&gt;")=0,"",SUMIFS(BD!$W$3:$W$5001,BD!$B$3:$B$5001,F$138,BD!$A$3:$A$5001,_xlfn.MAXIFS(BD!$A$3:$A$5001,BD!$B$3:$B$5001,F$138,BD!$A$3:$A$5001,"&gt;="&amp;$C$7,BD!$A$3:$A$5001,"&lt;="&amp;$B161,BD!$W$3:$W$5001,"&lt;&gt;"))))</f>
        <v/>
      </c>
      <c r="G161" s="42" t="str">
        <f>IF(OR($B161="",$A161&gt;$B$9),"",IF(COUNTIFS(BD!$B$3:$B$5001,G$138,BD!$A$3:$A$5001,"&gt;="&amp;$C$7,BD!$A$3:$A$5001,"&lt;="&amp;$B161,BD!$W$3:$W$5001,"&lt;&gt;")=0,"",SUMIFS(BD!$W$3:$W$5001,BD!$B$3:$B$5001,G$138,BD!$A$3:$A$5001,_xlfn.MAXIFS(BD!$A$3:$A$5001,BD!$B$3:$B$5001,G$138,BD!$A$3:$A$5001,"&gt;="&amp;$C$7,BD!$A$3:$A$5001,"&lt;="&amp;$B161,BD!$W$3:$W$5001,"&lt;&gt;"))))</f>
        <v/>
      </c>
      <c r="H161" s="42" t="str">
        <f>IF(OR($B161="",$A161&gt;$B$9),"",IF(COUNTIFS(BD!$B$3:$B$5001,H$138,BD!$A$3:$A$5001,"&gt;="&amp;$C$7,BD!$A$3:$A$5001,"&lt;="&amp;$B161,BD!$W$3:$W$5001,"&lt;&gt;")=0,"",SUMIFS(BD!$W$3:$W$5001,BD!$B$3:$B$5001,H$138,BD!$A$3:$A$5001,_xlfn.MAXIFS(BD!$A$3:$A$5001,BD!$B$3:$B$5001,H$138,BD!$A$3:$A$5001,"&gt;="&amp;$C$7,BD!$A$3:$A$5001,"&lt;="&amp;$B161,BD!$W$3:$W$5001,"&lt;&gt;"))))</f>
        <v/>
      </c>
      <c r="I161" s="42" t="str">
        <f>IF(OR($B161="",$A161&gt;$B$9),"",IF(COUNTIFS(BD!$B$3:$B$5001,I$138,BD!$A$3:$A$5001,"&gt;="&amp;$C$7,BD!$A$3:$A$5001,"&lt;="&amp;$B161,BD!$W$3:$W$5001,"&lt;&gt;")=0,"",SUMIFS(BD!$W$3:$W$5001,BD!$B$3:$B$5001,I$138,BD!$A$3:$A$5001,_xlfn.MAXIFS(BD!$A$3:$A$5001,BD!$B$3:$B$5001,I$138,BD!$A$3:$A$5001,"&gt;="&amp;$C$7,BD!$A$3:$A$5001,"&lt;="&amp;$B161,BD!$W$3:$W$5001,"&lt;&gt;"))))</f>
        <v/>
      </c>
      <c r="J161" s="42" t="str">
        <f>IF(OR($B161="",$A161&gt;$B$9),"",IF(COUNTIFS(BD!$B$3:$B$5001,J$138,BD!$A$3:$A$5001,"&gt;="&amp;$C$7,BD!$A$3:$A$5001,"&lt;="&amp;$B161,BD!$W$3:$W$5001,"&lt;&gt;")=0,"",SUMIFS(BD!$W$3:$W$5001,BD!$B$3:$B$5001,J$138,BD!$A$3:$A$5001,_xlfn.MAXIFS(BD!$A$3:$A$5001,BD!$B$3:$B$5001,J$138,BD!$A$3:$A$5001,"&gt;="&amp;$C$7,BD!$A$3:$A$5001,"&lt;="&amp;$B161,BD!$W$3:$W$5001,"&lt;&gt;"))))</f>
        <v/>
      </c>
      <c r="K161" s="42" t="str">
        <f>IF(OR($B161="",$A161&gt;$B$9),"",IF(COUNTIFS(BD!$B$3:$B$5001,K$138,BD!$A$3:$A$5001,"&gt;="&amp;$C$7,BD!$A$3:$A$5001,"&lt;="&amp;$B161,BD!$W$3:$W$5001,"&lt;&gt;")=0,"",SUMIFS(BD!$W$3:$W$5001,BD!$B$3:$B$5001,K$138,BD!$A$3:$A$5001,_xlfn.MAXIFS(BD!$A$3:$A$5001,BD!$B$3:$B$5001,K$138,BD!$A$3:$A$5001,"&gt;="&amp;$C$7,BD!$A$3:$A$5001,"&lt;="&amp;$B161,BD!$W$3:$W$5001,"&lt;&gt;"))))</f>
        <v/>
      </c>
    </row>
    <row r="162">
      <c r="A162" s="40">
        <v>24</v>
      </c>
      <c r="B162" s="41">
        <f>$B$35</f>
        <v>46319</v>
      </c>
      <c r="C162" s="42" t="str">
        <f>IF(OR($B162="",$A162&gt;$B$9),"",IF(COUNTIFS(BD!$B$3:$B$5001,C$138,BD!$A$3:$A$5001,"&gt;="&amp;$C$7,BD!$A$3:$A$5001,"&lt;="&amp;$B162,BD!$W$3:$W$5001,"&lt;&gt;")=0,"",SUMIFS(BD!$W$3:$W$5001,BD!$B$3:$B$5001,C$138,BD!$A$3:$A$5001,_xlfn.MAXIFS(BD!$A$3:$A$5001,BD!$B$3:$B$5001,C$138,BD!$A$3:$A$5001,"&gt;="&amp;$C$7,BD!$A$3:$A$5001,"&lt;="&amp;$B162,BD!$W$3:$W$5001,"&lt;&gt;"))))</f>
        <v/>
      </c>
      <c r="D162" s="42" t="str">
        <f>IF(OR($B162="",$A162&gt;$B$9),"",IF(COUNTIFS(BD!$B$3:$B$5001,D$138,BD!$A$3:$A$5001,"&gt;="&amp;$C$7,BD!$A$3:$A$5001,"&lt;="&amp;$B162,BD!$W$3:$W$5001,"&lt;&gt;")=0,"",SUMIFS(BD!$W$3:$W$5001,BD!$B$3:$B$5001,D$138,BD!$A$3:$A$5001,_xlfn.MAXIFS(BD!$A$3:$A$5001,BD!$B$3:$B$5001,D$138,BD!$A$3:$A$5001,"&gt;="&amp;$C$7,BD!$A$3:$A$5001,"&lt;="&amp;$B162,BD!$W$3:$W$5001,"&lt;&gt;"))))</f>
        <v/>
      </c>
      <c r="E162" s="42" t="str">
        <f>IF(OR($B162="",$A162&gt;$B$9),"",IF(COUNTIFS(BD!$B$3:$B$5001,E$138,BD!$A$3:$A$5001,"&gt;="&amp;$C$7,BD!$A$3:$A$5001,"&lt;="&amp;$B162,BD!$W$3:$W$5001,"&lt;&gt;")=0,"",SUMIFS(BD!$W$3:$W$5001,BD!$B$3:$B$5001,E$138,BD!$A$3:$A$5001,_xlfn.MAXIFS(BD!$A$3:$A$5001,BD!$B$3:$B$5001,E$138,BD!$A$3:$A$5001,"&gt;="&amp;$C$7,BD!$A$3:$A$5001,"&lt;="&amp;$B162,BD!$W$3:$W$5001,"&lt;&gt;"))))</f>
        <v/>
      </c>
      <c r="F162" s="42" t="str">
        <f>IF(OR($B162="",$A162&gt;$B$9),"",IF(COUNTIFS(BD!$B$3:$B$5001,F$138,BD!$A$3:$A$5001,"&gt;="&amp;$C$7,BD!$A$3:$A$5001,"&lt;="&amp;$B162,BD!$W$3:$W$5001,"&lt;&gt;")=0,"",SUMIFS(BD!$W$3:$W$5001,BD!$B$3:$B$5001,F$138,BD!$A$3:$A$5001,_xlfn.MAXIFS(BD!$A$3:$A$5001,BD!$B$3:$B$5001,F$138,BD!$A$3:$A$5001,"&gt;="&amp;$C$7,BD!$A$3:$A$5001,"&lt;="&amp;$B162,BD!$W$3:$W$5001,"&lt;&gt;"))))</f>
        <v/>
      </c>
      <c r="G162" s="42" t="str">
        <f>IF(OR($B162="",$A162&gt;$B$9),"",IF(COUNTIFS(BD!$B$3:$B$5001,G$138,BD!$A$3:$A$5001,"&gt;="&amp;$C$7,BD!$A$3:$A$5001,"&lt;="&amp;$B162,BD!$W$3:$W$5001,"&lt;&gt;")=0,"",SUMIFS(BD!$W$3:$W$5001,BD!$B$3:$B$5001,G$138,BD!$A$3:$A$5001,_xlfn.MAXIFS(BD!$A$3:$A$5001,BD!$B$3:$B$5001,G$138,BD!$A$3:$A$5001,"&gt;="&amp;$C$7,BD!$A$3:$A$5001,"&lt;="&amp;$B162,BD!$W$3:$W$5001,"&lt;&gt;"))))</f>
        <v/>
      </c>
      <c r="H162" s="42" t="str">
        <f>IF(OR($B162="",$A162&gt;$B$9),"",IF(COUNTIFS(BD!$B$3:$B$5001,H$138,BD!$A$3:$A$5001,"&gt;="&amp;$C$7,BD!$A$3:$A$5001,"&lt;="&amp;$B162,BD!$W$3:$W$5001,"&lt;&gt;")=0,"",SUMIFS(BD!$W$3:$W$5001,BD!$B$3:$B$5001,H$138,BD!$A$3:$A$5001,_xlfn.MAXIFS(BD!$A$3:$A$5001,BD!$B$3:$B$5001,H$138,BD!$A$3:$A$5001,"&gt;="&amp;$C$7,BD!$A$3:$A$5001,"&lt;="&amp;$B162,BD!$W$3:$W$5001,"&lt;&gt;"))))</f>
        <v/>
      </c>
      <c r="I162" s="42" t="str">
        <f>IF(OR($B162="",$A162&gt;$B$9),"",IF(COUNTIFS(BD!$B$3:$B$5001,I$138,BD!$A$3:$A$5001,"&gt;="&amp;$C$7,BD!$A$3:$A$5001,"&lt;="&amp;$B162,BD!$W$3:$W$5001,"&lt;&gt;")=0,"",SUMIFS(BD!$W$3:$W$5001,BD!$B$3:$B$5001,I$138,BD!$A$3:$A$5001,_xlfn.MAXIFS(BD!$A$3:$A$5001,BD!$B$3:$B$5001,I$138,BD!$A$3:$A$5001,"&gt;="&amp;$C$7,BD!$A$3:$A$5001,"&lt;="&amp;$B162,BD!$W$3:$W$5001,"&lt;&gt;"))))</f>
        <v/>
      </c>
      <c r="J162" s="42" t="str">
        <f>IF(OR($B162="",$A162&gt;$B$9),"",IF(COUNTIFS(BD!$B$3:$B$5001,J$138,BD!$A$3:$A$5001,"&gt;="&amp;$C$7,BD!$A$3:$A$5001,"&lt;="&amp;$B162,BD!$W$3:$W$5001,"&lt;&gt;")=0,"",SUMIFS(BD!$W$3:$W$5001,BD!$B$3:$B$5001,J$138,BD!$A$3:$A$5001,_xlfn.MAXIFS(BD!$A$3:$A$5001,BD!$B$3:$B$5001,J$138,BD!$A$3:$A$5001,"&gt;="&amp;$C$7,BD!$A$3:$A$5001,"&lt;="&amp;$B162,BD!$W$3:$W$5001,"&lt;&gt;"))))</f>
        <v/>
      </c>
      <c r="K162" s="42" t="str">
        <f>IF(OR($B162="",$A162&gt;$B$9),"",IF(COUNTIFS(BD!$B$3:$B$5001,K$138,BD!$A$3:$A$5001,"&gt;="&amp;$C$7,BD!$A$3:$A$5001,"&lt;="&amp;$B162,BD!$W$3:$W$5001,"&lt;&gt;")=0,"",SUMIFS(BD!$W$3:$W$5001,BD!$B$3:$B$5001,K$138,BD!$A$3:$A$5001,_xlfn.MAXIFS(BD!$A$3:$A$5001,BD!$B$3:$B$5001,K$138,BD!$A$3:$A$5001,"&gt;="&amp;$C$7,BD!$A$3:$A$5001,"&lt;="&amp;$B162,BD!$W$3:$W$5001,"&lt;&gt;"))))</f>
        <v/>
      </c>
    </row>
    <row r="163">
      <c r="A163" s="40">
        <v>25</v>
      </c>
      <c r="B163" s="41">
        <f>$B$36</f>
        <v>46320</v>
      </c>
      <c r="C163" s="42" t="str">
        <f>IF(OR($B163="",$A163&gt;$B$9),"",IF(COUNTIFS(BD!$B$3:$B$5001,C$138,BD!$A$3:$A$5001,"&gt;="&amp;$C$7,BD!$A$3:$A$5001,"&lt;="&amp;$B163,BD!$W$3:$W$5001,"&lt;&gt;")=0,"",SUMIFS(BD!$W$3:$W$5001,BD!$B$3:$B$5001,C$138,BD!$A$3:$A$5001,_xlfn.MAXIFS(BD!$A$3:$A$5001,BD!$B$3:$B$5001,C$138,BD!$A$3:$A$5001,"&gt;="&amp;$C$7,BD!$A$3:$A$5001,"&lt;="&amp;$B163,BD!$W$3:$W$5001,"&lt;&gt;"))))</f>
        <v/>
      </c>
      <c r="D163" s="42" t="str">
        <f>IF(OR($B163="",$A163&gt;$B$9),"",IF(COUNTIFS(BD!$B$3:$B$5001,D$138,BD!$A$3:$A$5001,"&gt;="&amp;$C$7,BD!$A$3:$A$5001,"&lt;="&amp;$B163,BD!$W$3:$W$5001,"&lt;&gt;")=0,"",SUMIFS(BD!$W$3:$W$5001,BD!$B$3:$B$5001,D$138,BD!$A$3:$A$5001,_xlfn.MAXIFS(BD!$A$3:$A$5001,BD!$B$3:$B$5001,D$138,BD!$A$3:$A$5001,"&gt;="&amp;$C$7,BD!$A$3:$A$5001,"&lt;="&amp;$B163,BD!$W$3:$W$5001,"&lt;&gt;"))))</f>
        <v/>
      </c>
      <c r="E163" s="42" t="str">
        <f>IF(OR($B163="",$A163&gt;$B$9),"",IF(COUNTIFS(BD!$B$3:$B$5001,E$138,BD!$A$3:$A$5001,"&gt;="&amp;$C$7,BD!$A$3:$A$5001,"&lt;="&amp;$B163,BD!$W$3:$W$5001,"&lt;&gt;")=0,"",SUMIFS(BD!$W$3:$W$5001,BD!$B$3:$B$5001,E$138,BD!$A$3:$A$5001,_xlfn.MAXIFS(BD!$A$3:$A$5001,BD!$B$3:$B$5001,E$138,BD!$A$3:$A$5001,"&gt;="&amp;$C$7,BD!$A$3:$A$5001,"&lt;="&amp;$B163,BD!$W$3:$W$5001,"&lt;&gt;"))))</f>
        <v/>
      </c>
      <c r="F163" s="42" t="str">
        <f>IF(OR($B163="",$A163&gt;$B$9),"",IF(COUNTIFS(BD!$B$3:$B$5001,F$138,BD!$A$3:$A$5001,"&gt;="&amp;$C$7,BD!$A$3:$A$5001,"&lt;="&amp;$B163,BD!$W$3:$W$5001,"&lt;&gt;")=0,"",SUMIFS(BD!$W$3:$W$5001,BD!$B$3:$B$5001,F$138,BD!$A$3:$A$5001,_xlfn.MAXIFS(BD!$A$3:$A$5001,BD!$B$3:$B$5001,F$138,BD!$A$3:$A$5001,"&gt;="&amp;$C$7,BD!$A$3:$A$5001,"&lt;="&amp;$B163,BD!$W$3:$W$5001,"&lt;&gt;"))))</f>
        <v/>
      </c>
      <c r="G163" s="42" t="str">
        <f>IF(OR($B163="",$A163&gt;$B$9),"",IF(COUNTIFS(BD!$B$3:$B$5001,G$138,BD!$A$3:$A$5001,"&gt;="&amp;$C$7,BD!$A$3:$A$5001,"&lt;="&amp;$B163,BD!$W$3:$W$5001,"&lt;&gt;")=0,"",SUMIFS(BD!$W$3:$W$5001,BD!$B$3:$B$5001,G$138,BD!$A$3:$A$5001,_xlfn.MAXIFS(BD!$A$3:$A$5001,BD!$B$3:$B$5001,G$138,BD!$A$3:$A$5001,"&gt;="&amp;$C$7,BD!$A$3:$A$5001,"&lt;="&amp;$B163,BD!$W$3:$W$5001,"&lt;&gt;"))))</f>
        <v/>
      </c>
      <c r="H163" s="42" t="str">
        <f>IF(OR($B163="",$A163&gt;$B$9),"",IF(COUNTIFS(BD!$B$3:$B$5001,H$138,BD!$A$3:$A$5001,"&gt;="&amp;$C$7,BD!$A$3:$A$5001,"&lt;="&amp;$B163,BD!$W$3:$W$5001,"&lt;&gt;")=0,"",SUMIFS(BD!$W$3:$W$5001,BD!$B$3:$B$5001,H$138,BD!$A$3:$A$5001,_xlfn.MAXIFS(BD!$A$3:$A$5001,BD!$B$3:$B$5001,H$138,BD!$A$3:$A$5001,"&gt;="&amp;$C$7,BD!$A$3:$A$5001,"&lt;="&amp;$B163,BD!$W$3:$W$5001,"&lt;&gt;"))))</f>
        <v/>
      </c>
      <c r="I163" s="42" t="str">
        <f>IF(OR($B163="",$A163&gt;$B$9),"",IF(COUNTIFS(BD!$B$3:$B$5001,I$138,BD!$A$3:$A$5001,"&gt;="&amp;$C$7,BD!$A$3:$A$5001,"&lt;="&amp;$B163,BD!$W$3:$W$5001,"&lt;&gt;")=0,"",SUMIFS(BD!$W$3:$W$5001,BD!$B$3:$B$5001,I$138,BD!$A$3:$A$5001,_xlfn.MAXIFS(BD!$A$3:$A$5001,BD!$B$3:$B$5001,I$138,BD!$A$3:$A$5001,"&gt;="&amp;$C$7,BD!$A$3:$A$5001,"&lt;="&amp;$B163,BD!$W$3:$W$5001,"&lt;&gt;"))))</f>
        <v/>
      </c>
      <c r="J163" s="42" t="str">
        <f>IF(OR($B163="",$A163&gt;$B$9),"",IF(COUNTIFS(BD!$B$3:$B$5001,J$138,BD!$A$3:$A$5001,"&gt;="&amp;$C$7,BD!$A$3:$A$5001,"&lt;="&amp;$B163,BD!$W$3:$W$5001,"&lt;&gt;")=0,"",SUMIFS(BD!$W$3:$W$5001,BD!$B$3:$B$5001,J$138,BD!$A$3:$A$5001,_xlfn.MAXIFS(BD!$A$3:$A$5001,BD!$B$3:$B$5001,J$138,BD!$A$3:$A$5001,"&gt;="&amp;$C$7,BD!$A$3:$A$5001,"&lt;="&amp;$B163,BD!$W$3:$W$5001,"&lt;&gt;"))))</f>
        <v/>
      </c>
      <c r="K163" s="42" t="str">
        <f>IF(OR($B163="",$A163&gt;$B$9),"",IF(COUNTIFS(BD!$B$3:$B$5001,K$138,BD!$A$3:$A$5001,"&gt;="&amp;$C$7,BD!$A$3:$A$5001,"&lt;="&amp;$B163,BD!$W$3:$W$5001,"&lt;&gt;")=0,"",SUMIFS(BD!$W$3:$W$5001,BD!$B$3:$B$5001,K$138,BD!$A$3:$A$5001,_xlfn.MAXIFS(BD!$A$3:$A$5001,BD!$B$3:$B$5001,K$138,BD!$A$3:$A$5001,"&gt;="&amp;$C$7,BD!$A$3:$A$5001,"&lt;="&amp;$B163,BD!$W$3:$W$5001,"&lt;&gt;"))))</f>
        <v/>
      </c>
    </row>
    <row r="164">
      <c r="A164" s="40">
        <v>26</v>
      </c>
      <c r="B164" s="41">
        <f>$B$37</f>
        <v>46321</v>
      </c>
      <c r="C164" s="42" t="str">
        <f>IF(OR($B164="",$A164&gt;$B$9),"",IF(COUNTIFS(BD!$B$3:$B$5001,C$138,BD!$A$3:$A$5001,"&gt;="&amp;$C$7,BD!$A$3:$A$5001,"&lt;="&amp;$B164,BD!$W$3:$W$5001,"&lt;&gt;")=0,"",SUMIFS(BD!$W$3:$W$5001,BD!$B$3:$B$5001,C$138,BD!$A$3:$A$5001,_xlfn.MAXIFS(BD!$A$3:$A$5001,BD!$B$3:$B$5001,C$138,BD!$A$3:$A$5001,"&gt;="&amp;$C$7,BD!$A$3:$A$5001,"&lt;="&amp;$B164,BD!$W$3:$W$5001,"&lt;&gt;"))))</f>
        <v/>
      </c>
      <c r="D164" s="42" t="str">
        <f>IF(OR($B164="",$A164&gt;$B$9),"",IF(COUNTIFS(BD!$B$3:$B$5001,D$138,BD!$A$3:$A$5001,"&gt;="&amp;$C$7,BD!$A$3:$A$5001,"&lt;="&amp;$B164,BD!$W$3:$W$5001,"&lt;&gt;")=0,"",SUMIFS(BD!$W$3:$W$5001,BD!$B$3:$B$5001,D$138,BD!$A$3:$A$5001,_xlfn.MAXIFS(BD!$A$3:$A$5001,BD!$B$3:$B$5001,D$138,BD!$A$3:$A$5001,"&gt;="&amp;$C$7,BD!$A$3:$A$5001,"&lt;="&amp;$B164,BD!$W$3:$W$5001,"&lt;&gt;"))))</f>
        <v/>
      </c>
      <c r="E164" s="42" t="str">
        <f>IF(OR($B164="",$A164&gt;$B$9),"",IF(COUNTIFS(BD!$B$3:$B$5001,E$138,BD!$A$3:$A$5001,"&gt;="&amp;$C$7,BD!$A$3:$A$5001,"&lt;="&amp;$B164,BD!$W$3:$W$5001,"&lt;&gt;")=0,"",SUMIFS(BD!$W$3:$W$5001,BD!$B$3:$B$5001,E$138,BD!$A$3:$A$5001,_xlfn.MAXIFS(BD!$A$3:$A$5001,BD!$B$3:$B$5001,E$138,BD!$A$3:$A$5001,"&gt;="&amp;$C$7,BD!$A$3:$A$5001,"&lt;="&amp;$B164,BD!$W$3:$W$5001,"&lt;&gt;"))))</f>
        <v/>
      </c>
      <c r="F164" s="42" t="str">
        <f>IF(OR($B164="",$A164&gt;$B$9),"",IF(COUNTIFS(BD!$B$3:$B$5001,F$138,BD!$A$3:$A$5001,"&gt;="&amp;$C$7,BD!$A$3:$A$5001,"&lt;="&amp;$B164,BD!$W$3:$W$5001,"&lt;&gt;")=0,"",SUMIFS(BD!$W$3:$W$5001,BD!$B$3:$B$5001,F$138,BD!$A$3:$A$5001,_xlfn.MAXIFS(BD!$A$3:$A$5001,BD!$B$3:$B$5001,F$138,BD!$A$3:$A$5001,"&gt;="&amp;$C$7,BD!$A$3:$A$5001,"&lt;="&amp;$B164,BD!$W$3:$W$5001,"&lt;&gt;"))))</f>
        <v/>
      </c>
      <c r="G164" s="42" t="str">
        <f>IF(OR($B164="",$A164&gt;$B$9),"",IF(COUNTIFS(BD!$B$3:$B$5001,G$138,BD!$A$3:$A$5001,"&gt;="&amp;$C$7,BD!$A$3:$A$5001,"&lt;="&amp;$B164,BD!$W$3:$W$5001,"&lt;&gt;")=0,"",SUMIFS(BD!$W$3:$W$5001,BD!$B$3:$B$5001,G$138,BD!$A$3:$A$5001,_xlfn.MAXIFS(BD!$A$3:$A$5001,BD!$B$3:$B$5001,G$138,BD!$A$3:$A$5001,"&gt;="&amp;$C$7,BD!$A$3:$A$5001,"&lt;="&amp;$B164,BD!$W$3:$W$5001,"&lt;&gt;"))))</f>
        <v/>
      </c>
      <c r="H164" s="42" t="str">
        <f>IF(OR($B164="",$A164&gt;$B$9),"",IF(COUNTIFS(BD!$B$3:$B$5001,H$138,BD!$A$3:$A$5001,"&gt;="&amp;$C$7,BD!$A$3:$A$5001,"&lt;="&amp;$B164,BD!$W$3:$W$5001,"&lt;&gt;")=0,"",SUMIFS(BD!$W$3:$W$5001,BD!$B$3:$B$5001,H$138,BD!$A$3:$A$5001,_xlfn.MAXIFS(BD!$A$3:$A$5001,BD!$B$3:$B$5001,H$138,BD!$A$3:$A$5001,"&gt;="&amp;$C$7,BD!$A$3:$A$5001,"&lt;="&amp;$B164,BD!$W$3:$W$5001,"&lt;&gt;"))))</f>
        <v/>
      </c>
      <c r="I164" s="42" t="str">
        <f>IF(OR($B164="",$A164&gt;$B$9),"",IF(COUNTIFS(BD!$B$3:$B$5001,I$138,BD!$A$3:$A$5001,"&gt;="&amp;$C$7,BD!$A$3:$A$5001,"&lt;="&amp;$B164,BD!$W$3:$W$5001,"&lt;&gt;")=0,"",SUMIFS(BD!$W$3:$W$5001,BD!$B$3:$B$5001,I$138,BD!$A$3:$A$5001,_xlfn.MAXIFS(BD!$A$3:$A$5001,BD!$B$3:$B$5001,I$138,BD!$A$3:$A$5001,"&gt;="&amp;$C$7,BD!$A$3:$A$5001,"&lt;="&amp;$B164,BD!$W$3:$W$5001,"&lt;&gt;"))))</f>
        <v/>
      </c>
      <c r="J164" s="42" t="str">
        <f>IF(OR($B164="",$A164&gt;$B$9),"",IF(COUNTIFS(BD!$B$3:$B$5001,J$138,BD!$A$3:$A$5001,"&gt;="&amp;$C$7,BD!$A$3:$A$5001,"&lt;="&amp;$B164,BD!$W$3:$W$5001,"&lt;&gt;")=0,"",SUMIFS(BD!$W$3:$W$5001,BD!$B$3:$B$5001,J$138,BD!$A$3:$A$5001,_xlfn.MAXIFS(BD!$A$3:$A$5001,BD!$B$3:$B$5001,J$138,BD!$A$3:$A$5001,"&gt;="&amp;$C$7,BD!$A$3:$A$5001,"&lt;="&amp;$B164,BD!$W$3:$W$5001,"&lt;&gt;"))))</f>
        <v/>
      </c>
      <c r="K164" s="42" t="str">
        <f>IF(OR($B164="",$A164&gt;$B$9),"",IF(COUNTIFS(BD!$B$3:$B$5001,K$138,BD!$A$3:$A$5001,"&gt;="&amp;$C$7,BD!$A$3:$A$5001,"&lt;="&amp;$B164,BD!$W$3:$W$5001,"&lt;&gt;")=0,"",SUMIFS(BD!$W$3:$W$5001,BD!$B$3:$B$5001,K$138,BD!$A$3:$A$5001,_xlfn.MAXIFS(BD!$A$3:$A$5001,BD!$B$3:$B$5001,K$138,BD!$A$3:$A$5001,"&gt;="&amp;$C$7,BD!$A$3:$A$5001,"&lt;="&amp;$B164,BD!$W$3:$W$5001,"&lt;&gt;"))))</f>
        <v/>
      </c>
    </row>
    <row r="165">
      <c r="A165" s="40">
        <v>27</v>
      </c>
      <c r="B165" s="41">
        <f>$B$38</f>
        <v>46322</v>
      </c>
      <c r="C165" s="42" t="str">
        <f>IF(OR($B165="",$A165&gt;$B$9),"",IF(COUNTIFS(BD!$B$3:$B$5001,C$138,BD!$A$3:$A$5001,"&gt;="&amp;$C$7,BD!$A$3:$A$5001,"&lt;="&amp;$B165,BD!$W$3:$W$5001,"&lt;&gt;")=0,"",SUMIFS(BD!$W$3:$W$5001,BD!$B$3:$B$5001,C$138,BD!$A$3:$A$5001,_xlfn.MAXIFS(BD!$A$3:$A$5001,BD!$B$3:$B$5001,C$138,BD!$A$3:$A$5001,"&gt;="&amp;$C$7,BD!$A$3:$A$5001,"&lt;="&amp;$B165,BD!$W$3:$W$5001,"&lt;&gt;"))))</f>
        <v/>
      </c>
      <c r="D165" s="42" t="str">
        <f>IF(OR($B165="",$A165&gt;$B$9),"",IF(COUNTIFS(BD!$B$3:$B$5001,D$138,BD!$A$3:$A$5001,"&gt;="&amp;$C$7,BD!$A$3:$A$5001,"&lt;="&amp;$B165,BD!$W$3:$W$5001,"&lt;&gt;")=0,"",SUMIFS(BD!$W$3:$W$5001,BD!$B$3:$B$5001,D$138,BD!$A$3:$A$5001,_xlfn.MAXIFS(BD!$A$3:$A$5001,BD!$B$3:$B$5001,D$138,BD!$A$3:$A$5001,"&gt;="&amp;$C$7,BD!$A$3:$A$5001,"&lt;="&amp;$B165,BD!$W$3:$W$5001,"&lt;&gt;"))))</f>
        <v/>
      </c>
      <c r="E165" s="42" t="str">
        <f>IF(OR($B165="",$A165&gt;$B$9),"",IF(COUNTIFS(BD!$B$3:$B$5001,E$138,BD!$A$3:$A$5001,"&gt;="&amp;$C$7,BD!$A$3:$A$5001,"&lt;="&amp;$B165,BD!$W$3:$W$5001,"&lt;&gt;")=0,"",SUMIFS(BD!$W$3:$W$5001,BD!$B$3:$B$5001,E$138,BD!$A$3:$A$5001,_xlfn.MAXIFS(BD!$A$3:$A$5001,BD!$B$3:$B$5001,E$138,BD!$A$3:$A$5001,"&gt;="&amp;$C$7,BD!$A$3:$A$5001,"&lt;="&amp;$B165,BD!$W$3:$W$5001,"&lt;&gt;"))))</f>
        <v/>
      </c>
      <c r="F165" s="42" t="str">
        <f>IF(OR($B165="",$A165&gt;$B$9),"",IF(COUNTIFS(BD!$B$3:$B$5001,F$138,BD!$A$3:$A$5001,"&gt;="&amp;$C$7,BD!$A$3:$A$5001,"&lt;="&amp;$B165,BD!$W$3:$W$5001,"&lt;&gt;")=0,"",SUMIFS(BD!$W$3:$W$5001,BD!$B$3:$B$5001,F$138,BD!$A$3:$A$5001,_xlfn.MAXIFS(BD!$A$3:$A$5001,BD!$B$3:$B$5001,F$138,BD!$A$3:$A$5001,"&gt;="&amp;$C$7,BD!$A$3:$A$5001,"&lt;="&amp;$B165,BD!$W$3:$W$5001,"&lt;&gt;"))))</f>
        <v/>
      </c>
      <c r="G165" s="42" t="str">
        <f>IF(OR($B165="",$A165&gt;$B$9),"",IF(COUNTIFS(BD!$B$3:$B$5001,G$138,BD!$A$3:$A$5001,"&gt;="&amp;$C$7,BD!$A$3:$A$5001,"&lt;="&amp;$B165,BD!$W$3:$W$5001,"&lt;&gt;")=0,"",SUMIFS(BD!$W$3:$W$5001,BD!$B$3:$B$5001,G$138,BD!$A$3:$A$5001,_xlfn.MAXIFS(BD!$A$3:$A$5001,BD!$B$3:$B$5001,G$138,BD!$A$3:$A$5001,"&gt;="&amp;$C$7,BD!$A$3:$A$5001,"&lt;="&amp;$B165,BD!$W$3:$W$5001,"&lt;&gt;"))))</f>
        <v/>
      </c>
      <c r="H165" s="42" t="str">
        <f>IF(OR($B165="",$A165&gt;$B$9),"",IF(COUNTIFS(BD!$B$3:$B$5001,H$138,BD!$A$3:$A$5001,"&gt;="&amp;$C$7,BD!$A$3:$A$5001,"&lt;="&amp;$B165,BD!$W$3:$W$5001,"&lt;&gt;")=0,"",SUMIFS(BD!$W$3:$W$5001,BD!$B$3:$B$5001,H$138,BD!$A$3:$A$5001,_xlfn.MAXIFS(BD!$A$3:$A$5001,BD!$B$3:$B$5001,H$138,BD!$A$3:$A$5001,"&gt;="&amp;$C$7,BD!$A$3:$A$5001,"&lt;="&amp;$B165,BD!$W$3:$W$5001,"&lt;&gt;"))))</f>
        <v/>
      </c>
      <c r="I165" s="42" t="str">
        <f>IF(OR($B165="",$A165&gt;$B$9),"",IF(COUNTIFS(BD!$B$3:$B$5001,I$138,BD!$A$3:$A$5001,"&gt;="&amp;$C$7,BD!$A$3:$A$5001,"&lt;="&amp;$B165,BD!$W$3:$W$5001,"&lt;&gt;")=0,"",SUMIFS(BD!$W$3:$W$5001,BD!$B$3:$B$5001,I$138,BD!$A$3:$A$5001,_xlfn.MAXIFS(BD!$A$3:$A$5001,BD!$B$3:$B$5001,I$138,BD!$A$3:$A$5001,"&gt;="&amp;$C$7,BD!$A$3:$A$5001,"&lt;="&amp;$B165,BD!$W$3:$W$5001,"&lt;&gt;"))))</f>
        <v/>
      </c>
      <c r="J165" s="42" t="str">
        <f>IF(OR($B165="",$A165&gt;$B$9),"",IF(COUNTIFS(BD!$B$3:$B$5001,J$138,BD!$A$3:$A$5001,"&gt;="&amp;$C$7,BD!$A$3:$A$5001,"&lt;="&amp;$B165,BD!$W$3:$W$5001,"&lt;&gt;")=0,"",SUMIFS(BD!$W$3:$W$5001,BD!$B$3:$B$5001,J$138,BD!$A$3:$A$5001,_xlfn.MAXIFS(BD!$A$3:$A$5001,BD!$B$3:$B$5001,J$138,BD!$A$3:$A$5001,"&gt;="&amp;$C$7,BD!$A$3:$A$5001,"&lt;="&amp;$B165,BD!$W$3:$W$5001,"&lt;&gt;"))))</f>
        <v/>
      </c>
      <c r="K165" s="42" t="str">
        <f>IF(OR($B165="",$A165&gt;$B$9),"",IF(COUNTIFS(BD!$B$3:$B$5001,K$138,BD!$A$3:$A$5001,"&gt;="&amp;$C$7,BD!$A$3:$A$5001,"&lt;="&amp;$B165,BD!$W$3:$W$5001,"&lt;&gt;")=0,"",SUMIFS(BD!$W$3:$W$5001,BD!$B$3:$B$5001,K$138,BD!$A$3:$A$5001,_xlfn.MAXIFS(BD!$A$3:$A$5001,BD!$B$3:$B$5001,K$138,BD!$A$3:$A$5001,"&gt;="&amp;$C$7,BD!$A$3:$A$5001,"&lt;="&amp;$B165,BD!$W$3:$W$5001,"&lt;&gt;"))))</f>
        <v/>
      </c>
    </row>
    <row r="166">
      <c r="A166" s="40">
        <v>28</v>
      </c>
      <c r="B166" s="41">
        <f>$B$39</f>
        <v>46323</v>
      </c>
      <c r="C166" s="42" t="str">
        <f>IF(OR($B166="",$A166&gt;$B$9),"",IF(COUNTIFS(BD!$B$3:$B$5001,C$138,BD!$A$3:$A$5001,"&gt;="&amp;$C$7,BD!$A$3:$A$5001,"&lt;="&amp;$B166,BD!$W$3:$W$5001,"&lt;&gt;")=0,"",SUMIFS(BD!$W$3:$W$5001,BD!$B$3:$B$5001,C$138,BD!$A$3:$A$5001,_xlfn.MAXIFS(BD!$A$3:$A$5001,BD!$B$3:$B$5001,C$138,BD!$A$3:$A$5001,"&gt;="&amp;$C$7,BD!$A$3:$A$5001,"&lt;="&amp;$B166,BD!$W$3:$W$5001,"&lt;&gt;"))))</f>
        <v/>
      </c>
      <c r="D166" s="42" t="str">
        <f>IF(OR($B166="",$A166&gt;$B$9),"",IF(COUNTIFS(BD!$B$3:$B$5001,D$138,BD!$A$3:$A$5001,"&gt;="&amp;$C$7,BD!$A$3:$A$5001,"&lt;="&amp;$B166,BD!$W$3:$W$5001,"&lt;&gt;")=0,"",SUMIFS(BD!$W$3:$W$5001,BD!$B$3:$B$5001,D$138,BD!$A$3:$A$5001,_xlfn.MAXIFS(BD!$A$3:$A$5001,BD!$B$3:$B$5001,D$138,BD!$A$3:$A$5001,"&gt;="&amp;$C$7,BD!$A$3:$A$5001,"&lt;="&amp;$B166,BD!$W$3:$W$5001,"&lt;&gt;"))))</f>
        <v/>
      </c>
      <c r="E166" s="42" t="str">
        <f>IF(OR($B166="",$A166&gt;$B$9),"",IF(COUNTIFS(BD!$B$3:$B$5001,E$138,BD!$A$3:$A$5001,"&gt;="&amp;$C$7,BD!$A$3:$A$5001,"&lt;="&amp;$B166,BD!$W$3:$W$5001,"&lt;&gt;")=0,"",SUMIFS(BD!$W$3:$W$5001,BD!$B$3:$B$5001,E$138,BD!$A$3:$A$5001,_xlfn.MAXIFS(BD!$A$3:$A$5001,BD!$B$3:$B$5001,E$138,BD!$A$3:$A$5001,"&gt;="&amp;$C$7,BD!$A$3:$A$5001,"&lt;="&amp;$B166,BD!$W$3:$W$5001,"&lt;&gt;"))))</f>
        <v/>
      </c>
      <c r="F166" s="42" t="str">
        <f>IF(OR($B166="",$A166&gt;$B$9),"",IF(COUNTIFS(BD!$B$3:$B$5001,F$138,BD!$A$3:$A$5001,"&gt;="&amp;$C$7,BD!$A$3:$A$5001,"&lt;="&amp;$B166,BD!$W$3:$W$5001,"&lt;&gt;")=0,"",SUMIFS(BD!$W$3:$W$5001,BD!$B$3:$B$5001,F$138,BD!$A$3:$A$5001,_xlfn.MAXIFS(BD!$A$3:$A$5001,BD!$B$3:$B$5001,F$138,BD!$A$3:$A$5001,"&gt;="&amp;$C$7,BD!$A$3:$A$5001,"&lt;="&amp;$B166,BD!$W$3:$W$5001,"&lt;&gt;"))))</f>
        <v/>
      </c>
      <c r="G166" s="42" t="str">
        <f>IF(OR($B166="",$A166&gt;$B$9),"",IF(COUNTIFS(BD!$B$3:$B$5001,G$138,BD!$A$3:$A$5001,"&gt;="&amp;$C$7,BD!$A$3:$A$5001,"&lt;="&amp;$B166,BD!$W$3:$W$5001,"&lt;&gt;")=0,"",SUMIFS(BD!$W$3:$W$5001,BD!$B$3:$B$5001,G$138,BD!$A$3:$A$5001,_xlfn.MAXIFS(BD!$A$3:$A$5001,BD!$B$3:$B$5001,G$138,BD!$A$3:$A$5001,"&gt;="&amp;$C$7,BD!$A$3:$A$5001,"&lt;="&amp;$B166,BD!$W$3:$W$5001,"&lt;&gt;"))))</f>
        <v/>
      </c>
      <c r="H166" s="42" t="str">
        <f>IF(OR($B166="",$A166&gt;$B$9),"",IF(COUNTIFS(BD!$B$3:$B$5001,H$138,BD!$A$3:$A$5001,"&gt;="&amp;$C$7,BD!$A$3:$A$5001,"&lt;="&amp;$B166,BD!$W$3:$W$5001,"&lt;&gt;")=0,"",SUMIFS(BD!$W$3:$W$5001,BD!$B$3:$B$5001,H$138,BD!$A$3:$A$5001,_xlfn.MAXIFS(BD!$A$3:$A$5001,BD!$B$3:$B$5001,H$138,BD!$A$3:$A$5001,"&gt;="&amp;$C$7,BD!$A$3:$A$5001,"&lt;="&amp;$B166,BD!$W$3:$W$5001,"&lt;&gt;"))))</f>
        <v/>
      </c>
      <c r="I166" s="42" t="str">
        <f>IF(OR($B166="",$A166&gt;$B$9),"",IF(COUNTIFS(BD!$B$3:$B$5001,I$138,BD!$A$3:$A$5001,"&gt;="&amp;$C$7,BD!$A$3:$A$5001,"&lt;="&amp;$B166,BD!$W$3:$W$5001,"&lt;&gt;")=0,"",SUMIFS(BD!$W$3:$W$5001,BD!$B$3:$B$5001,I$138,BD!$A$3:$A$5001,_xlfn.MAXIFS(BD!$A$3:$A$5001,BD!$B$3:$B$5001,I$138,BD!$A$3:$A$5001,"&gt;="&amp;$C$7,BD!$A$3:$A$5001,"&lt;="&amp;$B166,BD!$W$3:$W$5001,"&lt;&gt;"))))</f>
        <v/>
      </c>
      <c r="J166" s="42" t="str">
        <f>IF(OR($B166="",$A166&gt;$B$9),"",IF(COUNTIFS(BD!$B$3:$B$5001,J$138,BD!$A$3:$A$5001,"&gt;="&amp;$C$7,BD!$A$3:$A$5001,"&lt;="&amp;$B166,BD!$W$3:$W$5001,"&lt;&gt;")=0,"",SUMIFS(BD!$W$3:$W$5001,BD!$B$3:$B$5001,J$138,BD!$A$3:$A$5001,_xlfn.MAXIFS(BD!$A$3:$A$5001,BD!$B$3:$B$5001,J$138,BD!$A$3:$A$5001,"&gt;="&amp;$C$7,BD!$A$3:$A$5001,"&lt;="&amp;$B166,BD!$W$3:$W$5001,"&lt;&gt;"))))</f>
        <v/>
      </c>
      <c r="K166" s="42" t="str">
        <f>IF(OR($B166="",$A166&gt;$B$9),"",IF(COUNTIFS(BD!$B$3:$B$5001,K$138,BD!$A$3:$A$5001,"&gt;="&amp;$C$7,BD!$A$3:$A$5001,"&lt;="&amp;$B166,BD!$W$3:$W$5001,"&lt;&gt;")=0,"",SUMIFS(BD!$W$3:$W$5001,BD!$B$3:$B$5001,K$138,BD!$A$3:$A$5001,_xlfn.MAXIFS(BD!$A$3:$A$5001,BD!$B$3:$B$5001,K$138,BD!$A$3:$A$5001,"&gt;="&amp;$C$7,BD!$A$3:$A$5001,"&lt;="&amp;$B166,BD!$W$3:$W$5001,"&lt;&gt;"))))</f>
        <v/>
      </c>
    </row>
    <row r="167">
      <c r="A167" s="40">
        <v>29</v>
      </c>
      <c r="B167" s="41">
        <f>$B$40</f>
        <v>46324</v>
      </c>
      <c r="C167" s="42" t="str">
        <f>IF(OR($B167="",$A167&gt;$B$9),"",IF(COUNTIFS(BD!$B$3:$B$5001,C$138,BD!$A$3:$A$5001,"&gt;="&amp;$C$7,BD!$A$3:$A$5001,"&lt;="&amp;$B167,BD!$W$3:$W$5001,"&lt;&gt;")=0,"",SUMIFS(BD!$W$3:$W$5001,BD!$B$3:$B$5001,C$138,BD!$A$3:$A$5001,_xlfn.MAXIFS(BD!$A$3:$A$5001,BD!$B$3:$B$5001,C$138,BD!$A$3:$A$5001,"&gt;="&amp;$C$7,BD!$A$3:$A$5001,"&lt;="&amp;$B167,BD!$W$3:$W$5001,"&lt;&gt;"))))</f>
        <v/>
      </c>
      <c r="D167" s="42" t="str">
        <f>IF(OR($B167="",$A167&gt;$B$9),"",IF(COUNTIFS(BD!$B$3:$B$5001,D$138,BD!$A$3:$A$5001,"&gt;="&amp;$C$7,BD!$A$3:$A$5001,"&lt;="&amp;$B167,BD!$W$3:$W$5001,"&lt;&gt;")=0,"",SUMIFS(BD!$W$3:$W$5001,BD!$B$3:$B$5001,D$138,BD!$A$3:$A$5001,_xlfn.MAXIFS(BD!$A$3:$A$5001,BD!$B$3:$B$5001,D$138,BD!$A$3:$A$5001,"&gt;="&amp;$C$7,BD!$A$3:$A$5001,"&lt;="&amp;$B167,BD!$W$3:$W$5001,"&lt;&gt;"))))</f>
        <v/>
      </c>
      <c r="E167" s="42" t="str">
        <f>IF(OR($B167="",$A167&gt;$B$9),"",IF(COUNTIFS(BD!$B$3:$B$5001,E$138,BD!$A$3:$A$5001,"&gt;="&amp;$C$7,BD!$A$3:$A$5001,"&lt;="&amp;$B167,BD!$W$3:$W$5001,"&lt;&gt;")=0,"",SUMIFS(BD!$W$3:$W$5001,BD!$B$3:$B$5001,E$138,BD!$A$3:$A$5001,_xlfn.MAXIFS(BD!$A$3:$A$5001,BD!$B$3:$B$5001,E$138,BD!$A$3:$A$5001,"&gt;="&amp;$C$7,BD!$A$3:$A$5001,"&lt;="&amp;$B167,BD!$W$3:$W$5001,"&lt;&gt;"))))</f>
        <v/>
      </c>
      <c r="F167" s="42" t="str">
        <f>IF(OR($B167="",$A167&gt;$B$9),"",IF(COUNTIFS(BD!$B$3:$B$5001,F$138,BD!$A$3:$A$5001,"&gt;="&amp;$C$7,BD!$A$3:$A$5001,"&lt;="&amp;$B167,BD!$W$3:$W$5001,"&lt;&gt;")=0,"",SUMIFS(BD!$W$3:$W$5001,BD!$B$3:$B$5001,F$138,BD!$A$3:$A$5001,_xlfn.MAXIFS(BD!$A$3:$A$5001,BD!$B$3:$B$5001,F$138,BD!$A$3:$A$5001,"&gt;="&amp;$C$7,BD!$A$3:$A$5001,"&lt;="&amp;$B167,BD!$W$3:$W$5001,"&lt;&gt;"))))</f>
        <v/>
      </c>
      <c r="G167" s="42" t="str">
        <f>IF(OR($B167="",$A167&gt;$B$9),"",IF(COUNTIFS(BD!$B$3:$B$5001,G$138,BD!$A$3:$A$5001,"&gt;="&amp;$C$7,BD!$A$3:$A$5001,"&lt;="&amp;$B167,BD!$W$3:$W$5001,"&lt;&gt;")=0,"",SUMIFS(BD!$W$3:$W$5001,BD!$B$3:$B$5001,G$138,BD!$A$3:$A$5001,_xlfn.MAXIFS(BD!$A$3:$A$5001,BD!$B$3:$B$5001,G$138,BD!$A$3:$A$5001,"&gt;="&amp;$C$7,BD!$A$3:$A$5001,"&lt;="&amp;$B167,BD!$W$3:$W$5001,"&lt;&gt;"))))</f>
        <v/>
      </c>
      <c r="H167" s="42" t="str">
        <f>IF(OR($B167="",$A167&gt;$B$9),"",IF(COUNTIFS(BD!$B$3:$B$5001,H$138,BD!$A$3:$A$5001,"&gt;="&amp;$C$7,BD!$A$3:$A$5001,"&lt;="&amp;$B167,BD!$W$3:$W$5001,"&lt;&gt;")=0,"",SUMIFS(BD!$W$3:$W$5001,BD!$B$3:$B$5001,H$138,BD!$A$3:$A$5001,_xlfn.MAXIFS(BD!$A$3:$A$5001,BD!$B$3:$B$5001,H$138,BD!$A$3:$A$5001,"&gt;="&amp;$C$7,BD!$A$3:$A$5001,"&lt;="&amp;$B167,BD!$W$3:$W$5001,"&lt;&gt;"))))</f>
        <v/>
      </c>
      <c r="I167" s="42" t="str">
        <f>IF(OR($B167="",$A167&gt;$B$9),"",IF(COUNTIFS(BD!$B$3:$B$5001,I$138,BD!$A$3:$A$5001,"&gt;="&amp;$C$7,BD!$A$3:$A$5001,"&lt;="&amp;$B167,BD!$W$3:$W$5001,"&lt;&gt;")=0,"",SUMIFS(BD!$W$3:$W$5001,BD!$B$3:$B$5001,I$138,BD!$A$3:$A$5001,_xlfn.MAXIFS(BD!$A$3:$A$5001,BD!$B$3:$B$5001,I$138,BD!$A$3:$A$5001,"&gt;="&amp;$C$7,BD!$A$3:$A$5001,"&lt;="&amp;$B167,BD!$W$3:$W$5001,"&lt;&gt;"))))</f>
        <v/>
      </c>
      <c r="J167" s="42" t="str">
        <f>IF(OR($B167="",$A167&gt;$B$9),"",IF(COUNTIFS(BD!$B$3:$B$5001,J$138,BD!$A$3:$A$5001,"&gt;="&amp;$C$7,BD!$A$3:$A$5001,"&lt;="&amp;$B167,BD!$W$3:$W$5001,"&lt;&gt;")=0,"",SUMIFS(BD!$W$3:$W$5001,BD!$B$3:$B$5001,J$138,BD!$A$3:$A$5001,_xlfn.MAXIFS(BD!$A$3:$A$5001,BD!$B$3:$B$5001,J$138,BD!$A$3:$A$5001,"&gt;="&amp;$C$7,BD!$A$3:$A$5001,"&lt;="&amp;$B167,BD!$W$3:$W$5001,"&lt;&gt;"))))</f>
        <v/>
      </c>
      <c r="K167" s="42" t="str">
        <f>IF(OR($B167="",$A167&gt;$B$9),"",IF(COUNTIFS(BD!$B$3:$B$5001,K$138,BD!$A$3:$A$5001,"&gt;="&amp;$C$7,BD!$A$3:$A$5001,"&lt;="&amp;$B167,BD!$W$3:$W$5001,"&lt;&gt;")=0,"",SUMIFS(BD!$W$3:$W$5001,BD!$B$3:$B$5001,K$138,BD!$A$3:$A$5001,_xlfn.MAXIFS(BD!$A$3:$A$5001,BD!$B$3:$B$5001,K$138,BD!$A$3:$A$5001,"&gt;="&amp;$C$7,BD!$A$3:$A$5001,"&lt;="&amp;$B167,BD!$W$3:$W$5001,"&lt;&gt;"))))</f>
        <v/>
      </c>
    </row>
    <row r="168">
      <c r="A168" s="40">
        <v>30</v>
      </c>
      <c r="B168" s="41">
        <f>$B$41</f>
        <v>46325</v>
      </c>
      <c r="C168" s="42" t="str">
        <f>IF(OR($B168="",$A168&gt;$B$9),"",IF(COUNTIFS(BD!$B$3:$B$5001,C$138,BD!$A$3:$A$5001,"&gt;="&amp;$C$7,BD!$A$3:$A$5001,"&lt;="&amp;$B168,BD!$W$3:$W$5001,"&lt;&gt;")=0,"",SUMIFS(BD!$W$3:$W$5001,BD!$B$3:$B$5001,C$138,BD!$A$3:$A$5001,_xlfn.MAXIFS(BD!$A$3:$A$5001,BD!$B$3:$B$5001,C$138,BD!$A$3:$A$5001,"&gt;="&amp;$C$7,BD!$A$3:$A$5001,"&lt;="&amp;$B168,BD!$W$3:$W$5001,"&lt;&gt;"))))</f>
        <v/>
      </c>
      <c r="D168" s="42" t="str">
        <f>IF(OR($B168="",$A168&gt;$B$9),"",IF(COUNTIFS(BD!$B$3:$B$5001,D$138,BD!$A$3:$A$5001,"&gt;="&amp;$C$7,BD!$A$3:$A$5001,"&lt;="&amp;$B168,BD!$W$3:$W$5001,"&lt;&gt;")=0,"",SUMIFS(BD!$W$3:$W$5001,BD!$B$3:$B$5001,D$138,BD!$A$3:$A$5001,_xlfn.MAXIFS(BD!$A$3:$A$5001,BD!$B$3:$B$5001,D$138,BD!$A$3:$A$5001,"&gt;="&amp;$C$7,BD!$A$3:$A$5001,"&lt;="&amp;$B168,BD!$W$3:$W$5001,"&lt;&gt;"))))</f>
        <v/>
      </c>
      <c r="E168" s="42" t="str">
        <f>IF(OR($B168="",$A168&gt;$B$9),"",IF(COUNTIFS(BD!$B$3:$B$5001,E$138,BD!$A$3:$A$5001,"&gt;="&amp;$C$7,BD!$A$3:$A$5001,"&lt;="&amp;$B168,BD!$W$3:$W$5001,"&lt;&gt;")=0,"",SUMIFS(BD!$W$3:$W$5001,BD!$B$3:$B$5001,E$138,BD!$A$3:$A$5001,_xlfn.MAXIFS(BD!$A$3:$A$5001,BD!$B$3:$B$5001,E$138,BD!$A$3:$A$5001,"&gt;="&amp;$C$7,BD!$A$3:$A$5001,"&lt;="&amp;$B168,BD!$W$3:$W$5001,"&lt;&gt;"))))</f>
        <v/>
      </c>
      <c r="F168" s="42" t="str">
        <f>IF(OR($B168="",$A168&gt;$B$9),"",IF(COUNTIFS(BD!$B$3:$B$5001,F$138,BD!$A$3:$A$5001,"&gt;="&amp;$C$7,BD!$A$3:$A$5001,"&lt;="&amp;$B168,BD!$W$3:$W$5001,"&lt;&gt;")=0,"",SUMIFS(BD!$W$3:$W$5001,BD!$B$3:$B$5001,F$138,BD!$A$3:$A$5001,_xlfn.MAXIFS(BD!$A$3:$A$5001,BD!$B$3:$B$5001,F$138,BD!$A$3:$A$5001,"&gt;="&amp;$C$7,BD!$A$3:$A$5001,"&lt;="&amp;$B168,BD!$W$3:$W$5001,"&lt;&gt;"))))</f>
        <v/>
      </c>
      <c r="G168" s="42" t="str">
        <f>IF(OR($B168="",$A168&gt;$B$9),"",IF(COUNTIFS(BD!$B$3:$B$5001,G$138,BD!$A$3:$A$5001,"&gt;="&amp;$C$7,BD!$A$3:$A$5001,"&lt;="&amp;$B168,BD!$W$3:$W$5001,"&lt;&gt;")=0,"",SUMIFS(BD!$W$3:$W$5001,BD!$B$3:$B$5001,G$138,BD!$A$3:$A$5001,_xlfn.MAXIFS(BD!$A$3:$A$5001,BD!$B$3:$B$5001,G$138,BD!$A$3:$A$5001,"&gt;="&amp;$C$7,BD!$A$3:$A$5001,"&lt;="&amp;$B168,BD!$W$3:$W$5001,"&lt;&gt;"))))</f>
        <v/>
      </c>
      <c r="H168" s="42" t="str">
        <f>IF(OR($B168="",$A168&gt;$B$9),"",IF(COUNTIFS(BD!$B$3:$B$5001,H$138,BD!$A$3:$A$5001,"&gt;="&amp;$C$7,BD!$A$3:$A$5001,"&lt;="&amp;$B168,BD!$W$3:$W$5001,"&lt;&gt;")=0,"",SUMIFS(BD!$W$3:$W$5001,BD!$B$3:$B$5001,H$138,BD!$A$3:$A$5001,_xlfn.MAXIFS(BD!$A$3:$A$5001,BD!$B$3:$B$5001,H$138,BD!$A$3:$A$5001,"&gt;="&amp;$C$7,BD!$A$3:$A$5001,"&lt;="&amp;$B168,BD!$W$3:$W$5001,"&lt;&gt;"))))</f>
        <v/>
      </c>
      <c r="I168" s="42" t="str">
        <f>IF(OR($B168="",$A168&gt;$B$9),"",IF(COUNTIFS(BD!$B$3:$B$5001,I$138,BD!$A$3:$A$5001,"&gt;="&amp;$C$7,BD!$A$3:$A$5001,"&lt;="&amp;$B168,BD!$W$3:$W$5001,"&lt;&gt;")=0,"",SUMIFS(BD!$W$3:$W$5001,BD!$B$3:$B$5001,I$138,BD!$A$3:$A$5001,_xlfn.MAXIFS(BD!$A$3:$A$5001,BD!$B$3:$B$5001,I$138,BD!$A$3:$A$5001,"&gt;="&amp;$C$7,BD!$A$3:$A$5001,"&lt;="&amp;$B168,BD!$W$3:$W$5001,"&lt;&gt;"))))</f>
        <v/>
      </c>
      <c r="J168" s="42" t="str">
        <f>IF(OR($B168="",$A168&gt;$B$9),"",IF(COUNTIFS(BD!$B$3:$B$5001,J$138,BD!$A$3:$A$5001,"&gt;="&amp;$C$7,BD!$A$3:$A$5001,"&lt;="&amp;$B168,BD!$W$3:$W$5001,"&lt;&gt;")=0,"",SUMIFS(BD!$W$3:$W$5001,BD!$B$3:$B$5001,J$138,BD!$A$3:$A$5001,_xlfn.MAXIFS(BD!$A$3:$A$5001,BD!$B$3:$B$5001,J$138,BD!$A$3:$A$5001,"&gt;="&amp;$C$7,BD!$A$3:$A$5001,"&lt;="&amp;$B168,BD!$W$3:$W$5001,"&lt;&gt;"))))</f>
        <v/>
      </c>
      <c r="K168" s="42" t="str">
        <f>IF(OR($B168="",$A168&gt;$B$9),"",IF(COUNTIFS(BD!$B$3:$B$5001,K$138,BD!$A$3:$A$5001,"&gt;="&amp;$C$7,BD!$A$3:$A$5001,"&lt;="&amp;$B168,BD!$W$3:$W$5001,"&lt;&gt;")=0,"",SUMIFS(BD!$W$3:$W$5001,BD!$B$3:$B$5001,K$138,BD!$A$3:$A$5001,_xlfn.MAXIFS(BD!$A$3:$A$5001,BD!$B$3:$B$5001,K$138,BD!$A$3:$A$5001,"&gt;="&amp;$C$7,BD!$A$3:$A$5001,"&lt;="&amp;$B168,BD!$W$3:$W$5001,"&lt;&gt;"))))</f>
        <v/>
      </c>
    </row>
    <row r="169">
      <c r="A169" s="40">
        <v>31</v>
      </c>
      <c r="B169" s="41">
        <f>$B$42</f>
        <v>46326</v>
      </c>
      <c r="C169" s="42" t="str">
        <f>IF(OR($B169="",$A169&gt;$B$9),"",IF(COUNTIFS(BD!$B$3:$B$5001,C$138,BD!$A$3:$A$5001,"&gt;="&amp;$C$7,BD!$A$3:$A$5001,"&lt;="&amp;$B169,BD!$W$3:$W$5001,"&lt;&gt;")=0,"",SUMIFS(BD!$W$3:$W$5001,BD!$B$3:$B$5001,C$138,BD!$A$3:$A$5001,_xlfn.MAXIFS(BD!$A$3:$A$5001,BD!$B$3:$B$5001,C$138,BD!$A$3:$A$5001,"&gt;="&amp;$C$7,BD!$A$3:$A$5001,"&lt;="&amp;$B169,BD!$W$3:$W$5001,"&lt;&gt;"))))</f>
        <v/>
      </c>
      <c r="D169" s="42" t="str">
        <f>IF(OR($B169="",$A169&gt;$B$9),"",IF(COUNTIFS(BD!$B$3:$B$5001,D$138,BD!$A$3:$A$5001,"&gt;="&amp;$C$7,BD!$A$3:$A$5001,"&lt;="&amp;$B169,BD!$W$3:$W$5001,"&lt;&gt;")=0,"",SUMIFS(BD!$W$3:$W$5001,BD!$B$3:$B$5001,D$138,BD!$A$3:$A$5001,_xlfn.MAXIFS(BD!$A$3:$A$5001,BD!$B$3:$B$5001,D$138,BD!$A$3:$A$5001,"&gt;="&amp;$C$7,BD!$A$3:$A$5001,"&lt;="&amp;$B169,BD!$W$3:$W$5001,"&lt;&gt;"))))</f>
        <v/>
      </c>
      <c r="E169" s="42" t="str">
        <f>IF(OR($B169="",$A169&gt;$B$9),"",IF(COUNTIFS(BD!$B$3:$B$5001,E$138,BD!$A$3:$A$5001,"&gt;="&amp;$C$7,BD!$A$3:$A$5001,"&lt;="&amp;$B169,BD!$W$3:$W$5001,"&lt;&gt;")=0,"",SUMIFS(BD!$W$3:$W$5001,BD!$B$3:$B$5001,E$138,BD!$A$3:$A$5001,_xlfn.MAXIFS(BD!$A$3:$A$5001,BD!$B$3:$B$5001,E$138,BD!$A$3:$A$5001,"&gt;="&amp;$C$7,BD!$A$3:$A$5001,"&lt;="&amp;$B169,BD!$W$3:$W$5001,"&lt;&gt;"))))</f>
        <v/>
      </c>
      <c r="F169" s="42" t="str">
        <f>IF(OR($B169="",$A169&gt;$B$9),"",IF(COUNTIFS(BD!$B$3:$B$5001,F$138,BD!$A$3:$A$5001,"&gt;="&amp;$C$7,BD!$A$3:$A$5001,"&lt;="&amp;$B169,BD!$W$3:$W$5001,"&lt;&gt;")=0,"",SUMIFS(BD!$W$3:$W$5001,BD!$B$3:$B$5001,F$138,BD!$A$3:$A$5001,_xlfn.MAXIFS(BD!$A$3:$A$5001,BD!$B$3:$B$5001,F$138,BD!$A$3:$A$5001,"&gt;="&amp;$C$7,BD!$A$3:$A$5001,"&lt;="&amp;$B169,BD!$W$3:$W$5001,"&lt;&gt;"))))</f>
        <v/>
      </c>
      <c r="G169" s="42" t="str">
        <f>IF(OR($B169="",$A169&gt;$B$9),"",IF(COUNTIFS(BD!$B$3:$B$5001,G$138,BD!$A$3:$A$5001,"&gt;="&amp;$C$7,BD!$A$3:$A$5001,"&lt;="&amp;$B169,BD!$W$3:$W$5001,"&lt;&gt;")=0,"",SUMIFS(BD!$W$3:$W$5001,BD!$B$3:$B$5001,G$138,BD!$A$3:$A$5001,_xlfn.MAXIFS(BD!$A$3:$A$5001,BD!$B$3:$B$5001,G$138,BD!$A$3:$A$5001,"&gt;="&amp;$C$7,BD!$A$3:$A$5001,"&lt;="&amp;$B169,BD!$W$3:$W$5001,"&lt;&gt;"))))</f>
        <v/>
      </c>
      <c r="H169" s="42" t="str">
        <f>IF(OR($B169="",$A169&gt;$B$9),"",IF(COUNTIFS(BD!$B$3:$B$5001,H$138,BD!$A$3:$A$5001,"&gt;="&amp;$C$7,BD!$A$3:$A$5001,"&lt;="&amp;$B169,BD!$W$3:$W$5001,"&lt;&gt;")=0,"",SUMIFS(BD!$W$3:$W$5001,BD!$B$3:$B$5001,H$138,BD!$A$3:$A$5001,_xlfn.MAXIFS(BD!$A$3:$A$5001,BD!$B$3:$B$5001,H$138,BD!$A$3:$A$5001,"&gt;="&amp;$C$7,BD!$A$3:$A$5001,"&lt;="&amp;$B169,BD!$W$3:$W$5001,"&lt;&gt;"))))</f>
        <v/>
      </c>
      <c r="I169" s="42" t="str">
        <f>IF(OR($B169="",$A169&gt;$B$9),"",IF(COUNTIFS(BD!$B$3:$B$5001,I$138,BD!$A$3:$A$5001,"&gt;="&amp;$C$7,BD!$A$3:$A$5001,"&lt;="&amp;$B169,BD!$W$3:$W$5001,"&lt;&gt;")=0,"",SUMIFS(BD!$W$3:$W$5001,BD!$B$3:$B$5001,I$138,BD!$A$3:$A$5001,_xlfn.MAXIFS(BD!$A$3:$A$5001,BD!$B$3:$B$5001,I$138,BD!$A$3:$A$5001,"&gt;="&amp;$C$7,BD!$A$3:$A$5001,"&lt;="&amp;$B169,BD!$W$3:$W$5001,"&lt;&gt;"))))</f>
        <v/>
      </c>
      <c r="J169" s="42" t="str">
        <f>IF(OR($B169="",$A169&gt;$B$9),"",IF(COUNTIFS(BD!$B$3:$B$5001,J$138,BD!$A$3:$A$5001,"&gt;="&amp;$C$7,BD!$A$3:$A$5001,"&lt;="&amp;$B169,BD!$W$3:$W$5001,"&lt;&gt;")=0,"",SUMIFS(BD!$W$3:$W$5001,BD!$B$3:$B$5001,J$138,BD!$A$3:$A$5001,_xlfn.MAXIFS(BD!$A$3:$A$5001,BD!$B$3:$B$5001,J$138,BD!$A$3:$A$5001,"&gt;="&amp;$C$7,BD!$A$3:$A$5001,"&lt;="&amp;$B169,BD!$W$3:$W$5001,"&lt;&gt;"))))</f>
        <v/>
      </c>
      <c r="K169" s="42" t="str">
        <f>IF(OR($B169="",$A169&gt;$B$9),"",IF(COUNTIFS(BD!$B$3:$B$5001,K$138,BD!$A$3:$A$5001,"&gt;="&amp;$C$7,BD!$A$3:$A$5001,"&lt;="&amp;$B169,BD!$W$3:$W$5001,"&lt;&gt;")=0,"",SUMIFS(BD!$W$3:$W$5001,BD!$B$3:$B$5001,K$138,BD!$A$3:$A$5001,_xlfn.MAXIFS(BD!$A$3:$A$5001,BD!$B$3:$B$5001,K$138,BD!$A$3:$A$5001,"&gt;="&amp;$C$7,BD!$A$3:$A$5001,"&lt;="&amp;$B169,BD!$W$3:$W$5001,"&lt;&gt;"))))</f>
        <v/>
      </c>
    </row>
    <row r="170">
      <c r="A170" s="43" t="inlineStr">
        <is>
          <t xml:space="preserve">Mês anterior (último)</t>
        </is>
      </c>
      <c r="C170" s="44" t="str">
        <f>IF(COUNTIFS(BD!$B$3:$B$5001,C$138,BD!$A$3:$A$5001,"&gt;="&amp;$C$8,BD!$A$3:$A$5001,"&lt;="&amp;$D$8,BD!$W$3:$W$5001,"&lt;&gt;")=0,"",SUMIFS(BD!$W$3:$W$5001,BD!$B$3:$B$5001,C$138,BD!$A$3:$A$5001,_xlfn.MAXIFS(BD!$A$3:$A$5001,BD!$B$3:$B$5001,C$138,BD!$A$3:$A$5001,"&gt;="&amp;$C$8,BD!$A$3:$A$5001,"&lt;="&amp;$D$8,BD!$W$3:$W$5001,"&lt;&gt;")))</f>
        <v/>
      </c>
      <c r="D170" s="44" t="str">
        <f>IF(COUNTIFS(BD!$B$3:$B$5001,D$138,BD!$A$3:$A$5001,"&gt;="&amp;$C$8,BD!$A$3:$A$5001,"&lt;="&amp;$D$8,BD!$W$3:$W$5001,"&lt;&gt;")=0,"",SUMIFS(BD!$W$3:$W$5001,BD!$B$3:$B$5001,D$138,BD!$A$3:$A$5001,_xlfn.MAXIFS(BD!$A$3:$A$5001,BD!$B$3:$B$5001,D$138,BD!$A$3:$A$5001,"&gt;="&amp;$C$8,BD!$A$3:$A$5001,"&lt;="&amp;$D$8,BD!$W$3:$W$5001,"&lt;&gt;")))</f>
        <v/>
      </c>
      <c r="E170" s="44" t="str">
        <f>IF(COUNTIFS(BD!$B$3:$B$5001,E$138,BD!$A$3:$A$5001,"&gt;="&amp;$C$8,BD!$A$3:$A$5001,"&lt;="&amp;$D$8,BD!$W$3:$W$5001,"&lt;&gt;")=0,"",SUMIFS(BD!$W$3:$W$5001,BD!$B$3:$B$5001,E$138,BD!$A$3:$A$5001,_xlfn.MAXIFS(BD!$A$3:$A$5001,BD!$B$3:$B$5001,E$138,BD!$A$3:$A$5001,"&gt;="&amp;$C$8,BD!$A$3:$A$5001,"&lt;="&amp;$D$8,BD!$W$3:$W$5001,"&lt;&gt;")))</f>
        <v/>
      </c>
      <c r="F170" s="44" t="str">
        <f>IF(COUNTIFS(BD!$B$3:$B$5001,F$138,BD!$A$3:$A$5001,"&gt;="&amp;$C$8,BD!$A$3:$A$5001,"&lt;="&amp;$D$8,BD!$W$3:$W$5001,"&lt;&gt;")=0,"",SUMIFS(BD!$W$3:$W$5001,BD!$B$3:$B$5001,F$138,BD!$A$3:$A$5001,_xlfn.MAXIFS(BD!$A$3:$A$5001,BD!$B$3:$B$5001,F$138,BD!$A$3:$A$5001,"&gt;="&amp;$C$8,BD!$A$3:$A$5001,"&lt;="&amp;$D$8,BD!$W$3:$W$5001,"&lt;&gt;")))</f>
        <v/>
      </c>
      <c r="G170" s="44" t="str">
        <f>IF(COUNTIFS(BD!$B$3:$B$5001,G$138,BD!$A$3:$A$5001,"&gt;="&amp;$C$8,BD!$A$3:$A$5001,"&lt;="&amp;$D$8,BD!$W$3:$W$5001,"&lt;&gt;")=0,"",SUMIFS(BD!$W$3:$W$5001,BD!$B$3:$B$5001,G$138,BD!$A$3:$A$5001,_xlfn.MAXIFS(BD!$A$3:$A$5001,BD!$B$3:$B$5001,G$138,BD!$A$3:$A$5001,"&gt;="&amp;$C$8,BD!$A$3:$A$5001,"&lt;="&amp;$D$8,BD!$W$3:$W$5001,"&lt;&gt;")))</f>
        <v/>
      </c>
      <c r="H170" s="44" t="str">
        <f>IF(COUNTIFS(BD!$B$3:$B$5001,H$138,BD!$A$3:$A$5001,"&gt;="&amp;$C$8,BD!$A$3:$A$5001,"&lt;="&amp;$D$8,BD!$W$3:$W$5001,"&lt;&gt;")=0,"",SUMIFS(BD!$W$3:$W$5001,BD!$B$3:$B$5001,H$138,BD!$A$3:$A$5001,_xlfn.MAXIFS(BD!$A$3:$A$5001,BD!$B$3:$B$5001,H$138,BD!$A$3:$A$5001,"&gt;="&amp;$C$8,BD!$A$3:$A$5001,"&lt;="&amp;$D$8,BD!$W$3:$W$5001,"&lt;&gt;")))</f>
        <v/>
      </c>
      <c r="I170" s="44" t="str">
        <f>IF(COUNTIFS(BD!$B$3:$B$5001,I$138,BD!$A$3:$A$5001,"&gt;="&amp;$C$8,BD!$A$3:$A$5001,"&lt;="&amp;$D$8,BD!$W$3:$W$5001,"&lt;&gt;")=0,"",SUMIFS(BD!$W$3:$W$5001,BD!$B$3:$B$5001,I$138,BD!$A$3:$A$5001,_xlfn.MAXIFS(BD!$A$3:$A$5001,BD!$B$3:$B$5001,I$138,BD!$A$3:$A$5001,"&gt;="&amp;$C$8,BD!$A$3:$A$5001,"&lt;="&amp;$D$8,BD!$W$3:$W$5001,"&lt;&gt;")))</f>
        <v/>
      </c>
      <c r="J170" s="44" t="str">
        <f>IF(COUNTIFS(BD!$B$3:$B$5001,J$138,BD!$A$3:$A$5001,"&gt;="&amp;$C$8,BD!$A$3:$A$5001,"&lt;="&amp;$D$8,BD!$W$3:$W$5001,"&lt;&gt;")=0,"",SUMIFS(BD!$W$3:$W$5001,BD!$B$3:$B$5001,J$138,BD!$A$3:$A$5001,_xlfn.MAXIFS(BD!$A$3:$A$5001,BD!$B$3:$B$5001,J$138,BD!$A$3:$A$5001,"&gt;="&amp;$C$8,BD!$A$3:$A$5001,"&lt;="&amp;$D$8,BD!$W$3:$W$5001,"&lt;&gt;")))</f>
        <v/>
      </c>
      <c r="K170" s="44" t="str">
        <f>IF(COUNTIFS(BD!$B$3:$B$5001,K$138,BD!$A$3:$A$5001,"&gt;="&amp;$C$8,BD!$A$3:$A$5001,"&lt;="&amp;$D$8,BD!$W$3:$W$5001,"&lt;&gt;")=0,"",SUMIFS(BD!$W$3:$W$5001,BD!$B$3:$B$5001,K$138,BD!$A$3:$A$5001,_xlfn.MAXIFS(BD!$A$3:$A$5001,BD!$B$3:$B$5001,K$138,BD!$A$3:$A$5001,"&gt;="&amp;$C$8,BD!$A$3:$A$5001,"&lt;="&amp;$D$8,BD!$W$3:$W$5001,"&lt;&gt;")))</f>
        <v/>
      </c>
    </row>
    <row r="171">
      <c r="A171" s="43" t="inlineStr">
        <is>
          <t xml:space="preserve">Depósito</t>
        </is>
      </c>
      <c r="C171" s="40" t="inlineStr">
        <is>
          <t xml:space="preserve">TPC</t>
        </is>
      </c>
      <c r="D171" s="40" t="inlineStr">
        <is>
          <t xml:space="preserve">TPC</t>
        </is>
      </c>
      <c r="E171" s="40" t="inlineStr">
        <is>
          <t xml:space="preserve">TPC</t>
        </is>
      </c>
      <c r="F171" s="40" t="inlineStr">
        <is>
          <t xml:space="preserve">TPC</t>
        </is>
      </c>
      <c r="G171" s="40" t="inlineStr">
        <is>
          <t xml:space="preserve">TPC</t>
        </is>
      </c>
      <c r="H171" s="40" t="inlineStr">
        <is>
          <t xml:space="preserve">TPC</t>
        </is>
      </c>
      <c r="I171" s="40" t="inlineStr">
        <is>
          <t xml:space="preserve">TPC</t>
        </is>
      </c>
      <c r="J171" s="40" t="inlineStr">
        <is>
          <t xml:space="preserve">TPC</t>
        </is>
      </c>
      <c r="K171" s="40" t="inlineStr">
        <is>
          <t xml:space="preserve">TPC</t>
        </is>
      </c>
    </row>
    <row r="173">
      <c r="A173" s="37" t="inlineStr">
        <is>
          <t xml:space="preserve">Posições Ocupadas</t>
        </is>
      </c>
      <c r="B173" s="37" t="inlineStr">
        <is>
          <t xml:space="preserve">Data</t>
        </is>
      </c>
      <c r="C173" s="37" t="inlineStr">
        <is>
          <t xml:space="preserve">Alpargatas</t>
        </is>
      </c>
      <c r="D173" s="37" t="inlineStr">
        <is>
          <t xml:space="preserve">Basf</t>
        </is>
      </c>
      <c r="E173" s="37" t="inlineStr">
        <is>
          <t xml:space="preserve">Beautybiz</t>
        </is>
      </c>
      <c r="F173" s="37" t="inlineStr">
        <is>
          <t xml:space="preserve">Boticário</t>
        </is>
      </c>
      <c r="G173" s="37" t="inlineStr">
        <is>
          <t xml:space="preserve">GE Vernova</t>
        </is>
      </c>
      <c r="H173" s="37" t="inlineStr">
        <is>
          <t xml:space="preserve">Omnilife</t>
        </is>
      </c>
      <c r="I173" s="37" t="inlineStr">
        <is>
          <t xml:space="preserve">Supply</t>
        </is>
      </c>
      <c r="J173" s="37" t="inlineStr">
        <is>
          <t xml:space="preserve">Vedacit</t>
        </is>
      </c>
      <c r="K173" s="37" t="inlineStr">
        <is>
          <t xml:space="preserve">Vestas</t>
        </is>
      </c>
    </row>
    <row r="174">
      <c r="A174" s="40">
        <v>1</v>
      </c>
      <c r="B174" s="41">
        <f>$B$12</f>
        <v>46296</v>
      </c>
      <c r="C174" s="42" t="str">
        <f>IF(OR($B174="",$A174&gt;$B$9),"",IF(COUNTIFS(BD!$B$3:$B$5001,C$173,BD!$A$3:$A$5001,"&gt;="&amp;$C$7,BD!$A$3:$A$5001,"&lt;="&amp;$B174,BD!$Y$3:$Y$5001,"&lt;&gt;")=0,"",SUMIFS(BD!$Y$3:$Y$5001,BD!$B$3:$B$5001,C$173,BD!$A$3:$A$5001,_xlfn.MAXIFS(BD!$A$3:$A$5001,BD!$B$3:$B$5001,C$173,BD!$A$3:$A$5001,"&gt;="&amp;$C$7,BD!$A$3:$A$5001,"&lt;="&amp;$B174,BD!$Y$3:$Y$5001,"&lt;&gt;"))))</f>
        <v/>
      </c>
      <c r="D174" s="42" t="str">
        <f>IF(OR($B174="",$A174&gt;$B$9),"",IF(COUNTIFS(BD!$B$3:$B$5001,D$173,BD!$A$3:$A$5001,"&gt;="&amp;$C$7,BD!$A$3:$A$5001,"&lt;="&amp;$B174,BD!$Y$3:$Y$5001,"&lt;&gt;")=0,"",SUMIFS(BD!$Y$3:$Y$5001,BD!$B$3:$B$5001,D$173,BD!$A$3:$A$5001,_xlfn.MAXIFS(BD!$A$3:$A$5001,BD!$B$3:$B$5001,D$173,BD!$A$3:$A$5001,"&gt;="&amp;$C$7,BD!$A$3:$A$5001,"&lt;="&amp;$B174,BD!$Y$3:$Y$5001,"&lt;&gt;"))))</f>
        <v/>
      </c>
      <c r="E174" s="42" t="str">
        <f>IF(OR($B174="",$A174&gt;$B$9),"",IF(COUNTIFS(BD!$B$3:$B$5001,E$173,BD!$A$3:$A$5001,"&gt;="&amp;$C$7,BD!$A$3:$A$5001,"&lt;="&amp;$B174,BD!$Y$3:$Y$5001,"&lt;&gt;")=0,"",SUMIFS(BD!$Y$3:$Y$5001,BD!$B$3:$B$5001,E$173,BD!$A$3:$A$5001,_xlfn.MAXIFS(BD!$A$3:$A$5001,BD!$B$3:$B$5001,E$173,BD!$A$3:$A$5001,"&gt;="&amp;$C$7,BD!$A$3:$A$5001,"&lt;="&amp;$B174,BD!$Y$3:$Y$5001,"&lt;&gt;"))))</f>
        <v/>
      </c>
      <c r="F174" s="42" t="str">
        <f>IF(OR($B174="",$A174&gt;$B$9),"",IF(COUNTIFS(BD!$B$3:$B$5001,F$173,BD!$A$3:$A$5001,"&gt;="&amp;$C$7,BD!$A$3:$A$5001,"&lt;="&amp;$B174,BD!$Y$3:$Y$5001,"&lt;&gt;")=0,"",SUMIFS(BD!$Y$3:$Y$5001,BD!$B$3:$B$5001,F$173,BD!$A$3:$A$5001,_xlfn.MAXIFS(BD!$A$3:$A$5001,BD!$B$3:$B$5001,F$173,BD!$A$3:$A$5001,"&gt;="&amp;$C$7,BD!$A$3:$A$5001,"&lt;="&amp;$B174,BD!$Y$3:$Y$5001,"&lt;&gt;"))))</f>
        <v/>
      </c>
      <c r="G174" s="42" t="str">
        <f>IF(OR($B174="",$A174&gt;$B$9),"",IF(COUNTIFS(BD!$B$3:$B$5001,G$173,BD!$A$3:$A$5001,"&gt;="&amp;$C$7,BD!$A$3:$A$5001,"&lt;="&amp;$B174,BD!$Y$3:$Y$5001,"&lt;&gt;")=0,"",SUMIFS(BD!$Y$3:$Y$5001,BD!$B$3:$B$5001,G$173,BD!$A$3:$A$5001,_xlfn.MAXIFS(BD!$A$3:$A$5001,BD!$B$3:$B$5001,G$173,BD!$A$3:$A$5001,"&gt;="&amp;$C$7,BD!$A$3:$A$5001,"&lt;="&amp;$B174,BD!$Y$3:$Y$5001,"&lt;&gt;"))))</f>
        <v/>
      </c>
      <c r="H174" s="42" t="str">
        <f>IF(OR($B174="",$A174&gt;$B$9),"",IF(COUNTIFS(BD!$B$3:$B$5001,H$173,BD!$A$3:$A$5001,"&gt;="&amp;$C$7,BD!$A$3:$A$5001,"&lt;="&amp;$B174,BD!$Y$3:$Y$5001,"&lt;&gt;")=0,"",SUMIFS(BD!$Y$3:$Y$5001,BD!$B$3:$B$5001,H$173,BD!$A$3:$A$5001,_xlfn.MAXIFS(BD!$A$3:$A$5001,BD!$B$3:$B$5001,H$173,BD!$A$3:$A$5001,"&gt;="&amp;$C$7,BD!$A$3:$A$5001,"&lt;="&amp;$B174,BD!$Y$3:$Y$5001,"&lt;&gt;"))))</f>
        <v/>
      </c>
      <c r="I174" s="42" t="str">
        <f>IF(OR($B174="",$A174&gt;$B$9),"",IF(COUNTIFS(BD!$B$3:$B$5001,I$173,BD!$A$3:$A$5001,"&gt;="&amp;$C$7,BD!$A$3:$A$5001,"&lt;="&amp;$B174,BD!$Y$3:$Y$5001,"&lt;&gt;")=0,"",SUMIFS(BD!$Y$3:$Y$5001,BD!$B$3:$B$5001,I$173,BD!$A$3:$A$5001,_xlfn.MAXIFS(BD!$A$3:$A$5001,BD!$B$3:$B$5001,I$173,BD!$A$3:$A$5001,"&gt;="&amp;$C$7,BD!$A$3:$A$5001,"&lt;="&amp;$B174,BD!$Y$3:$Y$5001,"&lt;&gt;"))))</f>
        <v/>
      </c>
      <c r="J174" s="42" t="str">
        <f>IF(OR($B174="",$A174&gt;$B$9),"",IF(COUNTIFS(BD!$B$3:$B$5001,J$173,BD!$A$3:$A$5001,"&gt;="&amp;$C$7,BD!$A$3:$A$5001,"&lt;="&amp;$B174,BD!$Y$3:$Y$5001,"&lt;&gt;")=0,"",SUMIFS(BD!$Y$3:$Y$5001,BD!$B$3:$B$5001,J$173,BD!$A$3:$A$5001,_xlfn.MAXIFS(BD!$A$3:$A$5001,BD!$B$3:$B$5001,J$173,BD!$A$3:$A$5001,"&gt;="&amp;$C$7,BD!$A$3:$A$5001,"&lt;="&amp;$B174,BD!$Y$3:$Y$5001,"&lt;&gt;"))))</f>
        <v/>
      </c>
      <c r="K174" s="42" t="str">
        <f>IF(OR($B174="",$A174&gt;$B$9),"",IF(COUNTIFS(BD!$B$3:$B$5001,K$173,BD!$A$3:$A$5001,"&gt;="&amp;$C$7,BD!$A$3:$A$5001,"&lt;="&amp;$B174,BD!$Y$3:$Y$5001,"&lt;&gt;")=0,"",SUMIFS(BD!$Y$3:$Y$5001,BD!$B$3:$B$5001,K$173,BD!$A$3:$A$5001,_xlfn.MAXIFS(BD!$A$3:$A$5001,BD!$B$3:$B$5001,K$173,BD!$A$3:$A$5001,"&gt;="&amp;$C$7,BD!$A$3:$A$5001,"&lt;="&amp;$B174,BD!$Y$3:$Y$5001,"&lt;&gt;"))))</f>
        <v/>
      </c>
    </row>
    <row r="175">
      <c r="A175" s="40">
        <v>2</v>
      </c>
      <c r="B175" s="41">
        <f>$B$13</f>
        <v>46297</v>
      </c>
      <c r="C175" s="42" t="str">
        <f>IF(OR($B175="",$A175&gt;$B$9),"",IF(COUNTIFS(BD!$B$3:$B$5001,C$173,BD!$A$3:$A$5001,"&gt;="&amp;$C$7,BD!$A$3:$A$5001,"&lt;="&amp;$B175,BD!$Y$3:$Y$5001,"&lt;&gt;")=0,"",SUMIFS(BD!$Y$3:$Y$5001,BD!$B$3:$B$5001,C$173,BD!$A$3:$A$5001,_xlfn.MAXIFS(BD!$A$3:$A$5001,BD!$B$3:$B$5001,C$173,BD!$A$3:$A$5001,"&gt;="&amp;$C$7,BD!$A$3:$A$5001,"&lt;="&amp;$B175,BD!$Y$3:$Y$5001,"&lt;&gt;"))))</f>
        <v/>
      </c>
      <c r="D175" s="42" t="str">
        <f>IF(OR($B175="",$A175&gt;$B$9),"",IF(COUNTIFS(BD!$B$3:$B$5001,D$173,BD!$A$3:$A$5001,"&gt;="&amp;$C$7,BD!$A$3:$A$5001,"&lt;="&amp;$B175,BD!$Y$3:$Y$5001,"&lt;&gt;")=0,"",SUMIFS(BD!$Y$3:$Y$5001,BD!$B$3:$B$5001,D$173,BD!$A$3:$A$5001,_xlfn.MAXIFS(BD!$A$3:$A$5001,BD!$B$3:$B$5001,D$173,BD!$A$3:$A$5001,"&gt;="&amp;$C$7,BD!$A$3:$A$5001,"&lt;="&amp;$B175,BD!$Y$3:$Y$5001,"&lt;&gt;"))))</f>
        <v/>
      </c>
      <c r="E175" s="42" t="str">
        <f>IF(OR($B175="",$A175&gt;$B$9),"",IF(COUNTIFS(BD!$B$3:$B$5001,E$173,BD!$A$3:$A$5001,"&gt;="&amp;$C$7,BD!$A$3:$A$5001,"&lt;="&amp;$B175,BD!$Y$3:$Y$5001,"&lt;&gt;")=0,"",SUMIFS(BD!$Y$3:$Y$5001,BD!$B$3:$B$5001,E$173,BD!$A$3:$A$5001,_xlfn.MAXIFS(BD!$A$3:$A$5001,BD!$B$3:$B$5001,E$173,BD!$A$3:$A$5001,"&gt;="&amp;$C$7,BD!$A$3:$A$5001,"&lt;="&amp;$B175,BD!$Y$3:$Y$5001,"&lt;&gt;"))))</f>
        <v/>
      </c>
      <c r="F175" s="42" t="str">
        <f>IF(OR($B175="",$A175&gt;$B$9),"",IF(COUNTIFS(BD!$B$3:$B$5001,F$173,BD!$A$3:$A$5001,"&gt;="&amp;$C$7,BD!$A$3:$A$5001,"&lt;="&amp;$B175,BD!$Y$3:$Y$5001,"&lt;&gt;")=0,"",SUMIFS(BD!$Y$3:$Y$5001,BD!$B$3:$B$5001,F$173,BD!$A$3:$A$5001,_xlfn.MAXIFS(BD!$A$3:$A$5001,BD!$B$3:$B$5001,F$173,BD!$A$3:$A$5001,"&gt;="&amp;$C$7,BD!$A$3:$A$5001,"&lt;="&amp;$B175,BD!$Y$3:$Y$5001,"&lt;&gt;"))))</f>
        <v/>
      </c>
      <c r="G175" s="42" t="str">
        <f>IF(OR($B175="",$A175&gt;$B$9),"",IF(COUNTIFS(BD!$B$3:$B$5001,G$173,BD!$A$3:$A$5001,"&gt;="&amp;$C$7,BD!$A$3:$A$5001,"&lt;="&amp;$B175,BD!$Y$3:$Y$5001,"&lt;&gt;")=0,"",SUMIFS(BD!$Y$3:$Y$5001,BD!$B$3:$B$5001,G$173,BD!$A$3:$A$5001,_xlfn.MAXIFS(BD!$A$3:$A$5001,BD!$B$3:$B$5001,G$173,BD!$A$3:$A$5001,"&gt;="&amp;$C$7,BD!$A$3:$A$5001,"&lt;="&amp;$B175,BD!$Y$3:$Y$5001,"&lt;&gt;"))))</f>
        <v/>
      </c>
      <c r="H175" s="42" t="str">
        <f>IF(OR($B175="",$A175&gt;$B$9),"",IF(COUNTIFS(BD!$B$3:$B$5001,H$173,BD!$A$3:$A$5001,"&gt;="&amp;$C$7,BD!$A$3:$A$5001,"&lt;="&amp;$B175,BD!$Y$3:$Y$5001,"&lt;&gt;")=0,"",SUMIFS(BD!$Y$3:$Y$5001,BD!$B$3:$B$5001,H$173,BD!$A$3:$A$5001,_xlfn.MAXIFS(BD!$A$3:$A$5001,BD!$B$3:$B$5001,H$173,BD!$A$3:$A$5001,"&gt;="&amp;$C$7,BD!$A$3:$A$5001,"&lt;="&amp;$B175,BD!$Y$3:$Y$5001,"&lt;&gt;"))))</f>
        <v/>
      </c>
      <c r="I175" s="42" t="str">
        <f>IF(OR($B175="",$A175&gt;$B$9),"",IF(COUNTIFS(BD!$B$3:$B$5001,I$173,BD!$A$3:$A$5001,"&gt;="&amp;$C$7,BD!$A$3:$A$5001,"&lt;="&amp;$B175,BD!$Y$3:$Y$5001,"&lt;&gt;")=0,"",SUMIFS(BD!$Y$3:$Y$5001,BD!$B$3:$B$5001,I$173,BD!$A$3:$A$5001,_xlfn.MAXIFS(BD!$A$3:$A$5001,BD!$B$3:$B$5001,I$173,BD!$A$3:$A$5001,"&gt;="&amp;$C$7,BD!$A$3:$A$5001,"&lt;="&amp;$B175,BD!$Y$3:$Y$5001,"&lt;&gt;"))))</f>
        <v/>
      </c>
      <c r="J175" s="42" t="str">
        <f>IF(OR($B175="",$A175&gt;$B$9),"",IF(COUNTIFS(BD!$B$3:$B$5001,J$173,BD!$A$3:$A$5001,"&gt;="&amp;$C$7,BD!$A$3:$A$5001,"&lt;="&amp;$B175,BD!$Y$3:$Y$5001,"&lt;&gt;")=0,"",SUMIFS(BD!$Y$3:$Y$5001,BD!$B$3:$B$5001,J$173,BD!$A$3:$A$5001,_xlfn.MAXIFS(BD!$A$3:$A$5001,BD!$B$3:$B$5001,J$173,BD!$A$3:$A$5001,"&gt;="&amp;$C$7,BD!$A$3:$A$5001,"&lt;="&amp;$B175,BD!$Y$3:$Y$5001,"&lt;&gt;"))))</f>
        <v/>
      </c>
      <c r="K175" s="42" t="str">
        <f>IF(OR($B175="",$A175&gt;$B$9),"",IF(COUNTIFS(BD!$B$3:$B$5001,K$173,BD!$A$3:$A$5001,"&gt;="&amp;$C$7,BD!$A$3:$A$5001,"&lt;="&amp;$B175,BD!$Y$3:$Y$5001,"&lt;&gt;")=0,"",SUMIFS(BD!$Y$3:$Y$5001,BD!$B$3:$B$5001,K$173,BD!$A$3:$A$5001,_xlfn.MAXIFS(BD!$A$3:$A$5001,BD!$B$3:$B$5001,K$173,BD!$A$3:$A$5001,"&gt;="&amp;$C$7,BD!$A$3:$A$5001,"&lt;="&amp;$B175,BD!$Y$3:$Y$5001,"&lt;&gt;"))))</f>
        <v/>
      </c>
    </row>
    <row r="176">
      <c r="A176" s="40">
        <v>3</v>
      </c>
      <c r="B176" s="41">
        <f>$B$14</f>
        <v>46298</v>
      </c>
      <c r="C176" s="42" t="str">
        <f>IF(OR($B176="",$A176&gt;$B$9),"",IF(COUNTIFS(BD!$B$3:$B$5001,C$173,BD!$A$3:$A$5001,"&gt;="&amp;$C$7,BD!$A$3:$A$5001,"&lt;="&amp;$B176,BD!$Y$3:$Y$5001,"&lt;&gt;")=0,"",SUMIFS(BD!$Y$3:$Y$5001,BD!$B$3:$B$5001,C$173,BD!$A$3:$A$5001,_xlfn.MAXIFS(BD!$A$3:$A$5001,BD!$B$3:$B$5001,C$173,BD!$A$3:$A$5001,"&gt;="&amp;$C$7,BD!$A$3:$A$5001,"&lt;="&amp;$B176,BD!$Y$3:$Y$5001,"&lt;&gt;"))))</f>
        <v/>
      </c>
      <c r="D176" s="42" t="str">
        <f>IF(OR($B176="",$A176&gt;$B$9),"",IF(COUNTIFS(BD!$B$3:$B$5001,D$173,BD!$A$3:$A$5001,"&gt;="&amp;$C$7,BD!$A$3:$A$5001,"&lt;="&amp;$B176,BD!$Y$3:$Y$5001,"&lt;&gt;")=0,"",SUMIFS(BD!$Y$3:$Y$5001,BD!$B$3:$B$5001,D$173,BD!$A$3:$A$5001,_xlfn.MAXIFS(BD!$A$3:$A$5001,BD!$B$3:$B$5001,D$173,BD!$A$3:$A$5001,"&gt;="&amp;$C$7,BD!$A$3:$A$5001,"&lt;="&amp;$B176,BD!$Y$3:$Y$5001,"&lt;&gt;"))))</f>
        <v/>
      </c>
      <c r="E176" s="42" t="str">
        <f>IF(OR($B176="",$A176&gt;$B$9),"",IF(COUNTIFS(BD!$B$3:$B$5001,E$173,BD!$A$3:$A$5001,"&gt;="&amp;$C$7,BD!$A$3:$A$5001,"&lt;="&amp;$B176,BD!$Y$3:$Y$5001,"&lt;&gt;")=0,"",SUMIFS(BD!$Y$3:$Y$5001,BD!$B$3:$B$5001,E$173,BD!$A$3:$A$5001,_xlfn.MAXIFS(BD!$A$3:$A$5001,BD!$B$3:$B$5001,E$173,BD!$A$3:$A$5001,"&gt;="&amp;$C$7,BD!$A$3:$A$5001,"&lt;="&amp;$B176,BD!$Y$3:$Y$5001,"&lt;&gt;"))))</f>
        <v/>
      </c>
      <c r="F176" s="42" t="str">
        <f>IF(OR($B176="",$A176&gt;$B$9),"",IF(COUNTIFS(BD!$B$3:$B$5001,F$173,BD!$A$3:$A$5001,"&gt;="&amp;$C$7,BD!$A$3:$A$5001,"&lt;="&amp;$B176,BD!$Y$3:$Y$5001,"&lt;&gt;")=0,"",SUMIFS(BD!$Y$3:$Y$5001,BD!$B$3:$B$5001,F$173,BD!$A$3:$A$5001,_xlfn.MAXIFS(BD!$A$3:$A$5001,BD!$B$3:$B$5001,F$173,BD!$A$3:$A$5001,"&gt;="&amp;$C$7,BD!$A$3:$A$5001,"&lt;="&amp;$B176,BD!$Y$3:$Y$5001,"&lt;&gt;"))))</f>
        <v/>
      </c>
      <c r="G176" s="42" t="str">
        <f>IF(OR($B176="",$A176&gt;$B$9),"",IF(COUNTIFS(BD!$B$3:$B$5001,G$173,BD!$A$3:$A$5001,"&gt;="&amp;$C$7,BD!$A$3:$A$5001,"&lt;="&amp;$B176,BD!$Y$3:$Y$5001,"&lt;&gt;")=0,"",SUMIFS(BD!$Y$3:$Y$5001,BD!$B$3:$B$5001,G$173,BD!$A$3:$A$5001,_xlfn.MAXIFS(BD!$A$3:$A$5001,BD!$B$3:$B$5001,G$173,BD!$A$3:$A$5001,"&gt;="&amp;$C$7,BD!$A$3:$A$5001,"&lt;="&amp;$B176,BD!$Y$3:$Y$5001,"&lt;&gt;"))))</f>
        <v/>
      </c>
      <c r="H176" s="42" t="str">
        <f>IF(OR($B176="",$A176&gt;$B$9),"",IF(COUNTIFS(BD!$B$3:$B$5001,H$173,BD!$A$3:$A$5001,"&gt;="&amp;$C$7,BD!$A$3:$A$5001,"&lt;="&amp;$B176,BD!$Y$3:$Y$5001,"&lt;&gt;")=0,"",SUMIFS(BD!$Y$3:$Y$5001,BD!$B$3:$B$5001,H$173,BD!$A$3:$A$5001,_xlfn.MAXIFS(BD!$A$3:$A$5001,BD!$B$3:$B$5001,H$173,BD!$A$3:$A$5001,"&gt;="&amp;$C$7,BD!$A$3:$A$5001,"&lt;="&amp;$B176,BD!$Y$3:$Y$5001,"&lt;&gt;"))))</f>
        <v/>
      </c>
      <c r="I176" s="42" t="str">
        <f>IF(OR($B176="",$A176&gt;$B$9),"",IF(COUNTIFS(BD!$B$3:$B$5001,I$173,BD!$A$3:$A$5001,"&gt;="&amp;$C$7,BD!$A$3:$A$5001,"&lt;="&amp;$B176,BD!$Y$3:$Y$5001,"&lt;&gt;")=0,"",SUMIFS(BD!$Y$3:$Y$5001,BD!$B$3:$B$5001,I$173,BD!$A$3:$A$5001,_xlfn.MAXIFS(BD!$A$3:$A$5001,BD!$B$3:$B$5001,I$173,BD!$A$3:$A$5001,"&gt;="&amp;$C$7,BD!$A$3:$A$5001,"&lt;="&amp;$B176,BD!$Y$3:$Y$5001,"&lt;&gt;"))))</f>
        <v/>
      </c>
      <c r="J176" s="42" t="str">
        <f>IF(OR($B176="",$A176&gt;$B$9),"",IF(COUNTIFS(BD!$B$3:$B$5001,J$173,BD!$A$3:$A$5001,"&gt;="&amp;$C$7,BD!$A$3:$A$5001,"&lt;="&amp;$B176,BD!$Y$3:$Y$5001,"&lt;&gt;")=0,"",SUMIFS(BD!$Y$3:$Y$5001,BD!$B$3:$B$5001,J$173,BD!$A$3:$A$5001,_xlfn.MAXIFS(BD!$A$3:$A$5001,BD!$B$3:$B$5001,J$173,BD!$A$3:$A$5001,"&gt;="&amp;$C$7,BD!$A$3:$A$5001,"&lt;="&amp;$B176,BD!$Y$3:$Y$5001,"&lt;&gt;"))))</f>
        <v/>
      </c>
      <c r="K176" s="42" t="str">
        <f>IF(OR($B176="",$A176&gt;$B$9),"",IF(COUNTIFS(BD!$B$3:$B$5001,K$173,BD!$A$3:$A$5001,"&gt;="&amp;$C$7,BD!$A$3:$A$5001,"&lt;="&amp;$B176,BD!$Y$3:$Y$5001,"&lt;&gt;")=0,"",SUMIFS(BD!$Y$3:$Y$5001,BD!$B$3:$B$5001,K$173,BD!$A$3:$A$5001,_xlfn.MAXIFS(BD!$A$3:$A$5001,BD!$B$3:$B$5001,K$173,BD!$A$3:$A$5001,"&gt;="&amp;$C$7,BD!$A$3:$A$5001,"&lt;="&amp;$B176,BD!$Y$3:$Y$5001,"&lt;&gt;"))))</f>
        <v/>
      </c>
    </row>
    <row r="177">
      <c r="A177" s="40">
        <v>4</v>
      </c>
      <c r="B177" s="41">
        <f>$B$15</f>
        <v>46299</v>
      </c>
      <c r="C177" s="42" t="str">
        <f>IF(OR($B177="",$A177&gt;$B$9),"",IF(COUNTIFS(BD!$B$3:$B$5001,C$173,BD!$A$3:$A$5001,"&gt;="&amp;$C$7,BD!$A$3:$A$5001,"&lt;="&amp;$B177,BD!$Y$3:$Y$5001,"&lt;&gt;")=0,"",SUMIFS(BD!$Y$3:$Y$5001,BD!$B$3:$B$5001,C$173,BD!$A$3:$A$5001,_xlfn.MAXIFS(BD!$A$3:$A$5001,BD!$B$3:$B$5001,C$173,BD!$A$3:$A$5001,"&gt;="&amp;$C$7,BD!$A$3:$A$5001,"&lt;="&amp;$B177,BD!$Y$3:$Y$5001,"&lt;&gt;"))))</f>
        <v/>
      </c>
      <c r="D177" s="42" t="str">
        <f>IF(OR($B177="",$A177&gt;$B$9),"",IF(COUNTIFS(BD!$B$3:$B$5001,D$173,BD!$A$3:$A$5001,"&gt;="&amp;$C$7,BD!$A$3:$A$5001,"&lt;="&amp;$B177,BD!$Y$3:$Y$5001,"&lt;&gt;")=0,"",SUMIFS(BD!$Y$3:$Y$5001,BD!$B$3:$B$5001,D$173,BD!$A$3:$A$5001,_xlfn.MAXIFS(BD!$A$3:$A$5001,BD!$B$3:$B$5001,D$173,BD!$A$3:$A$5001,"&gt;="&amp;$C$7,BD!$A$3:$A$5001,"&lt;="&amp;$B177,BD!$Y$3:$Y$5001,"&lt;&gt;"))))</f>
        <v/>
      </c>
      <c r="E177" s="42" t="str">
        <f>IF(OR($B177="",$A177&gt;$B$9),"",IF(COUNTIFS(BD!$B$3:$B$5001,E$173,BD!$A$3:$A$5001,"&gt;="&amp;$C$7,BD!$A$3:$A$5001,"&lt;="&amp;$B177,BD!$Y$3:$Y$5001,"&lt;&gt;")=0,"",SUMIFS(BD!$Y$3:$Y$5001,BD!$B$3:$B$5001,E$173,BD!$A$3:$A$5001,_xlfn.MAXIFS(BD!$A$3:$A$5001,BD!$B$3:$B$5001,E$173,BD!$A$3:$A$5001,"&gt;="&amp;$C$7,BD!$A$3:$A$5001,"&lt;="&amp;$B177,BD!$Y$3:$Y$5001,"&lt;&gt;"))))</f>
        <v/>
      </c>
      <c r="F177" s="42" t="str">
        <f>IF(OR($B177="",$A177&gt;$B$9),"",IF(COUNTIFS(BD!$B$3:$B$5001,F$173,BD!$A$3:$A$5001,"&gt;="&amp;$C$7,BD!$A$3:$A$5001,"&lt;="&amp;$B177,BD!$Y$3:$Y$5001,"&lt;&gt;")=0,"",SUMIFS(BD!$Y$3:$Y$5001,BD!$B$3:$B$5001,F$173,BD!$A$3:$A$5001,_xlfn.MAXIFS(BD!$A$3:$A$5001,BD!$B$3:$B$5001,F$173,BD!$A$3:$A$5001,"&gt;="&amp;$C$7,BD!$A$3:$A$5001,"&lt;="&amp;$B177,BD!$Y$3:$Y$5001,"&lt;&gt;"))))</f>
        <v/>
      </c>
      <c r="G177" s="42" t="str">
        <f>IF(OR($B177="",$A177&gt;$B$9),"",IF(COUNTIFS(BD!$B$3:$B$5001,G$173,BD!$A$3:$A$5001,"&gt;="&amp;$C$7,BD!$A$3:$A$5001,"&lt;="&amp;$B177,BD!$Y$3:$Y$5001,"&lt;&gt;")=0,"",SUMIFS(BD!$Y$3:$Y$5001,BD!$B$3:$B$5001,G$173,BD!$A$3:$A$5001,_xlfn.MAXIFS(BD!$A$3:$A$5001,BD!$B$3:$B$5001,G$173,BD!$A$3:$A$5001,"&gt;="&amp;$C$7,BD!$A$3:$A$5001,"&lt;="&amp;$B177,BD!$Y$3:$Y$5001,"&lt;&gt;"))))</f>
        <v/>
      </c>
      <c r="H177" s="42" t="str">
        <f>IF(OR($B177="",$A177&gt;$B$9),"",IF(COUNTIFS(BD!$B$3:$B$5001,H$173,BD!$A$3:$A$5001,"&gt;="&amp;$C$7,BD!$A$3:$A$5001,"&lt;="&amp;$B177,BD!$Y$3:$Y$5001,"&lt;&gt;")=0,"",SUMIFS(BD!$Y$3:$Y$5001,BD!$B$3:$B$5001,H$173,BD!$A$3:$A$5001,_xlfn.MAXIFS(BD!$A$3:$A$5001,BD!$B$3:$B$5001,H$173,BD!$A$3:$A$5001,"&gt;="&amp;$C$7,BD!$A$3:$A$5001,"&lt;="&amp;$B177,BD!$Y$3:$Y$5001,"&lt;&gt;"))))</f>
        <v/>
      </c>
      <c r="I177" s="42" t="str">
        <f>IF(OR($B177="",$A177&gt;$B$9),"",IF(COUNTIFS(BD!$B$3:$B$5001,I$173,BD!$A$3:$A$5001,"&gt;="&amp;$C$7,BD!$A$3:$A$5001,"&lt;="&amp;$B177,BD!$Y$3:$Y$5001,"&lt;&gt;")=0,"",SUMIFS(BD!$Y$3:$Y$5001,BD!$B$3:$B$5001,I$173,BD!$A$3:$A$5001,_xlfn.MAXIFS(BD!$A$3:$A$5001,BD!$B$3:$B$5001,I$173,BD!$A$3:$A$5001,"&gt;="&amp;$C$7,BD!$A$3:$A$5001,"&lt;="&amp;$B177,BD!$Y$3:$Y$5001,"&lt;&gt;"))))</f>
        <v/>
      </c>
      <c r="J177" s="42" t="str">
        <f>IF(OR($B177="",$A177&gt;$B$9),"",IF(COUNTIFS(BD!$B$3:$B$5001,J$173,BD!$A$3:$A$5001,"&gt;="&amp;$C$7,BD!$A$3:$A$5001,"&lt;="&amp;$B177,BD!$Y$3:$Y$5001,"&lt;&gt;")=0,"",SUMIFS(BD!$Y$3:$Y$5001,BD!$B$3:$B$5001,J$173,BD!$A$3:$A$5001,_xlfn.MAXIFS(BD!$A$3:$A$5001,BD!$B$3:$B$5001,J$173,BD!$A$3:$A$5001,"&gt;="&amp;$C$7,BD!$A$3:$A$5001,"&lt;="&amp;$B177,BD!$Y$3:$Y$5001,"&lt;&gt;"))))</f>
        <v/>
      </c>
      <c r="K177" s="42" t="str">
        <f>IF(OR($B177="",$A177&gt;$B$9),"",IF(COUNTIFS(BD!$B$3:$B$5001,K$173,BD!$A$3:$A$5001,"&gt;="&amp;$C$7,BD!$A$3:$A$5001,"&lt;="&amp;$B177,BD!$Y$3:$Y$5001,"&lt;&gt;")=0,"",SUMIFS(BD!$Y$3:$Y$5001,BD!$B$3:$B$5001,K$173,BD!$A$3:$A$5001,_xlfn.MAXIFS(BD!$A$3:$A$5001,BD!$B$3:$B$5001,K$173,BD!$A$3:$A$5001,"&gt;="&amp;$C$7,BD!$A$3:$A$5001,"&lt;="&amp;$B177,BD!$Y$3:$Y$5001,"&lt;&gt;"))))</f>
        <v/>
      </c>
    </row>
    <row r="178">
      <c r="A178" s="40">
        <v>5</v>
      </c>
      <c r="B178" s="41">
        <f>$B$16</f>
        <v>46300</v>
      </c>
      <c r="C178" s="42" t="str">
        <f>IF(OR($B178="",$A178&gt;$B$9),"",IF(COUNTIFS(BD!$B$3:$B$5001,C$173,BD!$A$3:$A$5001,"&gt;="&amp;$C$7,BD!$A$3:$A$5001,"&lt;="&amp;$B178,BD!$Y$3:$Y$5001,"&lt;&gt;")=0,"",SUMIFS(BD!$Y$3:$Y$5001,BD!$B$3:$B$5001,C$173,BD!$A$3:$A$5001,_xlfn.MAXIFS(BD!$A$3:$A$5001,BD!$B$3:$B$5001,C$173,BD!$A$3:$A$5001,"&gt;="&amp;$C$7,BD!$A$3:$A$5001,"&lt;="&amp;$B178,BD!$Y$3:$Y$5001,"&lt;&gt;"))))</f>
        <v/>
      </c>
      <c r="D178" s="42" t="str">
        <f>IF(OR($B178="",$A178&gt;$B$9),"",IF(COUNTIFS(BD!$B$3:$B$5001,D$173,BD!$A$3:$A$5001,"&gt;="&amp;$C$7,BD!$A$3:$A$5001,"&lt;="&amp;$B178,BD!$Y$3:$Y$5001,"&lt;&gt;")=0,"",SUMIFS(BD!$Y$3:$Y$5001,BD!$B$3:$B$5001,D$173,BD!$A$3:$A$5001,_xlfn.MAXIFS(BD!$A$3:$A$5001,BD!$B$3:$B$5001,D$173,BD!$A$3:$A$5001,"&gt;="&amp;$C$7,BD!$A$3:$A$5001,"&lt;="&amp;$B178,BD!$Y$3:$Y$5001,"&lt;&gt;"))))</f>
        <v/>
      </c>
      <c r="E178" s="42" t="str">
        <f>IF(OR($B178="",$A178&gt;$B$9),"",IF(COUNTIFS(BD!$B$3:$B$5001,E$173,BD!$A$3:$A$5001,"&gt;="&amp;$C$7,BD!$A$3:$A$5001,"&lt;="&amp;$B178,BD!$Y$3:$Y$5001,"&lt;&gt;")=0,"",SUMIFS(BD!$Y$3:$Y$5001,BD!$B$3:$B$5001,E$173,BD!$A$3:$A$5001,_xlfn.MAXIFS(BD!$A$3:$A$5001,BD!$B$3:$B$5001,E$173,BD!$A$3:$A$5001,"&gt;="&amp;$C$7,BD!$A$3:$A$5001,"&lt;="&amp;$B178,BD!$Y$3:$Y$5001,"&lt;&gt;"))))</f>
        <v/>
      </c>
      <c r="F178" s="42" t="str">
        <f>IF(OR($B178="",$A178&gt;$B$9),"",IF(COUNTIFS(BD!$B$3:$B$5001,F$173,BD!$A$3:$A$5001,"&gt;="&amp;$C$7,BD!$A$3:$A$5001,"&lt;="&amp;$B178,BD!$Y$3:$Y$5001,"&lt;&gt;")=0,"",SUMIFS(BD!$Y$3:$Y$5001,BD!$B$3:$B$5001,F$173,BD!$A$3:$A$5001,_xlfn.MAXIFS(BD!$A$3:$A$5001,BD!$B$3:$B$5001,F$173,BD!$A$3:$A$5001,"&gt;="&amp;$C$7,BD!$A$3:$A$5001,"&lt;="&amp;$B178,BD!$Y$3:$Y$5001,"&lt;&gt;"))))</f>
        <v/>
      </c>
      <c r="G178" s="42" t="str">
        <f>IF(OR($B178="",$A178&gt;$B$9),"",IF(COUNTIFS(BD!$B$3:$B$5001,G$173,BD!$A$3:$A$5001,"&gt;="&amp;$C$7,BD!$A$3:$A$5001,"&lt;="&amp;$B178,BD!$Y$3:$Y$5001,"&lt;&gt;")=0,"",SUMIFS(BD!$Y$3:$Y$5001,BD!$B$3:$B$5001,G$173,BD!$A$3:$A$5001,_xlfn.MAXIFS(BD!$A$3:$A$5001,BD!$B$3:$B$5001,G$173,BD!$A$3:$A$5001,"&gt;="&amp;$C$7,BD!$A$3:$A$5001,"&lt;="&amp;$B178,BD!$Y$3:$Y$5001,"&lt;&gt;"))))</f>
        <v/>
      </c>
      <c r="H178" s="42" t="str">
        <f>IF(OR($B178="",$A178&gt;$B$9),"",IF(COUNTIFS(BD!$B$3:$B$5001,H$173,BD!$A$3:$A$5001,"&gt;="&amp;$C$7,BD!$A$3:$A$5001,"&lt;="&amp;$B178,BD!$Y$3:$Y$5001,"&lt;&gt;")=0,"",SUMIFS(BD!$Y$3:$Y$5001,BD!$B$3:$B$5001,H$173,BD!$A$3:$A$5001,_xlfn.MAXIFS(BD!$A$3:$A$5001,BD!$B$3:$B$5001,H$173,BD!$A$3:$A$5001,"&gt;="&amp;$C$7,BD!$A$3:$A$5001,"&lt;="&amp;$B178,BD!$Y$3:$Y$5001,"&lt;&gt;"))))</f>
        <v/>
      </c>
      <c r="I178" s="42" t="str">
        <f>IF(OR($B178="",$A178&gt;$B$9),"",IF(COUNTIFS(BD!$B$3:$B$5001,I$173,BD!$A$3:$A$5001,"&gt;="&amp;$C$7,BD!$A$3:$A$5001,"&lt;="&amp;$B178,BD!$Y$3:$Y$5001,"&lt;&gt;")=0,"",SUMIFS(BD!$Y$3:$Y$5001,BD!$B$3:$B$5001,I$173,BD!$A$3:$A$5001,_xlfn.MAXIFS(BD!$A$3:$A$5001,BD!$B$3:$B$5001,I$173,BD!$A$3:$A$5001,"&gt;="&amp;$C$7,BD!$A$3:$A$5001,"&lt;="&amp;$B178,BD!$Y$3:$Y$5001,"&lt;&gt;"))))</f>
        <v/>
      </c>
      <c r="J178" s="42" t="str">
        <f>IF(OR($B178="",$A178&gt;$B$9),"",IF(COUNTIFS(BD!$B$3:$B$5001,J$173,BD!$A$3:$A$5001,"&gt;="&amp;$C$7,BD!$A$3:$A$5001,"&lt;="&amp;$B178,BD!$Y$3:$Y$5001,"&lt;&gt;")=0,"",SUMIFS(BD!$Y$3:$Y$5001,BD!$B$3:$B$5001,J$173,BD!$A$3:$A$5001,_xlfn.MAXIFS(BD!$A$3:$A$5001,BD!$B$3:$B$5001,J$173,BD!$A$3:$A$5001,"&gt;="&amp;$C$7,BD!$A$3:$A$5001,"&lt;="&amp;$B178,BD!$Y$3:$Y$5001,"&lt;&gt;"))))</f>
        <v/>
      </c>
      <c r="K178" s="42" t="str">
        <f>IF(OR($B178="",$A178&gt;$B$9),"",IF(COUNTIFS(BD!$B$3:$B$5001,K$173,BD!$A$3:$A$5001,"&gt;="&amp;$C$7,BD!$A$3:$A$5001,"&lt;="&amp;$B178,BD!$Y$3:$Y$5001,"&lt;&gt;")=0,"",SUMIFS(BD!$Y$3:$Y$5001,BD!$B$3:$B$5001,K$173,BD!$A$3:$A$5001,_xlfn.MAXIFS(BD!$A$3:$A$5001,BD!$B$3:$B$5001,K$173,BD!$A$3:$A$5001,"&gt;="&amp;$C$7,BD!$A$3:$A$5001,"&lt;="&amp;$B178,BD!$Y$3:$Y$5001,"&lt;&gt;"))))</f>
        <v/>
      </c>
    </row>
    <row r="179">
      <c r="A179" s="40">
        <v>6</v>
      </c>
      <c r="B179" s="41">
        <f>$B$17</f>
        <v>46301</v>
      </c>
      <c r="C179" s="42" t="str">
        <f>IF(OR($B179="",$A179&gt;$B$9),"",IF(COUNTIFS(BD!$B$3:$B$5001,C$173,BD!$A$3:$A$5001,"&gt;="&amp;$C$7,BD!$A$3:$A$5001,"&lt;="&amp;$B179,BD!$Y$3:$Y$5001,"&lt;&gt;")=0,"",SUMIFS(BD!$Y$3:$Y$5001,BD!$B$3:$B$5001,C$173,BD!$A$3:$A$5001,_xlfn.MAXIFS(BD!$A$3:$A$5001,BD!$B$3:$B$5001,C$173,BD!$A$3:$A$5001,"&gt;="&amp;$C$7,BD!$A$3:$A$5001,"&lt;="&amp;$B179,BD!$Y$3:$Y$5001,"&lt;&gt;"))))</f>
        <v/>
      </c>
      <c r="D179" s="42" t="str">
        <f>IF(OR($B179="",$A179&gt;$B$9),"",IF(COUNTIFS(BD!$B$3:$B$5001,D$173,BD!$A$3:$A$5001,"&gt;="&amp;$C$7,BD!$A$3:$A$5001,"&lt;="&amp;$B179,BD!$Y$3:$Y$5001,"&lt;&gt;")=0,"",SUMIFS(BD!$Y$3:$Y$5001,BD!$B$3:$B$5001,D$173,BD!$A$3:$A$5001,_xlfn.MAXIFS(BD!$A$3:$A$5001,BD!$B$3:$B$5001,D$173,BD!$A$3:$A$5001,"&gt;="&amp;$C$7,BD!$A$3:$A$5001,"&lt;="&amp;$B179,BD!$Y$3:$Y$5001,"&lt;&gt;"))))</f>
        <v/>
      </c>
      <c r="E179" s="42" t="str">
        <f>IF(OR($B179="",$A179&gt;$B$9),"",IF(COUNTIFS(BD!$B$3:$B$5001,E$173,BD!$A$3:$A$5001,"&gt;="&amp;$C$7,BD!$A$3:$A$5001,"&lt;="&amp;$B179,BD!$Y$3:$Y$5001,"&lt;&gt;")=0,"",SUMIFS(BD!$Y$3:$Y$5001,BD!$B$3:$B$5001,E$173,BD!$A$3:$A$5001,_xlfn.MAXIFS(BD!$A$3:$A$5001,BD!$B$3:$B$5001,E$173,BD!$A$3:$A$5001,"&gt;="&amp;$C$7,BD!$A$3:$A$5001,"&lt;="&amp;$B179,BD!$Y$3:$Y$5001,"&lt;&gt;"))))</f>
        <v/>
      </c>
      <c r="F179" s="42" t="str">
        <f>IF(OR($B179="",$A179&gt;$B$9),"",IF(COUNTIFS(BD!$B$3:$B$5001,F$173,BD!$A$3:$A$5001,"&gt;="&amp;$C$7,BD!$A$3:$A$5001,"&lt;="&amp;$B179,BD!$Y$3:$Y$5001,"&lt;&gt;")=0,"",SUMIFS(BD!$Y$3:$Y$5001,BD!$B$3:$B$5001,F$173,BD!$A$3:$A$5001,_xlfn.MAXIFS(BD!$A$3:$A$5001,BD!$B$3:$B$5001,F$173,BD!$A$3:$A$5001,"&gt;="&amp;$C$7,BD!$A$3:$A$5001,"&lt;="&amp;$B179,BD!$Y$3:$Y$5001,"&lt;&gt;"))))</f>
        <v/>
      </c>
      <c r="G179" s="42" t="str">
        <f>IF(OR($B179="",$A179&gt;$B$9),"",IF(COUNTIFS(BD!$B$3:$B$5001,G$173,BD!$A$3:$A$5001,"&gt;="&amp;$C$7,BD!$A$3:$A$5001,"&lt;="&amp;$B179,BD!$Y$3:$Y$5001,"&lt;&gt;")=0,"",SUMIFS(BD!$Y$3:$Y$5001,BD!$B$3:$B$5001,G$173,BD!$A$3:$A$5001,_xlfn.MAXIFS(BD!$A$3:$A$5001,BD!$B$3:$B$5001,G$173,BD!$A$3:$A$5001,"&gt;="&amp;$C$7,BD!$A$3:$A$5001,"&lt;="&amp;$B179,BD!$Y$3:$Y$5001,"&lt;&gt;"))))</f>
        <v/>
      </c>
      <c r="H179" s="42" t="str">
        <f>IF(OR($B179="",$A179&gt;$B$9),"",IF(COUNTIFS(BD!$B$3:$B$5001,H$173,BD!$A$3:$A$5001,"&gt;="&amp;$C$7,BD!$A$3:$A$5001,"&lt;="&amp;$B179,BD!$Y$3:$Y$5001,"&lt;&gt;")=0,"",SUMIFS(BD!$Y$3:$Y$5001,BD!$B$3:$B$5001,H$173,BD!$A$3:$A$5001,_xlfn.MAXIFS(BD!$A$3:$A$5001,BD!$B$3:$B$5001,H$173,BD!$A$3:$A$5001,"&gt;="&amp;$C$7,BD!$A$3:$A$5001,"&lt;="&amp;$B179,BD!$Y$3:$Y$5001,"&lt;&gt;"))))</f>
        <v/>
      </c>
      <c r="I179" s="42" t="str">
        <f>IF(OR($B179="",$A179&gt;$B$9),"",IF(COUNTIFS(BD!$B$3:$B$5001,I$173,BD!$A$3:$A$5001,"&gt;="&amp;$C$7,BD!$A$3:$A$5001,"&lt;="&amp;$B179,BD!$Y$3:$Y$5001,"&lt;&gt;")=0,"",SUMIFS(BD!$Y$3:$Y$5001,BD!$B$3:$B$5001,I$173,BD!$A$3:$A$5001,_xlfn.MAXIFS(BD!$A$3:$A$5001,BD!$B$3:$B$5001,I$173,BD!$A$3:$A$5001,"&gt;="&amp;$C$7,BD!$A$3:$A$5001,"&lt;="&amp;$B179,BD!$Y$3:$Y$5001,"&lt;&gt;"))))</f>
        <v/>
      </c>
      <c r="J179" s="42" t="str">
        <f>IF(OR($B179="",$A179&gt;$B$9),"",IF(COUNTIFS(BD!$B$3:$B$5001,J$173,BD!$A$3:$A$5001,"&gt;="&amp;$C$7,BD!$A$3:$A$5001,"&lt;="&amp;$B179,BD!$Y$3:$Y$5001,"&lt;&gt;")=0,"",SUMIFS(BD!$Y$3:$Y$5001,BD!$B$3:$B$5001,J$173,BD!$A$3:$A$5001,_xlfn.MAXIFS(BD!$A$3:$A$5001,BD!$B$3:$B$5001,J$173,BD!$A$3:$A$5001,"&gt;="&amp;$C$7,BD!$A$3:$A$5001,"&lt;="&amp;$B179,BD!$Y$3:$Y$5001,"&lt;&gt;"))))</f>
        <v/>
      </c>
      <c r="K179" s="42" t="str">
        <f>IF(OR($B179="",$A179&gt;$B$9),"",IF(COUNTIFS(BD!$B$3:$B$5001,K$173,BD!$A$3:$A$5001,"&gt;="&amp;$C$7,BD!$A$3:$A$5001,"&lt;="&amp;$B179,BD!$Y$3:$Y$5001,"&lt;&gt;")=0,"",SUMIFS(BD!$Y$3:$Y$5001,BD!$B$3:$B$5001,K$173,BD!$A$3:$A$5001,_xlfn.MAXIFS(BD!$A$3:$A$5001,BD!$B$3:$B$5001,K$173,BD!$A$3:$A$5001,"&gt;="&amp;$C$7,BD!$A$3:$A$5001,"&lt;="&amp;$B179,BD!$Y$3:$Y$5001,"&lt;&gt;"))))</f>
        <v/>
      </c>
    </row>
    <row r="180">
      <c r="A180" s="40">
        <v>7</v>
      </c>
      <c r="B180" s="41">
        <f>$B$18</f>
        <v>46302</v>
      </c>
      <c r="C180" s="42" t="str">
        <f>IF(OR($B180="",$A180&gt;$B$9),"",IF(COUNTIFS(BD!$B$3:$B$5001,C$173,BD!$A$3:$A$5001,"&gt;="&amp;$C$7,BD!$A$3:$A$5001,"&lt;="&amp;$B180,BD!$Y$3:$Y$5001,"&lt;&gt;")=0,"",SUMIFS(BD!$Y$3:$Y$5001,BD!$B$3:$B$5001,C$173,BD!$A$3:$A$5001,_xlfn.MAXIFS(BD!$A$3:$A$5001,BD!$B$3:$B$5001,C$173,BD!$A$3:$A$5001,"&gt;="&amp;$C$7,BD!$A$3:$A$5001,"&lt;="&amp;$B180,BD!$Y$3:$Y$5001,"&lt;&gt;"))))</f>
        <v/>
      </c>
      <c r="D180" s="42" t="str">
        <f>IF(OR($B180="",$A180&gt;$B$9),"",IF(COUNTIFS(BD!$B$3:$B$5001,D$173,BD!$A$3:$A$5001,"&gt;="&amp;$C$7,BD!$A$3:$A$5001,"&lt;="&amp;$B180,BD!$Y$3:$Y$5001,"&lt;&gt;")=0,"",SUMIFS(BD!$Y$3:$Y$5001,BD!$B$3:$B$5001,D$173,BD!$A$3:$A$5001,_xlfn.MAXIFS(BD!$A$3:$A$5001,BD!$B$3:$B$5001,D$173,BD!$A$3:$A$5001,"&gt;="&amp;$C$7,BD!$A$3:$A$5001,"&lt;="&amp;$B180,BD!$Y$3:$Y$5001,"&lt;&gt;"))))</f>
        <v/>
      </c>
      <c r="E180" s="42" t="str">
        <f>IF(OR($B180="",$A180&gt;$B$9),"",IF(COUNTIFS(BD!$B$3:$B$5001,E$173,BD!$A$3:$A$5001,"&gt;="&amp;$C$7,BD!$A$3:$A$5001,"&lt;="&amp;$B180,BD!$Y$3:$Y$5001,"&lt;&gt;")=0,"",SUMIFS(BD!$Y$3:$Y$5001,BD!$B$3:$B$5001,E$173,BD!$A$3:$A$5001,_xlfn.MAXIFS(BD!$A$3:$A$5001,BD!$B$3:$B$5001,E$173,BD!$A$3:$A$5001,"&gt;="&amp;$C$7,BD!$A$3:$A$5001,"&lt;="&amp;$B180,BD!$Y$3:$Y$5001,"&lt;&gt;"))))</f>
        <v/>
      </c>
      <c r="F180" s="42" t="str">
        <f>IF(OR($B180="",$A180&gt;$B$9),"",IF(COUNTIFS(BD!$B$3:$B$5001,F$173,BD!$A$3:$A$5001,"&gt;="&amp;$C$7,BD!$A$3:$A$5001,"&lt;="&amp;$B180,BD!$Y$3:$Y$5001,"&lt;&gt;")=0,"",SUMIFS(BD!$Y$3:$Y$5001,BD!$B$3:$B$5001,F$173,BD!$A$3:$A$5001,_xlfn.MAXIFS(BD!$A$3:$A$5001,BD!$B$3:$B$5001,F$173,BD!$A$3:$A$5001,"&gt;="&amp;$C$7,BD!$A$3:$A$5001,"&lt;="&amp;$B180,BD!$Y$3:$Y$5001,"&lt;&gt;"))))</f>
        <v/>
      </c>
      <c r="G180" s="42" t="str">
        <f>IF(OR($B180="",$A180&gt;$B$9),"",IF(COUNTIFS(BD!$B$3:$B$5001,G$173,BD!$A$3:$A$5001,"&gt;="&amp;$C$7,BD!$A$3:$A$5001,"&lt;="&amp;$B180,BD!$Y$3:$Y$5001,"&lt;&gt;")=0,"",SUMIFS(BD!$Y$3:$Y$5001,BD!$B$3:$B$5001,G$173,BD!$A$3:$A$5001,_xlfn.MAXIFS(BD!$A$3:$A$5001,BD!$B$3:$B$5001,G$173,BD!$A$3:$A$5001,"&gt;="&amp;$C$7,BD!$A$3:$A$5001,"&lt;="&amp;$B180,BD!$Y$3:$Y$5001,"&lt;&gt;"))))</f>
        <v/>
      </c>
      <c r="H180" s="42" t="str">
        <f>IF(OR($B180="",$A180&gt;$B$9),"",IF(COUNTIFS(BD!$B$3:$B$5001,H$173,BD!$A$3:$A$5001,"&gt;="&amp;$C$7,BD!$A$3:$A$5001,"&lt;="&amp;$B180,BD!$Y$3:$Y$5001,"&lt;&gt;")=0,"",SUMIFS(BD!$Y$3:$Y$5001,BD!$B$3:$B$5001,H$173,BD!$A$3:$A$5001,_xlfn.MAXIFS(BD!$A$3:$A$5001,BD!$B$3:$B$5001,H$173,BD!$A$3:$A$5001,"&gt;="&amp;$C$7,BD!$A$3:$A$5001,"&lt;="&amp;$B180,BD!$Y$3:$Y$5001,"&lt;&gt;"))))</f>
        <v/>
      </c>
      <c r="I180" s="42" t="str">
        <f>IF(OR($B180="",$A180&gt;$B$9),"",IF(COUNTIFS(BD!$B$3:$B$5001,I$173,BD!$A$3:$A$5001,"&gt;="&amp;$C$7,BD!$A$3:$A$5001,"&lt;="&amp;$B180,BD!$Y$3:$Y$5001,"&lt;&gt;")=0,"",SUMIFS(BD!$Y$3:$Y$5001,BD!$B$3:$B$5001,I$173,BD!$A$3:$A$5001,_xlfn.MAXIFS(BD!$A$3:$A$5001,BD!$B$3:$B$5001,I$173,BD!$A$3:$A$5001,"&gt;="&amp;$C$7,BD!$A$3:$A$5001,"&lt;="&amp;$B180,BD!$Y$3:$Y$5001,"&lt;&gt;"))))</f>
        <v/>
      </c>
      <c r="J180" s="42" t="str">
        <f>IF(OR($B180="",$A180&gt;$B$9),"",IF(COUNTIFS(BD!$B$3:$B$5001,J$173,BD!$A$3:$A$5001,"&gt;="&amp;$C$7,BD!$A$3:$A$5001,"&lt;="&amp;$B180,BD!$Y$3:$Y$5001,"&lt;&gt;")=0,"",SUMIFS(BD!$Y$3:$Y$5001,BD!$B$3:$B$5001,J$173,BD!$A$3:$A$5001,_xlfn.MAXIFS(BD!$A$3:$A$5001,BD!$B$3:$B$5001,J$173,BD!$A$3:$A$5001,"&gt;="&amp;$C$7,BD!$A$3:$A$5001,"&lt;="&amp;$B180,BD!$Y$3:$Y$5001,"&lt;&gt;"))))</f>
        <v/>
      </c>
      <c r="K180" s="42" t="str">
        <f>IF(OR($B180="",$A180&gt;$B$9),"",IF(COUNTIFS(BD!$B$3:$B$5001,K$173,BD!$A$3:$A$5001,"&gt;="&amp;$C$7,BD!$A$3:$A$5001,"&lt;="&amp;$B180,BD!$Y$3:$Y$5001,"&lt;&gt;")=0,"",SUMIFS(BD!$Y$3:$Y$5001,BD!$B$3:$B$5001,K$173,BD!$A$3:$A$5001,_xlfn.MAXIFS(BD!$A$3:$A$5001,BD!$B$3:$B$5001,K$173,BD!$A$3:$A$5001,"&gt;="&amp;$C$7,BD!$A$3:$A$5001,"&lt;="&amp;$B180,BD!$Y$3:$Y$5001,"&lt;&gt;"))))</f>
        <v/>
      </c>
    </row>
    <row r="181">
      <c r="A181" s="40">
        <v>8</v>
      </c>
      <c r="B181" s="41">
        <f>$B$19</f>
        <v>46303</v>
      </c>
      <c r="C181" s="42" t="str">
        <f>IF(OR($B181="",$A181&gt;$B$9),"",IF(COUNTIFS(BD!$B$3:$B$5001,C$173,BD!$A$3:$A$5001,"&gt;="&amp;$C$7,BD!$A$3:$A$5001,"&lt;="&amp;$B181,BD!$Y$3:$Y$5001,"&lt;&gt;")=0,"",SUMIFS(BD!$Y$3:$Y$5001,BD!$B$3:$B$5001,C$173,BD!$A$3:$A$5001,_xlfn.MAXIFS(BD!$A$3:$A$5001,BD!$B$3:$B$5001,C$173,BD!$A$3:$A$5001,"&gt;="&amp;$C$7,BD!$A$3:$A$5001,"&lt;="&amp;$B181,BD!$Y$3:$Y$5001,"&lt;&gt;"))))</f>
        <v/>
      </c>
      <c r="D181" s="42" t="str">
        <f>IF(OR($B181="",$A181&gt;$B$9),"",IF(COUNTIFS(BD!$B$3:$B$5001,D$173,BD!$A$3:$A$5001,"&gt;="&amp;$C$7,BD!$A$3:$A$5001,"&lt;="&amp;$B181,BD!$Y$3:$Y$5001,"&lt;&gt;")=0,"",SUMIFS(BD!$Y$3:$Y$5001,BD!$B$3:$B$5001,D$173,BD!$A$3:$A$5001,_xlfn.MAXIFS(BD!$A$3:$A$5001,BD!$B$3:$B$5001,D$173,BD!$A$3:$A$5001,"&gt;="&amp;$C$7,BD!$A$3:$A$5001,"&lt;="&amp;$B181,BD!$Y$3:$Y$5001,"&lt;&gt;"))))</f>
        <v/>
      </c>
      <c r="E181" s="42" t="str">
        <f>IF(OR($B181="",$A181&gt;$B$9),"",IF(COUNTIFS(BD!$B$3:$B$5001,E$173,BD!$A$3:$A$5001,"&gt;="&amp;$C$7,BD!$A$3:$A$5001,"&lt;="&amp;$B181,BD!$Y$3:$Y$5001,"&lt;&gt;")=0,"",SUMIFS(BD!$Y$3:$Y$5001,BD!$B$3:$B$5001,E$173,BD!$A$3:$A$5001,_xlfn.MAXIFS(BD!$A$3:$A$5001,BD!$B$3:$B$5001,E$173,BD!$A$3:$A$5001,"&gt;="&amp;$C$7,BD!$A$3:$A$5001,"&lt;="&amp;$B181,BD!$Y$3:$Y$5001,"&lt;&gt;"))))</f>
        <v/>
      </c>
      <c r="F181" s="42" t="str">
        <f>IF(OR($B181="",$A181&gt;$B$9),"",IF(COUNTIFS(BD!$B$3:$B$5001,F$173,BD!$A$3:$A$5001,"&gt;="&amp;$C$7,BD!$A$3:$A$5001,"&lt;="&amp;$B181,BD!$Y$3:$Y$5001,"&lt;&gt;")=0,"",SUMIFS(BD!$Y$3:$Y$5001,BD!$B$3:$B$5001,F$173,BD!$A$3:$A$5001,_xlfn.MAXIFS(BD!$A$3:$A$5001,BD!$B$3:$B$5001,F$173,BD!$A$3:$A$5001,"&gt;="&amp;$C$7,BD!$A$3:$A$5001,"&lt;="&amp;$B181,BD!$Y$3:$Y$5001,"&lt;&gt;"))))</f>
        <v/>
      </c>
      <c r="G181" s="42" t="str">
        <f>IF(OR($B181="",$A181&gt;$B$9),"",IF(COUNTIFS(BD!$B$3:$B$5001,G$173,BD!$A$3:$A$5001,"&gt;="&amp;$C$7,BD!$A$3:$A$5001,"&lt;="&amp;$B181,BD!$Y$3:$Y$5001,"&lt;&gt;")=0,"",SUMIFS(BD!$Y$3:$Y$5001,BD!$B$3:$B$5001,G$173,BD!$A$3:$A$5001,_xlfn.MAXIFS(BD!$A$3:$A$5001,BD!$B$3:$B$5001,G$173,BD!$A$3:$A$5001,"&gt;="&amp;$C$7,BD!$A$3:$A$5001,"&lt;="&amp;$B181,BD!$Y$3:$Y$5001,"&lt;&gt;"))))</f>
        <v/>
      </c>
      <c r="H181" s="42" t="str">
        <f>IF(OR($B181="",$A181&gt;$B$9),"",IF(COUNTIFS(BD!$B$3:$B$5001,H$173,BD!$A$3:$A$5001,"&gt;="&amp;$C$7,BD!$A$3:$A$5001,"&lt;="&amp;$B181,BD!$Y$3:$Y$5001,"&lt;&gt;")=0,"",SUMIFS(BD!$Y$3:$Y$5001,BD!$B$3:$B$5001,H$173,BD!$A$3:$A$5001,_xlfn.MAXIFS(BD!$A$3:$A$5001,BD!$B$3:$B$5001,H$173,BD!$A$3:$A$5001,"&gt;="&amp;$C$7,BD!$A$3:$A$5001,"&lt;="&amp;$B181,BD!$Y$3:$Y$5001,"&lt;&gt;"))))</f>
        <v/>
      </c>
      <c r="I181" s="42" t="str">
        <f>IF(OR($B181="",$A181&gt;$B$9),"",IF(COUNTIFS(BD!$B$3:$B$5001,I$173,BD!$A$3:$A$5001,"&gt;="&amp;$C$7,BD!$A$3:$A$5001,"&lt;="&amp;$B181,BD!$Y$3:$Y$5001,"&lt;&gt;")=0,"",SUMIFS(BD!$Y$3:$Y$5001,BD!$B$3:$B$5001,I$173,BD!$A$3:$A$5001,_xlfn.MAXIFS(BD!$A$3:$A$5001,BD!$B$3:$B$5001,I$173,BD!$A$3:$A$5001,"&gt;="&amp;$C$7,BD!$A$3:$A$5001,"&lt;="&amp;$B181,BD!$Y$3:$Y$5001,"&lt;&gt;"))))</f>
        <v/>
      </c>
      <c r="J181" s="42" t="str">
        <f>IF(OR($B181="",$A181&gt;$B$9),"",IF(COUNTIFS(BD!$B$3:$B$5001,J$173,BD!$A$3:$A$5001,"&gt;="&amp;$C$7,BD!$A$3:$A$5001,"&lt;="&amp;$B181,BD!$Y$3:$Y$5001,"&lt;&gt;")=0,"",SUMIFS(BD!$Y$3:$Y$5001,BD!$B$3:$B$5001,J$173,BD!$A$3:$A$5001,_xlfn.MAXIFS(BD!$A$3:$A$5001,BD!$B$3:$B$5001,J$173,BD!$A$3:$A$5001,"&gt;="&amp;$C$7,BD!$A$3:$A$5001,"&lt;="&amp;$B181,BD!$Y$3:$Y$5001,"&lt;&gt;"))))</f>
        <v/>
      </c>
      <c r="K181" s="42" t="str">
        <f>IF(OR($B181="",$A181&gt;$B$9),"",IF(COUNTIFS(BD!$B$3:$B$5001,K$173,BD!$A$3:$A$5001,"&gt;="&amp;$C$7,BD!$A$3:$A$5001,"&lt;="&amp;$B181,BD!$Y$3:$Y$5001,"&lt;&gt;")=0,"",SUMIFS(BD!$Y$3:$Y$5001,BD!$B$3:$B$5001,K$173,BD!$A$3:$A$5001,_xlfn.MAXIFS(BD!$A$3:$A$5001,BD!$B$3:$B$5001,K$173,BD!$A$3:$A$5001,"&gt;="&amp;$C$7,BD!$A$3:$A$5001,"&lt;="&amp;$B181,BD!$Y$3:$Y$5001,"&lt;&gt;"))))</f>
        <v/>
      </c>
    </row>
    <row r="182">
      <c r="A182" s="40">
        <v>9</v>
      </c>
      <c r="B182" s="41">
        <f>$B$20</f>
        <v>46304</v>
      </c>
      <c r="C182" s="42" t="str">
        <f>IF(OR($B182="",$A182&gt;$B$9),"",IF(COUNTIFS(BD!$B$3:$B$5001,C$173,BD!$A$3:$A$5001,"&gt;="&amp;$C$7,BD!$A$3:$A$5001,"&lt;="&amp;$B182,BD!$Y$3:$Y$5001,"&lt;&gt;")=0,"",SUMIFS(BD!$Y$3:$Y$5001,BD!$B$3:$B$5001,C$173,BD!$A$3:$A$5001,_xlfn.MAXIFS(BD!$A$3:$A$5001,BD!$B$3:$B$5001,C$173,BD!$A$3:$A$5001,"&gt;="&amp;$C$7,BD!$A$3:$A$5001,"&lt;="&amp;$B182,BD!$Y$3:$Y$5001,"&lt;&gt;"))))</f>
        <v/>
      </c>
      <c r="D182" s="42" t="str">
        <f>IF(OR($B182="",$A182&gt;$B$9),"",IF(COUNTIFS(BD!$B$3:$B$5001,D$173,BD!$A$3:$A$5001,"&gt;="&amp;$C$7,BD!$A$3:$A$5001,"&lt;="&amp;$B182,BD!$Y$3:$Y$5001,"&lt;&gt;")=0,"",SUMIFS(BD!$Y$3:$Y$5001,BD!$B$3:$B$5001,D$173,BD!$A$3:$A$5001,_xlfn.MAXIFS(BD!$A$3:$A$5001,BD!$B$3:$B$5001,D$173,BD!$A$3:$A$5001,"&gt;="&amp;$C$7,BD!$A$3:$A$5001,"&lt;="&amp;$B182,BD!$Y$3:$Y$5001,"&lt;&gt;"))))</f>
        <v/>
      </c>
      <c r="E182" s="42" t="str">
        <f>IF(OR($B182="",$A182&gt;$B$9),"",IF(COUNTIFS(BD!$B$3:$B$5001,E$173,BD!$A$3:$A$5001,"&gt;="&amp;$C$7,BD!$A$3:$A$5001,"&lt;="&amp;$B182,BD!$Y$3:$Y$5001,"&lt;&gt;")=0,"",SUMIFS(BD!$Y$3:$Y$5001,BD!$B$3:$B$5001,E$173,BD!$A$3:$A$5001,_xlfn.MAXIFS(BD!$A$3:$A$5001,BD!$B$3:$B$5001,E$173,BD!$A$3:$A$5001,"&gt;="&amp;$C$7,BD!$A$3:$A$5001,"&lt;="&amp;$B182,BD!$Y$3:$Y$5001,"&lt;&gt;"))))</f>
        <v/>
      </c>
      <c r="F182" s="42" t="str">
        <f>IF(OR($B182="",$A182&gt;$B$9),"",IF(COUNTIFS(BD!$B$3:$B$5001,F$173,BD!$A$3:$A$5001,"&gt;="&amp;$C$7,BD!$A$3:$A$5001,"&lt;="&amp;$B182,BD!$Y$3:$Y$5001,"&lt;&gt;")=0,"",SUMIFS(BD!$Y$3:$Y$5001,BD!$B$3:$B$5001,F$173,BD!$A$3:$A$5001,_xlfn.MAXIFS(BD!$A$3:$A$5001,BD!$B$3:$B$5001,F$173,BD!$A$3:$A$5001,"&gt;="&amp;$C$7,BD!$A$3:$A$5001,"&lt;="&amp;$B182,BD!$Y$3:$Y$5001,"&lt;&gt;"))))</f>
        <v/>
      </c>
      <c r="G182" s="42" t="str">
        <f>IF(OR($B182="",$A182&gt;$B$9),"",IF(COUNTIFS(BD!$B$3:$B$5001,G$173,BD!$A$3:$A$5001,"&gt;="&amp;$C$7,BD!$A$3:$A$5001,"&lt;="&amp;$B182,BD!$Y$3:$Y$5001,"&lt;&gt;")=0,"",SUMIFS(BD!$Y$3:$Y$5001,BD!$B$3:$B$5001,G$173,BD!$A$3:$A$5001,_xlfn.MAXIFS(BD!$A$3:$A$5001,BD!$B$3:$B$5001,G$173,BD!$A$3:$A$5001,"&gt;="&amp;$C$7,BD!$A$3:$A$5001,"&lt;="&amp;$B182,BD!$Y$3:$Y$5001,"&lt;&gt;"))))</f>
        <v/>
      </c>
      <c r="H182" s="42" t="str">
        <f>IF(OR($B182="",$A182&gt;$B$9),"",IF(COUNTIFS(BD!$B$3:$B$5001,H$173,BD!$A$3:$A$5001,"&gt;="&amp;$C$7,BD!$A$3:$A$5001,"&lt;="&amp;$B182,BD!$Y$3:$Y$5001,"&lt;&gt;")=0,"",SUMIFS(BD!$Y$3:$Y$5001,BD!$B$3:$B$5001,H$173,BD!$A$3:$A$5001,_xlfn.MAXIFS(BD!$A$3:$A$5001,BD!$B$3:$B$5001,H$173,BD!$A$3:$A$5001,"&gt;="&amp;$C$7,BD!$A$3:$A$5001,"&lt;="&amp;$B182,BD!$Y$3:$Y$5001,"&lt;&gt;"))))</f>
        <v/>
      </c>
      <c r="I182" s="42" t="str">
        <f>IF(OR($B182="",$A182&gt;$B$9),"",IF(COUNTIFS(BD!$B$3:$B$5001,I$173,BD!$A$3:$A$5001,"&gt;="&amp;$C$7,BD!$A$3:$A$5001,"&lt;="&amp;$B182,BD!$Y$3:$Y$5001,"&lt;&gt;")=0,"",SUMIFS(BD!$Y$3:$Y$5001,BD!$B$3:$B$5001,I$173,BD!$A$3:$A$5001,_xlfn.MAXIFS(BD!$A$3:$A$5001,BD!$B$3:$B$5001,I$173,BD!$A$3:$A$5001,"&gt;="&amp;$C$7,BD!$A$3:$A$5001,"&lt;="&amp;$B182,BD!$Y$3:$Y$5001,"&lt;&gt;"))))</f>
        <v/>
      </c>
      <c r="J182" s="42" t="str">
        <f>IF(OR($B182="",$A182&gt;$B$9),"",IF(COUNTIFS(BD!$B$3:$B$5001,J$173,BD!$A$3:$A$5001,"&gt;="&amp;$C$7,BD!$A$3:$A$5001,"&lt;="&amp;$B182,BD!$Y$3:$Y$5001,"&lt;&gt;")=0,"",SUMIFS(BD!$Y$3:$Y$5001,BD!$B$3:$B$5001,J$173,BD!$A$3:$A$5001,_xlfn.MAXIFS(BD!$A$3:$A$5001,BD!$B$3:$B$5001,J$173,BD!$A$3:$A$5001,"&gt;="&amp;$C$7,BD!$A$3:$A$5001,"&lt;="&amp;$B182,BD!$Y$3:$Y$5001,"&lt;&gt;"))))</f>
        <v/>
      </c>
      <c r="K182" s="42" t="str">
        <f>IF(OR($B182="",$A182&gt;$B$9),"",IF(COUNTIFS(BD!$B$3:$B$5001,K$173,BD!$A$3:$A$5001,"&gt;="&amp;$C$7,BD!$A$3:$A$5001,"&lt;="&amp;$B182,BD!$Y$3:$Y$5001,"&lt;&gt;")=0,"",SUMIFS(BD!$Y$3:$Y$5001,BD!$B$3:$B$5001,K$173,BD!$A$3:$A$5001,_xlfn.MAXIFS(BD!$A$3:$A$5001,BD!$B$3:$B$5001,K$173,BD!$A$3:$A$5001,"&gt;="&amp;$C$7,BD!$A$3:$A$5001,"&lt;="&amp;$B182,BD!$Y$3:$Y$5001,"&lt;&gt;"))))</f>
        <v/>
      </c>
    </row>
    <row r="183">
      <c r="A183" s="40">
        <v>10</v>
      </c>
      <c r="B183" s="41">
        <f>$B$21</f>
        <v>46305</v>
      </c>
      <c r="C183" s="42" t="str">
        <f>IF(OR($B183="",$A183&gt;$B$9),"",IF(COUNTIFS(BD!$B$3:$B$5001,C$173,BD!$A$3:$A$5001,"&gt;="&amp;$C$7,BD!$A$3:$A$5001,"&lt;="&amp;$B183,BD!$Y$3:$Y$5001,"&lt;&gt;")=0,"",SUMIFS(BD!$Y$3:$Y$5001,BD!$B$3:$B$5001,C$173,BD!$A$3:$A$5001,_xlfn.MAXIFS(BD!$A$3:$A$5001,BD!$B$3:$B$5001,C$173,BD!$A$3:$A$5001,"&gt;="&amp;$C$7,BD!$A$3:$A$5001,"&lt;="&amp;$B183,BD!$Y$3:$Y$5001,"&lt;&gt;"))))</f>
        <v/>
      </c>
      <c r="D183" s="42" t="str">
        <f>IF(OR($B183="",$A183&gt;$B$9),"",IF(COUNTIFS(BD!$B$3:$B$5001,D$173,BD!$A$3:$A$5001,"&gt;="&amp;$C$7,BD!$A$3:$A$5001,"&lt;="&amp;$B183,BD!$Y$3:$Y$5001,"&lt;&gt;")=0,"",SUMIFS(BD!$Y$3:$Y$5001,BD!$B$3:$B$5001,D$173,BD!$A$3:$A$5001,_xlfn.MAXIFS(BD!$A$3:$A$5001,BD!$B$3:$B$5001,D$173,BD!$A$3:$A$5001,"&gt;="&amp;$C$7,BD!$A$3:$A$5001,"&lt;="&amp;$B183,BD!$Y$3:$Y$5001,"&lt;&gt;"))))</f>
        <v/>
      </c>
      <c r="E183" s="42" t="str">
        <f>IF(OR($B183="",$A183&gt;$B$9),"",IF(COUNTIFS(BD!$B$3:$B$5001,E$173,BD!$A$3:$A$5001,"&gt;="&amp;$C$7,BD!$A$3:$A$5001,"&lt;="&amp;$B183,BD!$Y$3:$Y$5001,"&lt;&gt;")=0,"",SUMIFS(BD!$Y$3:$Y$5001,BD!$B$3:$B$5001,E$173,BD!$A$3:$A$5001,_xlfn.MAXIFS(BD!$A$3:$A$5001,BD!$B$3:$B$5001,E$173,BD!$A$3:$A$5001,"&gt;="&amp;$C$7,BD!$A$3:$A$5001,"&lt;="&amp;$B183,BD!$Y$3:$Y$5001,"&lt;&gt;"))))</f>
        <v/>
      </c>
      <c r="F183" s="42" t="str">
        <f>IF(OR($B183="",$A183&gt;$B$9),"",IF(COUNTIFS(BD!$B$3:$B$5001,F$173,BD!$A$3:$A$5001,"&gt;="&amp;$C$7,BD!$A$3:$A$5001,"&lt;="&amp;$B183,BD!$Y$3:$Y$5001,"&lt;&gt;")=0,"",SUMIFS(BD!$Y$3:$Y$5001,BD!$B$3:$B$5001,F$173,BD!$A$3:$A$5001,_xlfn.MAXIFS(BD!$A$3:$A$5001,BD!$B$3:$B$5001,F$173,BD!$A$3:$A$5001,"&gt;="&amp;$C$7,BD!$A$3:$A$5001,"&lt;="&amp;$B183,BD!$Y$3:$Y$5001,"&lt;&gt;"))))</f>
        <v/>
      </c>
      <c r="G183" s="42" t="str">
        <f>IF(OR($B183="",$A183&gt;$B$9),"",IF(COUNTIFS(BD!$B$3:$B$5001,G$173,BD!$A$3:$A$5001,"&gt;="&amp;$C$7,BD!$A$3:$A$5001,"&lt;="&amp;$B183,BD!$Y$3:$Y$5001,"&lt;&gt;")=0,"",SUMIFS(BD!$Y$3:$Y$5001,BD!$B$3:$B$5001,G$173,BD!$A$3:$A$5001,_xlfn.MAXIFS(BD!$A$3:$A$5001,BD!$B$3:$B$5001,G$173,BD!$A$3:$A$5001,"&gt;="&amp;$C$7,BD!$A$3:$A$5001,"&lt;="&amp;$B183,BD!$Y$3:$Y$5001,"&lt;&gt;"))))</f>
        <v/>
      </c>
      <c r="H183" s="42" t="str">
        <f>IF(OR($B183="",$A183&gt;$B$9),"",IF(COUNTIFS(BD!$B$3:$B$5001,H$173,BD!$A$3:$A$5001,"&gt;="&amp;$C$7,BD!$A$3:$A$5001,"&lt;="&amp;$B183,BD!$Y$3:$Y$5001,"&lt;&gt;")=0,"",SUMIFS(BD!$Y$3:$Y$5001,BD!$B$3:$B$5001,H$173,BD!$A$3:$A$5001,_xlfn.MAXIFS(BD!$A$3:$A$5001,BD!$B$3:$B$5001,H$173,BD!$A$3:$A$5001,"&gt;="&amp;$C$7,BD!$A$3:$A$5001,"&lt;="&amp;$B183,BD!$Y$3:$Y$5001,"&lt;&gt;"))))</f>
        <v/>
      </c>
      <c r="I183" s="42" t="str">
        <f>IF(OR($B183="",$A183&gt;$B$9),"",IF(COUNTIFS(BD!$B$3:$B$5001,I$173,BD!$A$3:$A$5001,"&gt;="&amp;$C$7,BD!$A$3:$A$5001,"&lt;="&amp;$B183,BD!$Y$3:$Y$5001,"&lt;&gt;")=0,"",SUMIFS(BD!$Y$3:$Y$5001,BD!$B$3:$B$5001,I$173,BD!$A$3:$A$5001,_xlfn.MAXIFS(BD!$A$3:$A$5001,BD!$B$3:$B$5001,I$173,BD!$A$3:$A$5001,"&gt;="&amp;$C$7,BD!$A$3:$A$5001,"&lt;="&amp;$B183,BD!$Y$3:$Y$5001,"&lt;&gt;"))))</f>
        <v/>
      </c>
      <c r="J183" s="42" t="str">
        <f>IF(OR($B183="",$A183&gt;$B$9),"",IF(COUNTIFS(BD!$B$3:$B$5001,J$173,BD!$A$3:$A$5001,"&gt;="&amp;$C$7,BD!$A$3:$A$5001,"&lt;="&amp;$B183,BD!$Y$3:$Y$5001,"&lt;&gt;")=0,"",SUMIFS(BD!$Y$3:$Y$5001,BD!$B$3:$B$5001,J$173,BD!$A$3:$A$5001,_xlfn.MAXIFS(BD!$A$3:$A$5001,BD!$B$3:$B$5001,J$173,BD!$A$3:$A$5001,"&gt;="&amp;$C$7,BD!$A$3:$A$5001,"&lt;="&amp;$B183,BD!$Y$3:$Y$5001,"&lt;&gt;"))))</f>
        <v/>
      </c>
      <c r="K183" s="42" t="str">
        <f>IF(OR($B183="",$A183&gt;$B$9),"",IF(COUNTIFS(BD!$B$3:$B$5001,K$173,BD!$A$3:$A$5001,"&gt;="&amp;$C$7,BD!$A$3:$A$5001,"&lt;="&amp;$B183,BD!$Y$3:$Y$5001,"&lt;&gt;")=0,"",SUMIFS(BD!$Y$3:$Y$5001,BD!$B$3:$B$5001,K$173,BD!$A$3:$A$5001,_xlfn.MAXIFS(BD!$A$3:$A$5001,BD!$B$3:$B$5001,K$173,BD!$A$3:$A$5001,"&gt;="&amp;$C$7,BD!$A$3:$A$5001,"&lt;="&amp;$B183,BD!$Y$3:$Y$5001,"&lt;&gt;"))))</f>
        <v/>
      </c>
    </row>
    <row r="184">
      <c r="A184" s="40">
        <v>11</v>
      </c>
      <c r="B184" s="41">
        <f>$B$22</f>
        <v>46306</v>
      </c>
      <c r="C184" s="42" t="str">
        <f>IF(OR($B184="",$A184&gt;$B$9),"",IF(COUNTIFS(BD!$B$3:$B$5001,C$173,BD!$A$3:$A$5001,"&gt;="&amp;$C$7,BD!$A$3:$A$5001,"&lt;="&amp;$B184,BD!$Y$3:$Y$5001,"&lt;&gt;")=0,"",SUMIFS(BD!$Y$3:$Y$5001,BD!$B$3:$B$5001,C$173,BD!$A$3:$A$5001,_xlfn.MAXIFS(BD!$A$3:$A$5001,BD!$B$3:$B$5001,C$173,BD!$A$3:$A$5001,"&gt;="&amp;$C$7,BD!$A$3:$A$5001,"&lt;="&amp;$B184,BD!$Y$3:$Y$5001,"&lt;&gt;"))))</f>
        <v/>
      </c>
      <c r="D184" s="42" t="str">
        <f>IF(OR($B184="",$A184&gt;$B$9),"",IF(COUNTIFS(BD!$B$3:$B$5001,D$173,BD!$A$3:$A$5001,"&gt;="&amp;$C$7,BD!$A$3:$A$5001,"&lt;="&amp;$B184,BD!$Y$3:$Y$5001,"&lt;&gt;")=0,"",SUMIFS(BD!$Y$3:$Y$5001,BD!$B$3:$B$5001,D$173,BD!$A$3:$A$5001,_xlfn.MAXIFS(BD!$A$3:$A$5001,BD!$B$3:$B$5001,D$173,BD!$A$3:$A$5001,"&gt;="&amp;$C$7,BD!$A$3:$A$5001,"&lt;="&amp;$B184,BD!$Y$3:$Y$5001,"&lt;&gt;"))))</f>
        <v/>
      </c>
      <c r="E184" s="42" t="str">
        <f>IF(OR($B184="",$A184&gt;$B$9),"",IF(COUNTIFS(BD!$B$3:$B$5001,E$173,BD!$A$3:$A$5001,"&gt;="&amp;$C$7,BD!$A$3:$A$5001,"&lt;="&amp;$B184,BD!$Y$3:$Y$5001,"&lt;&gt;")=0,"",SUMIFS(BD!$Y$3:$Y$5001,BD!$B$3:$B$5001,E$173,BD!$A$3:$A$5001,_xlfn.MAXIFS(BD!$A$3:$A$5001,BD!$B$3:$B$5001,E$173,BD!$A$3:$A$5001,"&gt;="&amp;$C$7,BD!$A$3:$A$5001,"&lt;="&amp;$B184,BD!$Y$3:$Y$5001,"&lt;&gt;"))))</f>
        <v/>
      </c>
      <c r="F184" s="42" t="str">
        <f>IF(OR($B184="",$A184&gt;$B$9),"",IF(COUNTIFS(BD!$B$3:$B$5001,F$173,BD!$A$3:$A$5001,"&gt;="&amp;$C$7,BD!$A$3:$A$5001,"&lt;="&amp;$B184,BD!$Y$3:$Y$5001,"&lt;&gt;")=0,"",SUMIFS(BD!$Y$3:$Y$5001,BD!$B$3:$B$5001,F$173,BD!$A$3:$A$5001,_xlfn.MAXIFS(BD!$A$3:$A$5001,BD!$B$3:$B$5001,F$173,BD!$A$3:$A$5001,"&gt;="&amp;$C$7,BD!$A$3:$A$5001,"&lt;="&amp;$B184,BD!$Y$3:$Y$5001,"&lt;&gt;"))))</f>
        <v/>
      </c>
      <c r="G184" s="42" t="str">
        <f>IF(OR($B184="",$A184&gt;$B$9),"",IF(COUNTIFS(BD!$B$3:$B$5001,G$173,BD!$A$3:$A$5001,"&gt;="&amp;$C$7,BD!$A$3:$A$5001,"&lt;="&amp;$B184,BD!$Y$3:$Y$5001,"&lt;&gt;")=0,"",SUMIFS(BD!$Y$3:$Y$5001,BD!$B$3:$B$5001,G$173,BD!$A$3:$A$5001,_xlfn.MAXIFS(BD!$A$3:$A$5001,BD!$B$3:$B$5001,G$173,BD!$A$3:$A$5001,"&gt;="&amp;$C$7,BD!$A$3:$A$5001,"&lt;="&amp;$B184,BD!$Y$3:$Y$5001,"&lt;&gt;"))))</f>
        <v/>
      </c>
      <c r="H184" s="42" t="str">
        <f>IF(OR($B184="",$A184&gt;$B$9),"",IF(COUNTIFS(BD!$B$3:$B$5001,H$173,BD!$A$3:$A$5001,"&gt;="&amp;$C$7,BD!$A$3:$A$5001,"&lt;="&amp;$B184,BD!$Y$3:$Y$5001,"&lt;&gt;")=0,"",SUMIFS(BD!$Y$3:$Y$5001,BD!$B$3:$B$5001,H$173,BD!$A$3:$A$5001,_xlfn.MAXIFS(BD!$A$3:$A$5001,BD!$B$3:$B$5001,H$173,BD!$A$3:$A$5001,"&gt;="&amp;$C$7,BD!$A$3:$A$5001,"&lt;="&amp;$B184,BD!$Y$3:$Y$5001,"&lt;&gt;"))))</f>
        <v/>
      </c>
      <c r="I184" s="42" t="str">
        <f>IF(OR($B184="",$A184&gt;$B$9),"",IF(COUNTIFS(BD!$B$3:$B$5001,I$173,BD!$A$3:$A$5001,"&gt;="&amp;$C$7,BD!$A$3:$A$5001,"&lt;="&amp;$B184,BD!$Y$3:$Y$5001,"&lt;&gt;")=0,"",SUMIFS(BD!$Y$3:$Y$5001,BD!$B$3:$B$5001,I$173,BD!$A$3:$A$5001,_xlfn.MAXIFS(BD!$A$3:$A$5001,BD!$B$3:$B$5001,I$173,BD!$A$3:$A$5001,"&gt;="&amp;$C$7,BD!$A$3:$A$5001,"&lt;="&amp;$B184,BD!$Y$3:$Y$5001,"&lt;&gt;"))))</f>
        <v/>
      </c>
      <c r="J184" s="42" t="str">
        <f>IF(OR($B184="",$A184&gt;$B$9),"",IF(COUNTIFS(BD!$B$3:$B$5001,J$173,BD!$A$3:$A$5001,"&gt;="&amp;$C$7,BD!$A$3:$A$5001,"&lt;="&amp;$B184,BD!$Y$3:$Y$5001,"&lt;&gt;")=0,"",SUMIFS(BD!$Y$3:$Y$5001,BD!$B$3:$B$5001,J$173,BD!$A$3:$A$5001,_xlfn.MAXIFS(BD!$A$3:$A$5001,BD!$B$3:$B$5001,J$173,BD!$A$3:$A$5001,"&gt;="&amp;$C$7,BD!$A$3:$A$5001,"&lt;="&amp;$B184,BD!$Y$3:$Y$5001,"&lt;&gt;"))))</f>
        <v/>
      </c>
      <c r="K184" s="42" t="str">
        <f>IF(OR($B184="",$A184&gt;$B$9),"",IF(COUNTIFS(BD!$B$3:$B$5001,K$173,BD!$A$3:$A$5001,"&gt;="&amp;$C$7,BD!$A$3:$A$5001,"&lt;="&amp;$B184,BD!$Y$3:$Y$5001,"&lt;&gt;")=0,"",SUMIFS(BD!$Y$3:$Y$5001,BD!$B$3:$B$5001,K$173,BD!$A$3:$A$5001,_xlfn.MAXIFS(BD!$A$3:$A$5001,BD!$B$3:$B$5001,K$173,BD!$A$3:$A$5001,"&gt;="&amp;$C$7,BD!$A$3:$A$5001,"&lt;="&amp;$B184,BD!$Y$3:$Y$5001,"&lt;&gt;"))))</f>
        <v/>
      </c>
    </row>
    <row r="185">
      <c r="A185" s="40">
        <v>12</v>
      </c>
      <c r="B185" s="41">
        <f>$B$23</f>
        <v>46307</v>
      </c>
      <c r="C185" s="42" t="str">
        <f>IF(OR($B185="",$A185&gt;$B$9),"",IF(COUNTIFS(BD!$B$3:$B$5001,C$173,BD!$A$3:$A$5001,"&gt;="&amp;$C$7,BD!$A$3:$A$5001,"&lt;="&amp;$B185,BD!$Y$3:$Y$5001,"&lt;&gt;")=0,"",SUMIFS(BD!$Y$3:$Y$5001,BD!$B$3:$B$5001,C$173,BD!$A$3:$A$5001,_xlfn.MAXIFS(BD!$A$3:$A$5001,BD!$B$3:$B$5001,C$173,BD!$A$3:$A$5001,"&gt;="&amp;$C$7,BD!$A$3:$A$5001,"&lt;="&amp;$B185,BD!$Y$3:$Y$5001,"&lt;&gt;"))))</f>
        <v/>
      </c>
      <c r="D185" s="42" t="str">
        <f>IF(OR($B185="",$A185&gt;$B$9),"",IF(COUNTIFS(BD!$B$3:$B$5001,D$173,BD!$A$3:$A$5001,"&gt;="&amp;$C$7,BD!$A$3:$A$5001,"&lt;="&amp;$B185,BD!$Y$3:$Y$5001,"&lt;&gt;")=0,"",SUMIFS(BD!$Y$3:$Y$5001,BD!$B$3:$B$5001,D$173,BD!$A$3:$A$5001,_xlfn.MAXIFS(BD!$A$3:$A$5001,BD!$B$3:$B$5001,D$173,BD!$A$3:$A$5001,"&gt;="&amp;$C$7,BD!$A$3:$A$5001,"&lt;="&amp;$B185,BD!$Y$3:$Y$5001,"&lt;&gt;"))))</f>
        <v/>
      </c>
      <c r="E185" s="42" t="str">
        <f>IF(OR($B185="",$A185&gt;$B$9),"",IF(COUNTIFS(BD!$B$3:$B$5001,E$173,BD!$A$3:$A$5001,"&gt;="&amp;$C$7,BD!$A$3:$A$5001,"&lt;="&amp;$B185,BD!$Y$3:$Y$5001,"&lt;&gt;")=0,"",SUMIFS(BD!$Y$3:$Y$5001,BD!$B$3:$B$5001,E$173,BD!$A$3:$A$5001,_xlfn.MAXIFS(BD!$A$3:$A$5001,BD!$B$3:$B$5001,E$173,BD!$A$3:$A$5001,"&gt;="&amp;$C$7,BD!$A$3:$A$5001,"&lt;="&amp;$B185,BD!$Y$3:$Y$5001,"&lt;&gt;"))))</f>
        <v/>
      </c>
      <c r="F185" s="42" t="str">
        <f>IF(OR($B185="",$A185&gt;$B$9),"",IF(COUNTIFS(BD!$B$3:$B$5001,F$173,BD!$A$3:$A$5001,"&gt;="&amp;$C$7,BD!$A$3:$A$5001,"&lt;="&amp;$B185,BD!$Y$3:$Y$5001,"&lt;&gt;")=0,"",SUMIFS(BD!$Y$3:$Y$5001,BD!$B$3:$B$5001,F$173,BD!$A$3:$A$5001,_xlfn.MAXIFS(BD!$A$3:$A$5001,BD!$B$3:$B$5001,F$173,BD!$A$3:$A$5001,"&gt;="&amp;$C$7,BD!$A$3:$A$5001,"&lt;="&amp;$B185,BD!$Y$3:$Y$5001,"&lt;&gt;"))))</f>
        <v/>
      </c>
      <c r="G185" s="42" t="str">
        <f>IF(OR($B185="",$A185&gt;$B$9),"",IF(COUNTIFS(BD!$B$3:$B$5001,G$173,BD!$A$3:$A$5001,"&gt;="&amp;$C$7,BD!$A$3:$A$5001,"&lt;="&amp;$B185,BD!$Y$3:$Y$5001,"&lt;&gt;")=0,"",SUMIFS(BD!$Y$3:$Y$5001,BD!$B$3:$B$5001,G$173,BD!$A$3:$A$5001,_xlfn.MAXIFS(BD!$A$3:$A$5001,BD!$B$3:$B$5001,G$173,BD!$A$3:$A$5001,"&gt;="&amp;$C$7,BD!$A$3:$A$5001,"&lt;="&amp;$B185,BD!$Y$3:$Y$5001,"&lt;&gt;"))))</f>
        <v/>
      </c>
      <c r="H185" s="42" t="str">
        <f>IF(OR($B185="",$A185&gt;$B$9),"",IF(COUNTIFS(BD!$B$3:$B$5001,H$173,BD!$A$3:$A$5001,"&gt;="&amp;$C$7,BD!$A$3:$A$5001,"&lt;="&amp;$B185,BD!$Y$3:$Y$5001,"&lt;&gt;")=0,"",SUMIFS(BD!$Y$3:$Y$5001,BD!$B$3:$B$5001,H$173,BD!$A$3:$A$5001,_xlfn.MAXIFS(BD!$A$3:$A$5001,BD!$B$3:$B$5001,H$173,BD!$A$3:$A$5001,"&gt;="&amp;$C$7,BD!$A$3:$A$5001,"&lt;="&amp;$B185,BD!$Y$3:$Y$5001,"&lt;&gt;"))))</f>
        <v/>
      </c>
      <c r="I185" s="42" t="str">
        <f>IF(OR($B185="",$A185&gt;$B$9),"",IF(COUNTIFS(BD!$B$3:$B$5001,I$173,BD!$A$3:$A$5001,"&gt;="&amp;$C$7,BD!$A$3:$A$5001,"&lt;="&amp;$B185,BD!$Y$3:$Y$5001,"&lt;&gt;")=0,"",SUMIFS(BD!$Y$3:$Y$5001,BD!$B$3:$B$5001,I$173,BD!$A$3:$A$5001,_xlfn.MAXIFS(BD!$A$3:$A$5001,BD!$B$3:$B$5001,I$173,BD!$A$3:$A$5001,"&gt;="&amp;$C$7,BD!$A$3:$A$5001,"&lt;="&amp;$B185,BD!$Y$3:$Y$5001,"&lt;&gt;"))))</f>
        <v/>
      </c>
      <c r="J185" s="42" t="str">
        <f>IF(OR($B185="",$A185&gt;$B$9),"",IF(COUNTIFS(BD!$B$3:$B$5001,J$173,BD!$A$3:$A$5001,"&gt;="&amp;$C$7,BD!$A$3:$A$5001,"&lt;="&amp;$B185,BD!$Y$3:$Y$5001,"&lt;&gt;")=0,"",SUMIFS(BD!$Y$3:$Y$5001,BD!$B$3:$B$5001,J$173,BD!$A$3:$A$5001,_xlfn.MAXIFS(BD!$A$3:$A$5001,BD!$B$3:$B$5001,J$173,BD!$A$3:$A$5001,"&gt;="&amp;$C$7,BD!$A$3:$A$5001,"&lt;="&amp;$B185,BD!$Y$3:$Y$5001,"&lt;&gt;"))))</f>
        <v/>
      </c>
      <c r="K185" s="42" t="str">
        <f>IF(OR($B185="",$A185&gt;$B$9),"",IF(COUNTIFS(BD!$B$3:$B$5001,K$173,BD!$A$3:$A$5001,"&gt;="&amp;$C$7,BD!$A$3:$A$5001,"&lt;="&amp;$B185,BD!$Y$3:$Y$5001,"&lt;&gt;")=0,"",SUMIFS(BD!$Y$3:$Y$5001,BD!$B$3:$B$5001,K$173,BD!$A$3:$A$5001,_xlfn.MAXIFS(BD!$A$3:$A$5001,BD!$B$3:$B$5001,K$173,BD!$A$3:$A$5001,"&gt;="&amp;$C$7,BD!$A$3:$A$5001,"&lt;="&amp;$B185,BD!$Y$3:$Y$5001,"&lt;&gt;"))))</f>
        <v/>
      </c>
    </row>
    <row r="186">
      <c r="A186" s="40">
        <v>13</v>
      </c>
      <c r="B186" s="41">
        <f>$B$24</f>
        <v>46308</v>
      </c>
      <c r="C186" s="42" t="str">
        <f>IF(OR($B186="",$A186&gt;$B$9),"",IF(COUNTIFS(BD!$B$3:$B$5001,C$173,BD!$A$3:$A$5001,"&gt;="&amp;$C$7,BD!$A$3:$A$5001,"&lt;="&amp;$B186,BD!$Y$3:$Y$5001,"&lt;&gt;")=0,"",SUMIFS(BD!$Y$3:$Y$5001,BD!$B$3:$B$5001,C$173,BD!$A$3:$A$5001,_xlfn.MAXIFS(BD!$A$3:$A$5001,BD!$B$3:$B$5001,C$173,BD!$A$3:$A$5001,"&gt;="&amp;$C$7,BD!$A$3:$A$5001,"&lt;="&amp;$B186,BD!$Y$3:$Y$5001,"&lt;&gt;"))))</f>
        <v/>
      </c>
      <c r="D186" s="42" t="str">
        <f>IF(OR($B186="",$A186&gt;$B$9),"",IF(COUNTIFS(BD!$B$3:$B$5001,D$173,BD!$A$3:$A$5001,"&gt;="&amp;$C$7,BD!$A$3:$A$5001,"&lt;="&amp;$B186,BD!$Y$3:$Y$5001,"&lt;&gt;")=0,"",SUMIFS(BD!$Y$3:$Y$5001,BD!$B$3:$B$5001,D$173,BD!$A$3:$A$5001,_xlfn.MAXIFS(BD!$A$3:$A$5001,BD!$B$3:$B$5001,D$173,BD!$A$3:$A$5001,"&gt;="&amp;$C$7,BD!$A$3:$A$5001,"&lt;="&amp;$B186,BD!$Y$3:$Y$5001,"&lt;&gt;"))))</f>
        <v/>
      </c>
      <c r="E186" s="42" t="str">
        <f>IF(OR($B186="",$A186&gt;$B$9),"",IF(COUNTIFS(BD!$B$3:$B$5001,E$173,BD!$A$3:$A$5001,"&gt;="&amp;$C$7,BD!$A$3:$A$5001,"&lt;="&amp;$B186,BD!$Y$3:$Y$5001,"&lt;&gt;")=0,"",SUMIFS(BD!$Y$3:$Y$5001,BD!$B$3:$B$5001,E$173,BD!$A$3:$A$5001,_xlfn.MAXIFS(BD!$A$3:$A$5001,BD!$B$3:$B$5001,E$173,BD!$A$3:$A$5001,"&gt;="&amp;$C$7,BD!$A$3:$A$5001,"&lt;="&amp;$B186,BD!$Y$3:$Y$5001,"&lt;&gt;"))))</f>
        <v/>
      </c>
      <c r="F186" s="42" t="str">
        <f>IF(OR($B186="",$A186&gt;$B$9),"",IF(COUNTIFS(BD!$B$3:$B$5001,F$173,BD!$A$3:$A$5001,"&gt;="&amp;$C$7,BD!$A$3:$A$5001,"&lt;="&amp;$B186,BD!$Y$3:$Y$5001,"&lt;&gt;")=0,"",SUMIFS(BD!$Y$3:$Y$5001,BD!$B$3:$B$5001,F$173,BD!$A$3:$A$5001,_xlfn.MAXIFS(BD!$A$3:$A$5001,BD!$B$3:$B$5001,F$173,BD!$A$3:$A$5001,"&gt;="&amp;$C$7,BD!$A$3:$A$5001,"&lt;="&amp;$B186,BD!$Y$3:$Y$5001,"&lt;&gt;"))))</f>
        <v/>
      </c>
      <c r="G186" s="42" t="str">
        <f>IF(OR($B186="",$A186&gt;$B$9),"",IF(COUNTIFS(BD!$B$3:$B$5001,G$173,BD!$A$3:$A$5001,"&gt;="&amp;$C$7,BD!$A$3:$A$5001,"&lt;="&amp;$B186,BD!$Y$3:$Y$5001,"&lt;&gt;")=0,"",SUMIFS(BD!$Y$3:$Y$5001,BD!$B$3:$B$5001,G$173,BD!$A$3:$A$5001,_xlfn.MAXIFS(BD!$A$3:$A$5001,BD!$B$3:$B$5001,G$173,BD!$A$3:$A$5001,"&gt;="&amp;$C$7,BD!$A$3:$A$5001,"&lt;="&amp;$B186,BD!$Y$3:$Y$5001,"&lt;&gt;"))))</f>
        <v/>
      </c>
      <c r="H186" s="42" t="str">
        <f>IF(OR($B186="",$A186&gt;$B$9),"",IF(COUNTIFS(BD!$B$3:$B$5001,H$173,BD!$A$3:$A$5001,"&gt;="&amp;$C$7,BD!$A$3:$A$5001,"&lt;="&amp;$B186,BD!$Y$3:$Y$5001,"&lt;&gt;")=0,"",SUMIFS(BD!$Y$3:$Y$5001,BD!$B$3:$B$5001,H$173,BD!$A$3:$A$5001,_xlfn.MAXIFS(BD!$A$3:$A$5001,BD!$B$3:$B$5001,H$173,BD!$A$3:$A$5001,"&gt;="&amp;$C$7,BD!$A$3:$A$5001,"&lt;="&amp;$B186,BD!$Y$3:$Y$5001,"&lt;&gt;"))))</f>
        <v/>
      </c>
      <c r="I186" s="42" t="str">
        <f>IF(OR($B186="",$A186&gt;$B$9),"",IF(COUNTIFS(BD!$B$3:$B$5001,I$173,BD!$A$3:$A$5001,"&gt;="&amp;$C$7,BD!$A$3:$A$5001,"&lt;="&amp;$B186,BD!$Y$3:$Y$5001,"&lt;&gt;")=0,"",SUMIFS(BD!$Y$3:$Y$5001,BD!$B$3:$B$5001,I$173,BD!$A$3:$A$5001,_xlfn.MAXIFS(BD!$A$3:$A$5001,BD!$B$3:$B$5001,I$173,BD!$A$3:$A$5001,"&gt;="&amp;$C$7,BD!$A$3:$A$5001,"&lt;="&amp;$B186,BD!$Y$3:$Y$5001,"&lt;&gt;"))))</f>
        <v/>
      </c>
      <c r="J186" s="42" t="str">
        <f>IF(OR($B186="",$A186&gt;$B$9),"",IF(COUNTIFS(BD!$B$3:$B$5001,J$173,BD!$A$3:$A$5001,"&gt;="&amp;$C$7,BD!$A$3:$A$5001,"&lt;="&amp;$B186,BD!$Y$3:$Y$5001,"&lt;&gt;")=0,"",SUMIFS(BD!$Y$3:$Y$5001,BD!$B$3:$B$5001,J$173,BD!$A$3:$A$5001,_xlfn.MAXIFS(BD!$A$3:$A$5001,BD!$B$3:$B$5001,J$173,BD!$A$3:$A$5001,"&gt;="&amp;$C$7,BD!$A$3:$A$5001,"&lt;="&amp;$B186,BD!$Y$3:$Y$5001,"&lt;&gt;"))))</f>
        <v/>
      </c>
      <c r="K186" s="42" t="str">
        <f>IF(OR($B186="",$A186&gt;$B$9),"",IF(COUNTIFS(BD!$B$3:$B$5001,K$173,BD!$A$3:$A$5001,"&gt;="&amp;$C$7,BD!$A$3:$A$5001,"&lt;="&amp;$B186,BD!$Y$3:$Y$5001,"&lt;&gt;")=0,"",SUMIFS(BD!$Y$3:$Y$5001,BD!$B$3:$B$5001,K$173,BD!$A$3:$A$5001,_xlfn.MAXIFS(BD!$A$3:$A$5001,BD!$B$3:$B$5001,K$173,BD!$A$3:$A$5001,"&gt;="&amp;$C$7,BD!$A$3:$A$5001,"&lt;="&amp;$B186,BD!$Y$3:$Y$5001,"&lt;&gt;"))))</f>
        <v/>
      </c>
    </row>
    <row r="187">
      <c r="A187" s="40">
        <v>14</v>
      </c>
      <c r="B187" s="41">
        <f>$B$25</f>
        <v>46309</v>
      </c>
      <c r="C187" s="42" t="str">
        <f>IF(OR($B187="",$A187&gt;$B$9),"",IF(COUNTIFS(BD!$B$3:$B$5001,C$173,BD!$A$3:$A$5001,"&gt;="&amp;$C$7,BD!$A$3:$A$5001,"&lt;="&amp;$B187,BD!$Y$3:$Y$5001,"&lt;&gt;")=0,"",SUMIFS(BD!$Y$3:$Y$5001,BD!$B$3:$B$5001,C$173,BD!$A$3:$A$5001,_xlfn.MAXIFS(BD!$A$3:$A$5001,BD!$B$3:$B$5001,C$173,BD!$A$3:$A$5001,"&gt;="&amp;$C$7,BD!$A$3:$A$5001,"&lt;="&amp;$B187,BD!$Y$3:$Y$5001,"&lt;&gt;"))))</f>
        <v/>
      </c>
      <c r="D187" s="42" t="str">
        <f>IF(OR($B187="",$A187&gt;$B$9),"",IF(COUNTIFS(BD!$B$3:$B$5001,D$173,BD!$A$3:$A$5001,"&gt;="&amp;$C$7,BD!$A$3:$A$5001,"&lt;="&amp;$B187,BD!$Y$3:$Y$5001,"&lt;&gt;")=0,"",SUMIFS(BD!$Y$3:$Y$5001,BD!$B$3:$B$5001,D$173,BD!$A$3:$A$5001,_xlfn.MAXIFS(BD!$A$3:$A$5001,BD!$B$3:$B$5001,D$173,BD!$A$3:$A$5001,"&gt;="&amp;$C$7,BD!$A$3:$A$5001,"&lt;="&amp;$B187,BD!$Y$3:$Y$5001,"&lt;&gt;"))))</f>
        <v/>
      </c>
      <c r="E187" s="42" t="str">
        <f>IF(OR($B187="",$A187&gt;$B$9),"",IF(COUNTIFS(BD!$B$3:$B$5001,E$173,BD!$A$3:$A$5001,"&gt;="&amp;$C$7,BD!$A$3:$A$5001,"&lt;="&amp;$B187,BD!$Y$3:$Y$5001,"&lt;&gt;")=0,"",SUMIFS(BD!$Y$3:$Y$5001,BD!$B$3:$B$5001,E$173,BD!$A$3:$A$5001,_xlfn.MAXIFS(BD!$A$3:$A$5001,BD!$B$3:$B$5001,E$173,BD!$A$3:$A$5001,"&gt;="&amp;$C$7,BD!$A$3:$A$5001,"&lt;="&amp;$B187,BD!$Y$3:$Y$5001,"&lt;&gt;"))))</f>
        <v/>
      </c>
      <c r="F187" s="42" t="str">
        <f>IF(OR($B187="",$A187&gt;$B$9),"",IF(COUNTIFS(BD!$B$3:$B$5001,F$173,BD!$A$3:$A$5001,"&gt;="&amp;$C$7,BD!$A$3:$A$5001,"&lt;="&amp;$B187,BD!$Y$3:$Y$5001,"&lt;&gt;")=0,"",SUMIFS(BD!$Y$3:$Y$5001,BD!$B$3:$B$5001,F$173,BD!$A$3:$A$5001,_xlfn.MAXIFS(BD!$A$3:$A$5001,BD!$B$3:$B$5001,F$173,BD!$A$3:$A$5001,"&gt;="&amp;$C$7,BD!$A$3:$A$5001,"&lt;="&amp;$B187,BD!$Y$3:$Y$5001,"&lt;&gt;"))))</f>
        <v/>
      </c>
      <c r="G187" s="42" t="str">
        <f>IF(OR($B187="",$A187&gt;$B$9),"",IF(COUNTIFS(BD!$B$3:$B$5001,G$173,BD!$A$3:$A$5001,"&gt;="&amp;$C$7,BD!$A$3:$A$5001,"&lt;="&amp;$B187,BD!$Y$3:$Y$5001,"&lt;&gt;")=0,"",SUMIFS(BD!$Y$3:$Y$5001,BD!$B$3:$B$5001,G$173,BD!$A$3:$A$5001,_xlfn.MAXIFS(BD!$A$3:$A$5001,BD!$B$3:$B$5001,G$173,BD!$A$3:$A$5001,"&gt;="&amp;$C$7,BD!$A$3:$A$5001,"&lt;="&amp;$B187,BD!$Y$3:$Y$5001,"&lt;&gt;"))))</f>
        <v/>
      </c>
      <c r="H187" s="42" t="str">
        <f>IF(OR($B187="",$A187&gt;$B$9),"",IF(COUNTIFS(BD!$B$3:$B$5001,H$173,BD!$A$3:$A$5001,"&gt;="&amp;$C$7,BD!$A$3:$A$5001,"&lt;="&amp;$B187,BD!$Y$3:$Y$5001,"&lt;&gt;")=0,"",SUMIFS(BD!$Y$3:$Y$5001,BD!$B$3:$B$5001,H$173,BD!$A$3:$A$5001,_xlfn.MAXIFS(BD!$A$3:$A$5001,BD!$B$3:$B$5001,H$173,BD!$A$3:$A$5001,"&gt;="&amp;$C$7,BD!$A$3:$A$5001,"&lt;="&amp;$B187,BD!$Y$3:$Y$5001,"&lt;&gt;"))))</f>
        <v/>
      </c>
      <c r="I187" s="42" t="str">
        <f>IF(OR($B187="",$A187&gt;$B$9),"",IF(COUNTIFS(BD!$B$3:$B$5001,I$173,BD!$A$3:$A$5001,"&gt;="&amp;$C$7,BD!$A$3:$A$5001,"&lt;="&amp;$B187,BD!$Y$3:$Y$5001,"&lt;&gt;")=0,"",SUMIFS(BD!$Y$3:$Y$5001,BD!$B$3:$B$5001,I$173,BD!$A$3:$A$5001,_xlfn.MAXIFS(BD!$A$3:$A$5001,BD!$B$3:$B$5001,I$173,BD!$A$3:$A$5001,"&gt;="&amp;$C$7,BD!$A$3:$A$5001,"&lt;="&amp;$B187,BD!$Y$3:$Y$5001,"&lt;&gt;"))))</f>
        <v/>
      </c>
      <c r="J187" s="42" t="str">
        <f>IF(OR($B187="",$A187&gt;$B$9),"",IF(COUNTIFS(BD!$B$3:$B$5001,J$173,BD!$A$3:$A$5001,"&gt;="&amp;$C$7,BD!$A$3:$A$5001,"&lt;="&amp;$B187,BD!$Y$3:$Y$5001,"&lt;&gt;")=0,"",SUMIFS(BD!$Y$3:$Y$5001,BD!$B$3:$B$5001,J$173,BD!$A$3:$A$5001,_xlfn.MAXIFS(BD!$A$3:$A$5001,BD!$B$3:$B$5001,J$173,BD!$A$3:$A$5001,"&gt;="&amp;$C$7,BD!$A$3:$A$5001,"&lt;="&amp;$B187,BD!$Y$3:$Y$5001,"&lt;&gt;"))))</f>
        <v/>
      </c>
      <c r="K187" s="42" t="str">
        <f>IF(OR($B187="",$A187&gt;$B$9),"",IF(COUNTIFS(BD!$B$3:$B$5001,K$173,BD!$A$3:$A$5001,"&gt;="&amp;$C$7,BD!$A$3:$A$5001,"&lt;="&amp;$B187,BD!$Y$3:$Y$5001,"&lt;&gt;")=0,"",SUMIFS(BD!$Y$3:$Y$5001,BD!$B$3:$B$5001,K$173,BD!$A$3:$A$5001,_xlfn.MAXIFS(BD!$A$3:$A$5001,BD!$B$3:$B$5001,K$173,BD!$A$3:$A$5001,"&gt;="&amp;$C$7,BD!$A$3:$A$5001,"&lt;="&amp;$B187,BD!$Y$3:$Y$5001,"&lt;&gt;"))))</f>
        <v/>
      </c>
    </row>
    <row r="188">
      <c r="A188" s="40">
        <v>15</v>
      </c>
      <c r="B188" s="41">
        <f>$B$26</f>
        <v>46310</v>
      </c>
      <c r="C188" s="42" t="str">
        <f>IF(OR($B188="",$A188&gt;$B$9),"",IF(COUNTIFS(BD!$B$3:$B$5001,C$173,BD!$A$3:$A$5001,"&gt;="&amp;$C$7,BD!$A$3:$A$5001,"&lt;="&amp;$B188,BD!$Y$3:$Y$5001,"&lt;&gt;")=0,"",SUMIFS(BD!$Y$3:$Y$5001,BD!$B$3:$B$5001,C$173,BD!$A$3:$A$5001,_xlfn.MAXIFS(BD!$A$3:$A$5001,BD!$B$3:$B$5001,C$173,BD!$A$3:$A$5001,"&gt;="&amp;$C$7,BD!$A$3:$A$5001,"&lt;="&amp;$B188,BD!$Y$3:$Y$5001,"&lt;&gt;"))))</f>
        <v/>
      </c>
      <c r="D188" s="42" t="str">
        <f>IF(OR($B188="",$A188&gt;$B$9),"",IF(COUNTIFS(BD!$B$3:$B$5001,D$173,BD!$A$3:$A$5001,"&gt;="&amp;$C$7,BD!$A$3:$A$5001,"&lt;="&amp;$B188,BD!$Y$3:$Y$5001,"&lt;&gt;")=0,"",SUMIFS(BD!$Y$3:$Y$5001,BD!$B$3:$B$5001,D$173,BD!$A$3:$A$5001,_xlfn.MAXIFS(BD!$A$3:$A$5001,BD!$B$3:$B$5001,D$173,BD!$A$3:$A$5001,"&gt;="&amp;$C$7,BD!$A$3:$A$5001,"&lt;="&amp;$B188,BD!$Y$3:$Y$5001,"&lt;&gt;"))))</f>
        <v/>
      </c>
      <c r="E188" s="42" t="str">
        <f>IF(OR($B188="",$A188&gt;$B$9),"",IF(COUNTIFS(BD!$B$3:$B$5001,E$173,BD!$A$3:$A$5001,"&gt;="&amp;$C$7,BD!$A$3:$A$5001,"&lt;="&amp;$B188,BD!$Y$3:$Y$5001,"&lt;&gt;")=0,"",SUMIFS(BD!$Y$3:$Y$5001,BD!$B$3:$B$5001,E$173,BD!$A$3:$A$5001,_xlfn.MAXIFS(BD!$A$3:$A$5001,BD!$B$3:$B$5001,E$173,BD!$A$3:$A$5001,"&gt;="&amp;$C$7,BD!$A$3:$A$5001,"&lt;="&amp;$B188,BD!$Y$3:$Y$5001,"&lt;&gt;"))))</f>
        <v/>
      </c>
      <c r="F188" s="42" t="str">
        <f>IF(OR($B188="",$A188&gt;$B$9),"",IF(COUNTIFS(BD!$B$3:$B$5001,F$173,BD!$A$3:$A$5001,"&gt;="&amp;$C$7,BD!$A$3:$A$5001,"&lt;="&amp;$B188,BD!$Y$3:$Y$5001,"&lt;&gt;")=0,"",SUMIFS(BD!$Y$3:$Y$5001,BD!$B$3:$B$5001,F$173,BD!$A$3:$A$5001,_xlfn.MAXIFS(BD!$A$3:$A$5001,BD!$B$3:$B$5001,F$173,BD!$A$3:$A$5001,"&gt;="&amp;$C$7,BD!$A$3:$A$5001,"&lt;="&amp;$B188,BD!$Y$3:$Y$5001,"&lt;&gt;"))))</f>
        <v/>
      </c>
      <c r="G188" s="42" t="str">
        <f>IF(OR($B188="",$A188&gt;$B$9),"",IF(COUNTIFS(BD!$B$3:$B$5001,G$173,BD!$A$3:$A$5001,"&gt;="&amp;$C$7,BD!$A$3:$A$5001,"&lt;="&amp;$B188,BD!$Y$3:$Y$5001,"&lt;&gt;")=0,"",SUMIFS(BD!$Y$3:$Y$5001,BD!$B$3:$B$5001,G$173,BD!$A$3:$A$5001,_xlfn.MAXIFS(BD!$A$3:$A$5001,BD!$B$3:$B$5001,G$173,BD!$A$3:$A$5001,"&gt;="&amp;$C$7,BD!$A$3:$A$5001,"&lt;="&amp;$B188,BD!$Y$3:$Y$5001,"&lt;&gt;"))))</f>
        <v/>
      </c>
      <c r="H188" s="42" t="str">
        <f>IF(OR($B188="",$A188&gt;$B$9),"",IF(COUNTIFS(BD!$B$3:$B$5001,H$173,BD!$A$3:$A$5001,"&gt;="&amp;$C$7,BD!$A$3:$A$5001,"&lt;="&amp;$B188,BD!$Y$3:$Y$5001,"&lt;&gt;")=0,"",SUMIFS(BD!$Y$3:$Y$5001,BD!$B$3:$B$5001,H$173,BD!$A$3:$A$5001,_xlfn.MAXIFS(BD!$A$3:$A$5001,BD!$B$3:$B$5001,H$173,BD!$A$3:$A$5001,"&gt;="&amp;$C$7,BD!$A$3:$A$5001,"&lt;="&amp;$B188,BD!$Y$3:$Y$5001,"&lt;&gt;"))))</f>
        <v/>
      </c>
      <c r="I188" s="42" t="str">
        <f>IF(OR($B188="",$A188&gt;$B$9),"",IF(COUNTIFS(BD!$B$3:$B$5001,I$173,BD!$A$3:$A$5001,"&gt;="&amp;$C$7,BD!$A$3:$A$5001,"&lt;="&amp;$B188,BD!$Y$3:$Y$5001,"&lt;&gt;")=0,"",SUMIFS(BD!$Y$3:$Y$5001,BD!$B$3:$B$5001,I$173,BD!$A$3:$A$5001,_xlfn.MAXIFS(BD!$A$3:$A$5001,BD!$B$3:$B$5001,I$173,BD!$A$3:$A$5001,"&gt;="&amp;$C$7,BD!$A$3:$A$5001,"&lt;="&amp;$B188,BD!$Y$3:$Y$5001,"&lt;&gt;"))))</f>
        <v/>
      </c>
      <c r="J188" s="42" t="str">
        <f>IF(OR($B188="",$A188&gt;$B$9),"",IF(COUNTIFS(BD!$B$3:$B$5001,J$173,BD!$A$3:$A$5001,"&gt;="&amp;$C$7,BD!$A$3:$A$5001,"&lt;="&amp;$B188,BD!$Y$3:$Y$5001,"&lt;&gt;")=0,"",SUMIFS(BD!$Y$3:$Y$5001,BD!$B$3:$B$5001,J$173,BD!$A$3:$A$5001,_xlfn.MAXIFS(BD!$A$3:$A$5001,BD!$B$3:$B$5001,J$173,BD!$A$3:$A$5001,"&gt;="&amp;$C$7,BD!$A$3:$A$5001,"&lt;="&amp;$B188,BD!$Y$3:$Y$5001,"&lt;&gt;"))))</f>
        <v/>
      </c>
      <c r="K188" s="42" t="str">
        <f>IF(OR($B188="",$A188&gt;$B$9),"",IF(COUNTIFS(BD!$B$3:$B$5001,K$173,BD!$A$3:$A$5001,"&gt;="&amp;$C$7,BD!$A$3:$A$5001,"&lt;="&amp;$B188,BD!$Y$3:$Y$5001,"&lt;&gt;")=0,"",SUMIFS(BD!$Y$3:$Y$5001,BD!$B$3:$B$5001,K$173,BD!$A$3:$A$5001,_xlfn.MAXIFS(BD!$A$3:$A$5001,BD!$B$3:$B$5001,K$173,BD!$A$3:$A$5001,"&gt;="&amp;$C$7,BD!$A$3:$A$5001,"&lt;="&amp;$B188,BD!$Y$3:$Y$5001,"&lt;&gt;"))))</f>
        <v/>
      </c>
    </row>
    <row r="189">
      <c r="A189" s="40">
        <v>16</v>
      </c>
      <c r="B189" s="41">
        <f>$B$27</f>
        <v>46311</v>
      </c>
      <c r="C189" s="42" t="str">
        <f>IF(OR($B189="",$A189&gt;$B$9),"",IF(COUNTIFS(BD!$B$3:$B$5001,C$173,BD!$A$3:$A$5001,"&gt;="&amp;$C$7,BD!$A$3:$A$5001,"&lt;="&amp;$B189,BD!$Y$3:$Y$5001,"&lt;&gt;")=0,"",SUMIFS(BD!$Y$3:$Y$5001,BD!$B$3:$B$5001,C$173,BD!$A$3:$A$5001,_xlfn.MAXIFS(BD!$A$3:$A$5001,BD!$B$3:$B$5001,C$173,BD!$A$3:$A$5001,"&gt;="&amp;$C$7,BD!$A$3:$A$5001,"&lt;="&amp;$B189,BD!$Y$3:$Y$5001,"&lt;&gt;"))))</f>
        <v/>
      </c>
      <c r="D189" s="42" t="str">
        <f>IF(OR($B189="",$A189&gt;$B$9),"",IF(COUNTIFS(BD!$B$3:$B$5001,D$173,BD!$A$3:$A$5001,"&gt;="&amp;$C$7,BD!$A$3:$A$5001,"&lt;="&amp;$B189,BD!$Y$3:$Y$5001,"&lt;&gt;")=0,"",SUMIFS(BD!$Y$3:$Y$5001,BD!$B$3:$B$5001,D$173,BD!$A$3:$A$5001,_xlfn.MAXIFS(BD!$A$3:$A$5001,BD!$B$3:$B$5001,D$173,BD!$A$3:$A$5001,"&gt;="&amp;$C$7,BD!$A$3:$A$5001,"&lt;="&amp;$B189,BD!$Y$3:$Y$5001,"&lt;&gt;"))))</f>
        <v/>
      </c>
      <c r="E189" s="42" t="str">
        <f>IF(OR($B189="",$A189&gt;$B$9),"",IF(COUNTIFS(BD!$B$3:$B$5001,E$173,BD!$A$3:$A$5001,"&gt;="&amp;$C$7,BD!$A$3:$A$5001,"&lt;="&amp;$B189,BD!$Y$3:$Y$5001,"&lt;&gt;")=0,"",SUMIFS(BD!$Y$3:$Y$5001,BD!$B$3:$B$5001,E$173,BD!$A$3:$A$5001,_xlfn.MAXIFS(BD!$A$3:$A$5001,BD!$B$3:$B$5001,E$173,BD!$A$3:$A$5001,"&gt;="&amp;$C$7,BD!$A$3:$A$5001,"&lt;="&amp;$B189,BD!$Y$3:$Y$5001,"&lt;&gt;"))))</f>
        <v/>
      </c>
      <c r="F189" s="42" t="str">
        <f>IF(OR($B189="",$A189&gt;$B$9),"",IF(COUNTIFS(BD!$B$3:$B$5001,F$173,BD!$A$3:$A$5001,"&gt;="&amp;$C$7,BD!$A$3:$A$5001,"&lt;="&amp;$B189,BD!$Y$3:$Y$5001,"&lt;&gt;")=0,"",SUMIFS(BD!$Y$3:$Y$5001,BD!$B$3:$B$5001,F$173,BD!$A$3:$A$5001,_xlfn.MAXIFS(BD!$A$3:$A$5001,BD!$B$3:$B$5001,F$173,BD!$A$3:$A$5001,"&gt;="&amp;$C$7,BD!$A$3:$A$5001,"&lt;="&amp;$B189,BD!$Y$3:$Y$5001,"&lt;&gt;"))))</f>
        <v/>
      </c>
      <c r="G189" s="42" t="str">
        <f>IF(OR($B189="",$A189&gt;$B$9),"",IF(COUNTIFS(BD!$B$3:$B$5001,G$173,BD!$A$3:$A$5001,"&gt;="&amp;$C$7,BD!$A$3:$A$5001,"&lt;="&amp;$B189,BD!$Y$3:$Y$5001,"&lt;&gt;")=0,"",SUMIFS(BD!$Y$3:$Y$5001,BD!$B$3:$B$5001,G$173,BD!$A$3:$A$5001,_xlfn.MAXIFS(BD!$A$3:$A$5001,BD!$B$3:$B$5001,G$173,BD!$A$3:$A$5001,"&gt;="&amp;$C$7,BD!$A$3:$A$5001,"&lt;="&amp;$B189,BD!$Y$3:$Y$5001,"&lt;&gt;"))))</f>
        <v/>
      </c>
      <c r="H189" s="42" t="str">
        <f>IF(OR($B189="",$A189&gt;$B$9),"",IF(COUNTIFS(BD!$B$3:$B$5001,H$173,BD!$A$3:$A$5001,"&gt;="&amp;$C$7,BD!$A$3:$A$5001,"&lt;="&amp;$B189,BD!$Y$3:$Y$5001,"&lt;&gt;")=0,"",SUMIFS(BD!$Y$3:$Y$5001,BD!$B$3:$B$5001,H$173,BD!$A$3:$A$5001,_xlfn.MAXIFS(BD!$A$3:$A$5001,BD!$B$3:$B$5001,H$173,BD!$A$3:$A$5001,"&gt;="&amp;$C$7,BD!$A$3:$A$5001,"&lt;="&amp;$B189,BD!$Y$3:$Y$5001,"&lt;&gt;"))))</f>
        <v/>
      </c>
      <c r="I189" s="42" t="str">
        <f>IF(OR($B189="",$A189&gt;$B$9),"",IF(COUNTIFS(BD!$B$3:$B$5001,I$173,BD!$A$3:$A$5001,"&gt;="&amp;$C$7,BD!$A$3:$A$5001,"&lt;="&amp;$B189,BD!$Y$3:$Y$5001,"&lt;&gt;")=0,"",SUMIFS(BD!$Y$3:$Y$5001,BD!$B$3:$B$5001,I$173,BD!$A$3:$A$5001,_xlfn.MAXIFS(BD!$A$3:$A$5001,BD!$B$3:$B$5001,I$173,BD!$A$3:$A$5001,"&gt;="&amp;$C$7,BD!$A$3:$A$5001,"&lt;="&amp;$B189,BD!$Y$3:$Y$5001,"&lt;&gt;"))))</f>
        <v/>
      </c>
      <c r="J189" s="42" t="str">
        <f>IF(OR($B189="",$A189&gt;$B$9),"",IF(COUNTIFS(BD!$B$3:$B$5001,J$173,BD!$A$3:$A$5001,"&gt;="&amp;$C$7,BD!$A$3:$A$5001,"&lt;="&amp;$B189,BD!$Y$3:$Y$5001,"&lt;&gt;")=0,"",SUMIFS(BD!$Y$3:$Y$5001,BD!$B$3:$B$5001,J$173,BD!$A$3:$A$5001,_xlfn.MAXIFS(BD!$A$3:$A$5001,BD!$B$3:$B$5001,J$173,BD!$A$3:$A$5001,"&gt;="&amp;$C$7,BD!$A$3:$A$5001,"&lt;="&amp;$B189,BD!$Y$3:$Y$5001,"&lt;&gt;"))))</f>
        <v/>
      </c>
      <c r="K189" s="42" t="str">
        <f>IF(OR($B189="",$A189&gt;$B$9),"",IF(COUNTIFS(BD!$B$3:$B$5001,K$173,BD!$A$3:$A$5001,"&gt;="&amp;$C$7,BD!$A$3:$A$5001,"&lt;="&amp;$B189,BD!$Y$3:$Y$5001,"&lt;&gt;")=0,"",SUMIFS(BD!$Y$3:$Y$5001,BD!$B$3:$B$5001,K$173,BD!$A$3:$A$5001,_xlfn.MAXIFS(BD!$A$3:$A$5001,BD!$B$3:$B$5001,K$173,BD!$A$3:$A$5001,"&gt;="&amp;$C$7,BD!$A$3:$A$5001,"&lt;="&amp;$B189,BD!$Y$3:$Y$5001,"&lt;&gt;"))))</f>
        <v/>
      </c>
    </row>
    <row r="190">
      <c r="A190" s="40">
        <v>17</v>
      </c>
      <c r="B190" s="41">
        <f>$B$28</f>
        <v>46312</v>
      </c>
      <c r="C190" s="42" t="str">
        <f>IF(OR($B190="",$A190&gt;$B$9),"",IF(COUNTIFS(BD!$B$3:$B$5001,C$173,BD!$A$3:$A$5001,"&gt;="&amp;$C$7,BD!$A$3:$A$5001,"&lt;="&amp;$B190,BD!$Y$3:$Y$5001,"&lt;&gt;")=0,"",SUMIFS(BD!$Y$3:$Y$5001,BD!$B$3:$B$5001,C$173,BD!$A$3:$A$5001,_xlfn.MAXIFS(BD!$A$3:$A$5001,BD!$B$3:$B$5001,C$173,BD!$A$3:$A$5001,"&gt;="&amp;$C$7,BD!$A$3:$A$5001,"&lt;="&amp;$B190,BD!$Y$3:$Y$5001,"&lt;&gt;"))))</f>
        <v/>
      </c>
      <c r="D190" s="42" t="str">
        <f>IF(OR($B190="",$A190&gt;$B$9),"",IF(COUNTIFS(BD!$B$3:$B$5001,D$173,BD!$A$3:$A$5001,"&gt;="&amp;$C$7,BD!$A$3:$A$5001,"&lt;="&amp;$B190,BD!$Y$3:$Y$5001,"&lt;&gt;")=0,"",SUMIFS(BD!$Y$3:$Y$5001,BD!$B$3:$B$5001,D$173,BD!$A$3:$A$5001,_xlfn.MAXIFS(BD!$A$3:$A$5001,BD!$B$3:$B$5001,D$173,BD!$A$3:$A$5001,"&gt;="&amp;$C$7,BD!$A$3:$A$5001,"&lt;="&amp;$B190,BD!$Y$3:$Y$5001,"&lt;&gt;"))))</f>
        <v/>
      </c>
      <c r="E190" s="42" t="str">
        <f>IF(OR($B190="",$A190&gt;$B$9),"",IF(COUNTIFS(BD!$B$3:$B$5001,E$173,BD!$A$3:$A$5001,"&gt;="&amp;$C$7,BD!$A$3:$A$5001,"&lt;="&amp;$B190,BD!$Y$3:$Y$5001,"&lt;&gt;")=0,"",SUMIFS(BD!$Y$3:$Y$5001,BD!$B$3:$B$5001,E$173,BD!$A$3:$A$5001,_xlfn.MAXIFS(BD!$A$3:$A$5001,BD!$B$3:$B$5001,E$173,BD!$A$3:$A$5001,"&gt;="&amp;$C$7,BD!$A$3:$A$5001,"&lt;="&amp;$B190,BD!$Y$3:$Y$5001,"&lt;&gt;"))))</f>
        <v/>
      </c>
      <c r="F190" s="42" t="str">
        <f>IF(OR($B190="",$A190&gt;$B$9),"",IF(COUNTIFS(BD!$B$3:$B$5001,F$173,BD!$A$3:$A$5001,"&gt;="&amp;$C$7,BD!$A$3:$A$5001,"&lt;="&amp;$B190,BD!$Y$3:$Y$5001,"&lt;&gt;")=0,"",SUMIFS(BD!$Y$3:$Y$5001,BD!$B$3:$B$5001,F$173,BD!$A$3:$A$5001,_xlfn.MAXIFS(BD!$A$3:$A$5001,BD!$B$3:$B$5001,F$173,BD!$A$3:$A$5001,"&gt;="&amp;$C$7,BD!$A$3:$A$5001,"&lt;="&amp;$B190,BD!$Y$3:$Y$5001,"&lt;&gt;"))))</f>
        <v/>
      </c>
      <c r="G190" s="42" t="str">
        <f>IF(OR($B190="",$A190&gt;$B$9),"",IF(COUNTIFS(BD!$B$3:$B$5001,G$173,BD!$A$3:$A$5001,"&gt;="&amp;$C$7,BD!$A$3:$A$5001,"&lt;="&amp;$B190,BD!$Y$3:$Y$5001,"&lt;&gt;")=0,"",SUMIFS(BD!$Y$3:$Y$5001,BD!$B$3:$B$5001,G$173,BD!$A$3:$A$5001,_xlfn.MAXIFS(BD!$A$3:$A$5001,BD!$B$3:$B$5001,G$173,BD!$A$3:$A$5001,"&gt;="&amp;$C$7,BD!$A$3:$A$5001,"&lt;="&amp;$B190,BD!$Y$3:$Y$5001,"&lt;&gt;"))))</f>
        <v/>
      </c>
      <c r="H190" s="42" t="str">
        <f>IF(OR($B190="",$A190&gt;$B$9),"",IF(COUNTIFS(BD!$B$3:$B$5001,H$173,BD!$A$3:$A$5001,"&gt;="&amp;$C$7,BD!$A$3:$A$5001,"&lt;="&amp;$B190,BD!$Y$3:$Y$5001,"&lt;&gt;")=0,"",SUMIFS(BD!$Y$3:$Y$5001,BD!$B$3:$B$5001,H$173,BD!$A$3:$A$5001,_xlfn.MAXIFS(BD!$A$3:$A$5001,BD!$B$3:$B$5001,H$173,BD!$A$3:$A$5001,"&gt;="&amp;$C$7,BD!$A$3:$A$5001,"&lt;="&amp;$B190,BD!$Y$3:$Y$5001,"&lt;&gt;"))))</f>
        <v/>
      </c>
      <c r="I190" s="42" t="str">
        <f>IF(OR($B190="",$A190&gt;$B$9),"",IF(COUNTIFS(BD!$B$3:$B$5001,I$173,BD!$A$3:$A$5001,"&gt;="&amp;$C$7,BD!$A$3:$A$5001,"&lt;="&amp;$B190,BD!$Y$3:$Y$5001,"&lt;&gt;")=0,"",SUMIFS(BD!$Y$3:$Y$5001,BD!$B$3:$B$5001,I$173,BD!$A$3:$A$5001,_xlfn.MAXIFS(BD!$A$3:$A$5001,BD!$B$3:$B$5001,I$173,BD!$A$3:$A$5001,"&gt;="&amp;$C$7,BD!$A$3:$A$5001,"&lt;="&amp;$B190,BD!$Y$3:$Y$5001,"&lt;&gt;"))))</f>
        <v/>
      </c>
      <c r="J190" s="42" t="str">
        <f>IF(OR($B190="",$A190&gt;$B$9),"",IF(COUNTIFS(BD!$B$3:$B$5001,J$173,BD!$A$3:$A$5001,"&gt;="&amp;$C$7,BD!$A$3:$A$5001,"&lt;="&amp;$B190,BD!$Y$3:$Y$5001,"&lt;&gt;")=0,"",SUMIFS(BD!$Y$3:$Y$5001,BD!$B$3:$B$5001,J$173,BD!$A$3:$A$5001,_xlfn.MAXIFS(BD!$A$3:$A$5001,BD!$B$3:$B$5001,J$173,BD!$A$3:$A$5001,"&gt;="&amp;$C$7,BD!$A$3:$A$5001,"&lt;="&amp;$B190,BD!$Y$3:$Y$5001,"&lt;&gt;"))))</f>
        <v/>
      </c>
      <c r="K190" s="42" t="str">
        <f>IF(OR($B190="",$A190&gt;$B$9),"",IF(COUNTIFS(BD!$B$3:$B$5001,K$173,BD!$A$3:$A$5001,"&gt;="&amp;$C$7,BD!$A$3:$A$5001,"&lt;="&amp;$B190,BD!$Y$3:$Y$5001,"&lt;&gt;")=0,"",SUMIFS(BD!$Y$3:$Y$5001,BD!$B$3:$B$5001,K$173,BD!$A$3:$A$5001,_xlfn.MAXIFS(BD!$A$3:$A$5001,BD!$B$3:$B$5001,K$173,BD!$A$3:$A$5001,"&gt;="&amp;$C$7,BD!$A$3:$A$5001,"&lt;="&amp;$B190,BD!$Y$3:$Y$5001,"&lt;&gt;"))))</f>
        <v/>
      </c>
    </row>
    <row r="191">
      <c r="A191" s="40">
        <v>18</v>
      </c>
      <c r="B191" s="41">
        <f>$B$29</f>
        <v>46313</v>
      </c>
      <c r="C191" s="42" t="str">
        <f>IF(OR($B191="",$A191&gt;$B$9),"",IF(COUNTIFS(BD!$B$3:$B$5001,C$173,BD!$A$3:$A$5001,"&gt;="&amp;$C$7,BD!$A$3:$A$5001,"&lt;="&amp;$B191,BD!$Y$3:$Y$5001,"&lt;&gt;")=0,"",SUMIFS(BD!$Y$3:$Y$5001,BD!$B$3:$B$5001,C$173,BD!$A$3:$A$5001,_xlfn.MAXIFS(BD!$A$3:$A$5001,BD!$B$3:$B$5001,C$173,BD!$A$3:$A$5001,"&gt;="&amp;$C$7,BD!$A$3:$A$5001,"&lt;="&amp;$B191,BD!$Y$3:$Y$5001,"&lt;&gt;"))))</f>
        <v/>
      </c>
      <c r="D191" s="42" t="str">
        <f>IF(OR($B191="",$A191&gt;$B$9),"",IF(COUNTIFS(BD!$B$3:$B$5001,D$173,BD!$A$3:$A$5001,"&gt;="&amp;$C$7,BD!$A$3:$A$5001,"&lt;="&amp;$B191,BD!$Y$3:$Y$5001,"&lt;&gt;")=0,"",SUMIFS(BD!$Y$3:$Y$5001,BD!$B$3:$B$5001,D$173,BD!$A$3:$A$5001,_xlfn.MAXIFS(BD!$A$3:$A$5001,BD!$B$3:$B$5001,D$173,BD!$A$3:$A$5001,"&gt;="&amp;$C$7,BD!$A$3:$A$5001,"&lt;="&amp;$B191,BD!$Y$3:$Y$5001,"&lt;&gt;"))))</f>
        <v/>
      </c>
      <c r="E191" s="42" t="str">
        <f>IF(OR($B191="",$A191&gt;$B$9),"",IF(COUNTIFS(BD!$B$3:$B$5001,E$173,BD!$A$3:$A$5001,"&gt;="&amp;$C$7,BD!$A$3:$A$5001,"&lt;="&amp;$B191,BD!$Y$3:$Y$5001,"&lt;&gt;")=0,"",SUMIFS(BD!$Y$3:$Y$5001,BD!$B$3:$B$5001,E$173,BD!$A$3:$A$5001,_xlfn.MAXIFS(BD!$A$3:$A$5001,BD!$B$3:$B$5001,E$173,BD!$A$3:$A$5001,"&gt;="&amp;$C$7,BD!$A$3:$A$5001,"&lt;="&amp;$B191,BD!$Y$3:$Y$5001,"&lt;&gt;"))))</f>
        <v/>
      </c>
      <c r="F191" s="42" t="str">
        <f>IF(OR($B191="",$A191&gt;$B$9),"",IF(COUNTIFS(BD!$B$3:$B$5001,F$173,BD!$A$3:$A$5001,"&gt;="&amp;$C$7,BD!$A$3:$A$5001,"&lt;="&amp;$B191,BD!$Y$3:$Y$5001,"&lt;&gt;")=0,"",SUMIFS(BD!$Y$3:$Y$5001,BD!$B$3:$B$5001,F$173,BD!$A$3:$A$5001,_xlfn.MAXIFS(BD!$A$3:$A$5001,BD!$B$3:$B$5001,F$173,BD!$A$3:$A$5001,"&gt;="&amp;$C$7,BD!$A$3:$A$5001,"&lt;="&amp;$B191,BD!$Y$3:$Y$5001,"&lt;&gt;"))))</f>
        <v/>
      </c>
      <c r="G191" s="42" t="str">
        <f>IF(OR($B191="",$A191&gt;$B$9),"",IF(COUNTIFS(BD!$B$3:$B$5001,G$173,BD!$A$3:$A$5001,"&gt;="&amp;$C$7,BD!$A$3:$A$5001,"&lt;="&amp;$B191,BD!$Y$3:$Y$5001,"&lt;&gt;")=0,"",SUMIFS(BD!$Y$3:$Y$5001,BD!$B$3:$B$5001,G$173,BD!$A$3:$A$5001,_xlfn.MAXIFS(BD!$A$3:$A$5001,BD!$B$3:$B$5001,G$173,BD!$A$3:$A$5001,"&gt;="&amp;$C$7,BD!$A$3:$A$5001,"&lt;="&amp;$B191,BD!$Y$3:$Y$5001,"&lt;&gt;"))))</f>
        <v/>
      </c>
      <c r="H191" s="42" t="str">
        <f>IF(OR($B191="",$A191&gt;$B$9),"",IF(COUNTIFS(BD!$B$3:$B$5001,H$173,BD!$A$3:$A$5001,"&gt;="&amp;$C$7,BD!$A$3:$A$5001,"&lt;="&amp;$B191,BD!$Y$3:$Y$5001,"&lt;&gt;")=0,"",SUMIFS(BD!$Y$3:$Y$5001,BD!$B$3:$B$5001,H$173,BD!$A$3:$A$5001,_xlfn.MAXIFS(BD!$A$3:$A$5001,BD!$B$3:$B$5001,H$173,BD!$A$3:$A$5001,"&gt;="&amp;$C$7,BD!$A$3:$A$5001,"&lt;="&amp;$B191,BD!$Y$3:$Y$5001,"&lt;&gt;"))))</f>
        <v/>
      </c>
      <c r="I191" s="42" t="str">
        <f>IF(OR($B191="",$A191&gt;$B$9),"",IF(COUNTIFS(BD!$B$3:$B$5001,I$173,BD!$A$3:$A$5001,"&gt;="&amp;$C$7,BD!$A$3:$A$5001,"&lt;="&amp;$B191,BD!$Y$3:$Y$5001,"&lt;&gt;")=0,"",SUMIFS(BD!$Y$3:$Y$5001,BD!$B$3:$B$5001,I$173,BD!$A$3:$A$5001,_xlfn.MAXIFS(BD!$A$3:$A$5001,BD!$B$3:$B$5001,I$173,BD!$A$3:$A$5001,"&gt;="&amp;$C$7,BD!$A$3:$A$5001,"&lt;="&amp;$B191,BD!$Y$3:$Y$5001,"&lt;&gt;"))))</f>
        <v/>
      </c>
      <c r="J191" s="42" t="str">
        <f>IF(OR($B191="",$A191&gt;$B$9),"",IF(COUNTIFS(BD!$B$3:$B$5001,J$173,BD!$A$3:$A$5001,"&gt;="&amp;$C$7,BD!$A$3:$A$5001,"&lt;="&amp;$B191,BD!$Y$3:$Y$5001,"&lt;&gt;")=0,"",SUMIFS(BD!$Y$3:$Y$5001,BD!$B$3:$B$5001,J$173,BD!$A$3:$A$5001,_xlfn.MAXIFS(BD!$A$3:$A$5001,BD!$B$3:$B$5001,J$173,BD!$A$3:$A$5001,"&gt;="&amp;$C$7,BD!$A$3:$A$5001,"&lt;="&amp;$B191,BD!$Y$3:$Y$5001,"&lt;&gt;"))))</f>
        <v/>
      </c>
      <c r="K191" s="42" t="str">
        <f>IF(OR($B191="",$A191&gt;$B$9),"",IF(COUNTIFS(BD!$B$3:$B$5001,K$173,BD!$A$3:$A$5001,"&gt;="&amp;$C$7,BD!$A$3:$A$5001,"&lt;="&amp;$B191,BD!$Y$3:$Y$5001,"&lt;&gt;")=0,"",SUMIFS(BD!$Y$3:$Y$5001,BD!$B$3:$B$5001,K$173,BD!$A$3:$A$5001,_xlfn.MAXIFS(BD!$A$3:$A$5001,BD!$B$3:$B$5001,K$173,BD!$A$3:$A$5001,"&gt;="&amp;$C$7,BD!$A$3:$A$5001,"&lt;="&amp;$B191,BD!$Y$3:$Y$5001,"&lt;&gt;"))))</f>
        <v/>
      </c>
    </row>
    <row r="192">
      <c r="A192" s="40">
        <v>19</v>
      </c>
      <c r="B192" s="41">
        <f>$B$30</f>
        <v>46314</v>
      </c>
      <c r="C192" s="42" t="str">
        <f>IF(OR($B192="",$A192&gt;$B$9),"",IF(COUNTIFS(BD!$B$3:$B$5001,C$173,BD!$A$3:$A$5001,"&gt;="&amp;$C$7,BD!$A$3:$A$5001,"&lt;="&amp;$B192,BD!$Y$3:$Y$5001,"&lt;&gt;")=0,"",SUMIFS(BD!$Y$3:$Y$5001,BD!$B$3:$B$5001,C$173,BD!$A$3:$A$5001,_xlfn.MAXIFS(BD!$A$3:$A$5001,BD!$B$3:$B$5001,C$173,BD!$A$3:$A$5001,"&gt;="&amp;$C$7,BD!$A$3:$A$5001,"&lt;="&amp;$B192,BD!$Y$3:$Y$5001,"&lt;&gt;"))))</f>
        <v/>
      </c>
      <c r="D192" s="42" t="str">
        <f>IF(OR($B192="",$A192&gt;$B$9),"",IF(COUNTIFS(BD!$B$3:$B$5001,D$173,BD!$A$3:$A$5001,"&gt;="&amp;$C$7,BD!$A$3:$A$5001,"&lt;="&amp;$B192,BD!$Y$3:$Y$5001,"&lt;&gt;")=0,"",SUMIFS(BD!$Y$3:$Y$5001,BD!$B$3:$B$5001,D$173,BD!$A$3:$A$5001,_xlfn.MAXIFS(BD!$A$3:$A$5001,BD!$B$3:$B$5001,D$173,BD!$A$3:$A$5001,"&gt;="&amp;$C$7,BD!$A$3:$A$5001,"&lt;="&amp;$B192,BD!$Y$3:$Y$5001,"&lt;&gt;"))))</f>
        <v/>
      </c>
      <c r="E192" s="42" t="str">
        <f>IF(OR($B192="",$A192&gt;$B$9),"",IF(COUNTIFS(BD!$B$3:$B$5001,E$173,BD!$A$3:$A$5001,"&gt;="&amp;$C$7,BD!$A$3:$A$5001,"&lt;="&amp;$B192,BD!$Y$3:$Y$5001,"&lt;&gt;")=0,"",SUMIFS(BD!$Y$3:$Y$5001,BD!$B$3:$B$5001,E$173,BD!$A$3:$A$5001,_xlfn.MAXIFS(BD!$A$3:$A$5001,BD!$B$3:$B$5001,E$173,BD!$A$3:$A$5001,"&gt;="&amp;$C$7,BD!$A$3:$A$5001,"&lt;="&amp;$B192,BD!$Y$3:$Y$5001,"&lt;&gt;"))))</f>
        <v/>
      </c>
      <c r="F192" s="42" t="str">
        <f>IF(OR($B192="",$A192&gt;$B$9),"",IF(COUNTIFS(BD!$B$3:$B$5001,F$173,BD!$A$3:$A$5001,"&gt;="&amp;$C$7,BD!$A$3:$A$5001,"&lt;="&amp;$B192,BD!$Y$3:$Y$5001,"&lt;&gt;")=0,"",SUMIFS(BD!$Y$3:$Y$5001,BD!$B$3:$B$5001,F$173,BD!$A$3:$A$5001,_xlfn.MAXIFS(BD!$A$3:$A$5001,BD!$B$3:$B$5001,F$173,BD!$A$3:$A$5001,"&gt;="&amp;$C$7,BD!$A$3:$A$5001,"&lt;="&amp;$B192,BD!$Y$3:$Y$5001,"&lt;&gt;"))))</f>
        <v/>
      </c>
      <c r="G192" s="42" t="str">
        <f>IF(OR($B192="",$A192&gt;$B$9),"",IF(COUNTIFS(BD!$B$3:$B$5001,G$173,BD!$A$3:$A$5001,"&gt;="&amp;$C$7,BD!$A$3:$A$5001,"&lt;="&amp;$B192,BD!$Y$3:$Y$5001,"&lt;&gt;")=0,"",SUMIFS(BD!$Y$3:$Y$5001,BD!$B$3:$B$5001,G$173,BD!$A$3:$A$5001,_xlfn.MAXIFS(BD!$A$3:$A$5001,BD!$B$3:$B$5001,G$173,BD!$A$3:$A$5001,"&gt;="&amp;$C$7,BD!$A$3:$A$5001,"&lt;="&amp;$B192,BD!$Y$3:$Y$5001,"&lt;&gt;"))))</f>
        <v/>
      </c>
      <c r="H192" s="42" t="str">
        <f>IF(OR($B192="",$A192&gt;$B$9),"",IF(COUNTIFS(BD!$B$3:$B$5001,H$173,BD!$A$3:$A$5001,"&gt;="&amp;$C$7,BD!$A$3:$A$5001,"&lt;="&amp;$B192,BD!$Y$3:$Y$5001,"&lt;&gt;")=0,"",SUMIFS(BD!$Y$3:$Y$5001,BD!$B$3:$B$5001,H$173,BD!$A$3:$A$5001,_xlfn.MAXIFS(BD!$A$3:$A$5001,BD!$B$3:$B$5001,H$173,BD!$A$3:$A$5001,"&gt;="&amp;$C$7,BD!$A$3:$A$5001,"&lt;="&amp;$B192,BD!$Y$3:$Y$5001,"&lt;&gt;"))))</f>
        <v/>
      </c>
      <c r="I192" s="42" t="str">
        <f>IF(OR($B192="",$A192&gt;$B$9),"",IF(COUNTIFS(BD!$B$3:$B$5001,I$173,BD!$A$3:$A$5001,"&gt;="&amp;$C$7,BD!$A$3:$A$5001,"&lt;="&amp;$B192,BD!$Y$3:$Y$5001,"&lt;&gt;")=0,"",SUMIFS(BD!$Y$3:$Y$5001,BD!$B$3:$B$5001,I$173,BD!$A$3:$A$5001,_xlfn.MAXIFS(BD!$A$3:$A$5001,BD!$B$3:$B$5001,I$173,BD!$A$3:$A$5001,"&gt;="&amp;$C$7,BD!$A$3:$A$5001,"&lt;="&amp;$B192,BD!$Y$3:$Y$5001,"&lt;&gt;"))))</f>
        <v/>
      </c>
      <c r="J192" s="42" t="str">
        <f>IF(OR($B192="",$A192&gt;$B$9),"",IF(COUNTIFS(BD!$B$3:$B$5001,J$173,BD!$A$3:$A$5001,"&gt;="&amp;$C$7,BD!$A$3:$A$5001,"&lt;="&amp;$B192,BD!$Y$3:$Y$5001,"&lt;&gt;")=0,"",SUMIFS(BD!$Y$3:$Y$5001,BD!$B$3:$B$5001,J$173,BD!$A$3:$A$5001,_xlfn.MAXIFS(BD!$A$3:$A$5001,BD!$B$3:$B$5001,J$173,BD!$A$3:$A$5001,"&gt;="&amp;$C$7,BD!$A$3:$A$5001,"&lt;="&amp;$B192,BD!$Y$3:$Y$5001,"&lt;&gt;"))))</f>
        <v/>
      </c>
      <c r="K192" s="42" t="str">
        <f>IF(OR($B192="",$A192&gt;$B$9),"",IF(COUNTIFS(BD!$B$3:$B$5001,K$173,BD!$A$3:$A$5001,"&gt;="&amp;$C$7,BD!$A$3:$A$5001,"&lt;="&amp;$B192,BD!$Y$3:$Y$5001,"&lt;&gt;")=0,"",SUMIFS(BD!$Y$3:$Y$5001,BD!$B$3:$B$5001,K$173,BD!$A$3:$A$5001,_xlfn.MAXIFS(BD!$A$3:$A$5001,BD!$B$3:$B$5001,K$173,BD!$A$3:$A$5001,"&gt;="&amp;$C$7,BD!$A$3:$A$5001,"&lt;="&amp;$B192,BD!$Y$3:$Y$5001,"&lt;&gt;"))))</f>
        <v/>
      </c>
    </row>
    <row r="193">
      <c r="A193" s="40">
        <v>20</v>
      </c>
      <c r="B193" s="41">
        <f>$B$31</f>
        <v>46315</v>
      </c>
      <c r="C193" s="42" t="str">
        <f>IF(OR($B193="",$A193&gt;$B$9),"",IF(COUNTIFS(BD!$B$3:$B$5001,C$173,BD!$A$3:$A$5001,"&gt;="&amp;$C$7,BD!$A$3:$A$5001,"&lt;="&amp;$B193,BD!$Y$3:$Y$5001,"&lt;&gt;")=0,"",SUMIFS(BD!$Y$3:$Y$5001,BD!$B$3:$B$5001,C$173,BD!$A$3:$A$5001,_xlfn.MAXIFS(BD!$A$3:$A$5001,BD!$B$3:$B$5001,C$173,BD!$A$3:$A$5001,"&gt;="&amp;$C$7,BD!$A$3:$A$5001,"&lt;="&amp;$B193,BD!$Y$3:$Y$5001,"&lt;&gt;"))))</f>
        <v/>
      </c>
      <c r="D193" s="42" t="str">
        <f>IF(OR($B193="",$A193&gt;$B$9),"",IF(COUNTIFS(BD!$B$3:$B$5001,D$173,BD!$A$3:$A$5001,"&gt;="&amp;$C$7,BD!$A$3:$A$5001,"&lt;="&amp;$B193,BD!$Y$3:$Y$5001,"&lt;&gt;")=0,"",SUMIFS(BD!$Y$3:$Y$5001,BD!$B$3:$B$5001,D$173,BD!$A$3:$A$5001,_xlfn.MAXIFS(BD!$A$3:$A$5001,BD!$B$3:$B$5001,D$173,BD!$A$3:$A$5001,"&gt;="&amp;$C$7,BD!$A$3:$A$5001,"&lt;="&amp;$B193,BD!$Y$3:$Y$5001,"&lt;&gt;"))))</f>
        <v/>
      </c>
      <c r="E193" s="42" t="str">
        <f>IF(OR($B193="",$A193&gt;$B$9),"",IF(COUNTIFS(BD!$B$3:$B$5001,E$173,BD!$A$3:$A$5001,"&gt;="&amp;$C$7,BD!$A$3:$A$5001,"&lt;="&amp;$B193,BD!$Y$3:$Y$5001,"&lt;&gt;")=0,"",SUMIFS(BD!$Y$3:$Y$5001,BD!$B$3:$B$5001,E$173,BD!$A$3:$A$5001,_xlfn.MAXIFS(BD!$A$3:$A$5001,BD!$B$3:$B$5001,E$173,BD!$A$3:$A$5001,"&gt;="&amp;$C$7,BD!$A$3:$A$5001,"&lt;="&amp;$B193,BD!$Y$3:$Y$5001,"&lt;&gt;"))))</f>
        <v/>
      </c>
      <c r="F193" s="42" t="str">
        <f>IF(OR($B193="",$A193&gt;$B$9),"",IF(COUNTIFS(BD!$B$3:$B$5001,F$173,BD!$A$3:$A$5001,"&gt;="&amp;$C$7,BD!$A$3:$A$5001,"&lt;="&amp;$B193,BD!$Y$3:$Y$5001,"&lt;&gt;")=0,"",SUMIFS(BD!$Y$3:$Y$5001,BD!$B$3:$B$5001,F$173,BD!$A$3:$A$5001,_xlfn.MAXIFS(BD!$A$3:$A$5001,BD!$B$3:$B$5001,F$173,BD!$A$3:$A$5001,"&gt;="&amp;$C$7,BD!$A$3:$A$5001,"&lt;="&amp;$B193,BD!$Y$3:$Y$5001,"&lt;&gt;"))))</f>
        <v/>
      </c>
      <c r="G193" s="42" t="str">
        <f>IF(OR($B193="",$A193&gt;$B$9),"",IF(COUNTIFS(BD!$B$3:$B$5001,G$173,BD!$A$3:$A$5001,"&gt;="&amp;$C$7,BD!$A$3:$A$5001,"&lt;="&amp;$B193,BD!$Y$3:$Y$5001,"&lt;&gt;")=0,"",SUMIFS(BD!$Y$3:$Y$5001,BD!$B$3:$B$5001,G$173,BD!$A$3:$A$5001,_xlfn.MAXIFS(BD!$A$3:$A$5001,BD!$B$3:$B$5001,G$173,BD!$A$3:$A$5001,"&gt;="&amp;$C$7,BD!$A$3:$A$5001,"&lt;="&amp;$B193,BD!$Y$3:$Y$5001,"&lt;&gt;"))))</f>
        <v/>
      </c>
      <c r="H193" s="42" t="str">
        <f>IF(OR($B193="",$A193&gt;$B$9),"",IF(COUNTIFS(BD!$B$3:$B$5001,H$173,BD!$A$3:$A$5001,"&gt;="&amp;$C$7,BD!$A$3:$A$5001,"&lt;="&amp;$B193,BD!$Y$3:$Y$5001,"&lt;&gt;")=0,"",SUMIFS(BD!$Y$3:$Y$5001,BD!$B$3:$B$5001,H$173,BD!$A$3:$A$5001,_xlfn.MAXIFS(BD!$A$3:$A$5001,BD!$B$3:$B$5001,H$173,BD!$A$3:$A$5001,"&gt;="&amp;$C$7,BD!$A$3:$A$5001,"&lt;="&amp;$B193,BD!$Y$3:$Y$5001,"&lt;&gt;"))))</f>
        <v/>
      </c>
      <c r="I193" s="42" t="str">
        <f>IF(OR($B193="",$A193&gt;$B$9),"",IF(COUNTIFS(BD!$B$3:$B$5001,I$173,BD!$A$3:$A$5001,"&gt;="&amp;$C$7,BD!$A$3:$A$5001,"&lt;="&amp;$B193,BD!$Y$3:$Y$5001,"&lt;&gt;")=0,"",SUMIFS(BD!$Y$3:$Y$5001,BD!$B$3:$B$5001,I$173,BD!$A$3:$A$5001,_xlfn.MAXIFS(BD!$A$3:$A$5001,BD!$B$3:$B$5001,I$173,BD!$A$3:$A$5001,"&gt;="&amp;$C$7,BD!$A$3:$A$5001,"&lt;="&amp;$B193,BD!$Y$3:$Y$5001,"&lt;&gt;"))))</f>
        <v/>
      </c>
      <c r="J193" s="42" t="str">
        <f>IF(OR($B193="",$A193&gt;$B$9),"",IF(COUNTIFS(BD!$B$3:$B$5001,J$173,BD!$A$3:$A$5001,"&gt;="&amp;$C$7,BD!$A$3:$A$5001,"&lt;="&amp;$B193,BD!$Y$3:$Y$5001,"&lt;&gt;")=0,"",SUMIFS(BD!$Y$3:$Y$5001,BD!$B$3:$B$5001,J$173,BD!$A$3:$A$5001,_xlfn.MAXIFS(BD!$A$3:$A$5001,BD!$B$3:$B$5001,J$173,BD!$A$3:$A$5001,"&gt;="&amp;$C$7,BD!$A$3:$A$5001,"&lt;="&amp;$B193,BD!$Y$3:$Y$5001,"&lt;&gt;"))))</f>
        <v/>
      </c>
      <c r="K193" s="42" t="str">
        <f>IF(OR($B193="",$A193&gt;$B$9),"",IF(COUNTIFS(BD!$B$3:$B$5001,K$173,BD!$A$3:$A$5001,"&gt;="&amp;$C$7,BD!$A$3:$A$5001,"&lt;="&amp;$B193,BD!$Y$3:$Y$5001,"&lt;&gt;")=0,"",SUMIFS(BD!$Y$3:$Y$5001,BD!$B$3:$B$5001,K$173,BD!$A$3:$A$5001,_xlfn.MAXIFS(BD!$A$3:$A$5001,BD!$B$3:$B$5001,K$173,BD!$A$3:$A$5001,"&gt;="&amp;$C$7,BD!$A$3:$A$5001,"&lt;="&amp;$B193,BD!$Y$3:$Y$5001,"&lt;&gt;"))))</f>
        <v/>
      </c>
    </row>
    <row r="194">
      <c r="A194" s="40">
        <v>21</v>
      </c>
      <c r="B194" s="41">
        <f>$B$32</f>
        <v>46316</v>
      </c>
      <c r="C194" s="42" t="str">
        <f>IF(OR($B194="",$A194&gt;$B$9),"",IF(COUNTIFS(BD!$B$3:$B$5001,C$173,BD!$A$3:$A$5001,"&gt;="&amp;$C$7,BD!$A$3:$A$5001,"&lt;="&amp;$B194,BD!$Y$3:$Y$5001,"&lt;&gt;")=0,"",SUMIFS(BD!$Y$3:$Y$5001,BD!$B$3:$B$5001,C$173,BD!$A$3:$A$5001,_xlfn.MAXIFS(BD!$A$3:$A$5001,BD!$B$3:$B$5001,C$173,BD!$A$3:$A$5001,"&gt;="&amp;$C$7,BD!$A$3:$A$5001,"&lt;="&amp;$B194,BD!$Y$3:$Y$5001,"&lt;&gt;"))))</f>
        <v/>
      </c>
      <c r="D194" s="42" t="str">
        <f>IF(OR($B194="",$A194&gt;$B$9),"",IF(COUNTIFS(BD!$B$3:$B$5001,D$173,BD!$A$3:$A$5001,"&gt;="&amp;$C$7,BD!$A$3:$A$5001,"&lt;="&amp;$B194,BD!$Y$3:$Y$5001,"&lt;&gt;")=0,"",SUMIFS(BD!$Y$3:$Y$5001,BD!$B$3:$B$5001,D$173,BD!$A$3:$A$5001,_xlfn.MAXIFS(BD!$A$3:$A$5001,BD!$B$3:$B$5001,D$173,BD!$A$3:$A$5001,"&gt;="&amp;$C$7,BD!$A$3:$A$5001,"&lt;="&amp;$B194,BD!$Y$3:$Y$5001,"&lt;&gt;"))))</f>
        <v/>
      </c>
      <c r="E194" s="42" t="str">
        <f>IF(OR($B194="",$A194&gt;$B$9),"",IF(COUNTIFS(BD!$B$3:$B$5001,E$173,BD!$A$3:$A$5001,"&gt;="&amp;$C$7,BD!$A$3:$A$5001,"&lt;="&amp;$B194,BD!$Y$3:$Y$5001,"&lt;&gt;")=0,"",SUMIFS(BD!$Y$3:$Y$5001,BD!$B$3:$B$5001,E$173,BD!$A$3:$A$5001,_xlfn.MAXIFS(BD!$A$3:$A$5001,BD!$B$3:$B$5001,E$173,BD!$A$3:$A$5001,"&gt;="&amp;$C$7,BD!$A$3:$A$5001,"&lt;="&amp;$B194,BD!$Y$3:$Y$5001,"&lt;&gt;"))))</f>
        <v/>
      </c>
      <c r="F194" s="42" t="str">
        <f>IF(OR($B194="",$A194&gt;$B$9),"",IF(COUNTIFS(BD!$B$3:$B$5001,F$173,BD!$A$3:$A$5001,"&gt;="&amp;$C$7,BD!$A$3:$A$5001,"&lt;="&amp;$B194,BD!$Y$3:$Y$5001,"&lt;&gt;")=0,"",SUMIFS(BD!$Y$3:$Y$5001,BD!$B$3:$B$5001,F$173,BD!$A$3:$A$5001,_xlfn.MAXIFS(BD!$A$3:$A$5001,BD!$B$3:$B$5001,F$173,BD!$A$3:$A$5001,"&gt;="&amp;$C$7,BD!$A$3:$A$5001,"&lt;="&amp;$B194,BD!$Y$3:$Y$5001,"&lt;&gt;"))))</f>
        <v/>
      </c>
      <c r="G194" s="42" t="str">
        <f>IF(OR($B194="",$A194&gt;$B$9),"",IF(COUNTIFS(BD!$B$3:$B$5001,G$173,BD!$A$3:$A$5001,"&gt;="&amp;$C$7,BD!$A$3:$A$5001,"&lt;="&amp;$B194,BD!$Y$3:$Y$5001,"&lt;&gt;")=0,"",SUMIFS(BD!$Y$3:$Y$5001,BD!$B$3:$B$5001,G$173,BD!$A$3:$A$5001,_xlfn.MAXIFS(BD!$A$3:$A$5001,BD!$B$3:$B$5001,G$173,BD!$A$3:$A$5001,"&gt;="&amp;$C$7,BD!$A$3:$A$5001,"&lt;="&amp;$B194,BD!$Y$3:$Y$5001,"&lt;&gt;"))))</f>
        <v/>
      </c>
      <c r="H194" s="42" t="str">
        <f>IF(OR($B194="",$A194&gt;$B$9),"",IF(COUNTIFS(BD!$B$3:$B$5001,H$173,BD!$A$3:$A$5001,"&gt;="&amp;$C$7,BD!$A$3:$A$5001,"&lt;="&amp;$B194,BD!$Y$3:$Y$5001,"&lt;&gt;")=0,"",SUMIFS(BD!$Y$3:$Y$5001,BD!$B$3:$B$5001,H$173,BD!$A$3:$A$5001,_xlfn.MAXIFS(BD!$A$3:$A$5001,BD!$B$3:$B$5001,H$173,BD!$A$3:$A$5001,"&gt;="&amp;$C$7,BD!$A$3:$A$5001,"&lt;="&amp;$B194,BD!$Y$3:$Y$5001,"&lt;&gt;"))))</f>
        <v/>
      </c>
      <c r="I194" s="42" t="str">
        <f>IF(OR($B194="",$A194&gt;$B$9),"",IF(COUNTIFS(BD!$B$3:$B$5001,I$173,BD!$A$3:$A$5001,"&gt;="&amp;$C$7,BD!$A$3:$A$5001,"&lt;="&amp;$B194,BD!$Y$3:$Y$5001,"&lt;&gt;")=0,"",SUMIFS(BD!$Y$3:$Y$5001,BD!$B$3:$B$5001,I$173,BD!$A$3:$A$5001,_xlfn.MAXIFS(BD!$A$3:$A$5001,BD!$B$3:$B$5001,I$173,BD!$A$3:$A$5001,"&gt;="&amp;$C$7,BD!$A$3:$A$5001,"&lt;="&amp;$B194,BD!$Y$3:$Y$5001,"&lt;&gt;"))))</f>
        <v/>
      </c>
      <c r="J194" s="42" t="str">
        <f>IF(OR($B194="",$A194&gt;$B$9),"",IF(COUNTIFS(BD!$B$3:$B$5001,J$173,BD!$A$3:$A$5001,"&gt;="&amp;$C$7,BD!$A$3:$A$5001,"&lt;="&amp;$B194,BD!$Y$3:$Y$5001,"&lt;&gt;")=0,"",SUMIFS(BD!$Y$3:$Y$5001,BD!$B$3:$B$5001,J$173,BD!$A$3:$A$5001,_xlfn.MAXIFS(BD!$A$3:$A$5001,BD!$B$3:$B$5001,J$173,BD!$A$3:$A$5001,"&gt;="&amp;$C$7,BD!$A$3:$A$5001,"&lt;="&amp;$B194,BD!$Y$3:$Y$5001,"&lt;&gt;"))))</f>
        <v/>
      </c>
      <c r="K194" s="42" t="str">
        <f>IF(OR($B194="",$A194&gt;$B$9),"",IF(COUNTIFS(BD!$B$3:$B$5001,K$173,BD!$A$3:$A$5001,"&gt;="&amp;$C$7,BD!$A$3:$A$5001,"&lt;="&amp;$B194,BD!$Y$3:$Y$5001,"&lt;&gt;")=0,"",SUMIFS(BD!$Y$3:$Y$5001,BD!$B$3:$B$5001,K$173,BD!$A$3:$A$5001,_xlfn.MAXIFS(BD!$A$3:$A$5001,BD!$B$3:$B$5001,K$173,BD!$A$3:$A$5001,"&gt;="&amp;$C$7,BD!$A$3:$A$5001,"&lt;="&amp;$B194,BD!$Y$3:$Y$5001,"&lt;&gt;"))))</f>
        <v/>
      </c>
    </row>
    <row r="195">
      <c r="A195" s="40">
        <v>22</v>
      </c>
      <c r="B195" s="41">
        <f>$B$33</f>
        <v>46317</v>
      </c>
      <c r="C195" s="42" t="str">
        <f>IF(OR($B195="",$A195&gt;$B$9),"",IF(COUNTIFS(BD!$B$3:$B$5001,C$173,BD!$A$3:$A$5001,"&gt;="&amp;$C$7,BD!$A$3:$A$5001,"&lt;="&amp;$B195,BD!$Y$3:$Y$5001,"&lt;&gt;")=0,"",SUMIFS(BD!$Y$3:$Y$5001,BD!$B$3:$B$5001,C$173,BD!$A$3:$A$5001,_xlfn.MAXIFS(BD!$A$3:$A$5001,BD!$B$3:$B$5001,C$173,BD!$A$3:$A$5001,"&gt;="&amp;$C$7,BD!$A$3:$A$5001,"&lt;="&amp;$B195,BD!$Y$3:$Y$5001,"&lt;&gt;"))))</f>
        <v/>
      </c>
      <c r="D195" s="42" t="str">
        <f>IF(OR($B195="",$A195&gt;$B$9),"",IF(COUNTIFS(BD!$B$3:$B$5001,D$173,BD!$A$3:$A$5001,"&gt;="&amp;$C$7,BD!$A$3:$A$5001,"&lt;="&amp;$B195,BD!$Y$3:$Y$5001,"&lt;&gt;")=0,"",SUMIFS(BD!$Y$3:$Y$5001,BD!$B$3:$B$5001,D$173,BD!$A$3:$A$5001,_xlfn.MAXIFS(BD!$A$3:$A$5001,BD!$B$3:$B$5001,D$173,BD!$A$3:$A$5001,"&gt;="&amp;$C$7,BD!$A$3:$A$5001,"&lt;="&amp;$B195,BD!$Y$3:$Y$5001,"&lt;&gt;"))))</f>
        <v/>
      </c>
      <c r="E195" s="42" t="str">
        <f>IF(OR($B195="",$A195&gt;$B$9),"",IF(COUNTIFS(BD!$B$3:$B$5001,E$173,BD!$A$3:$A$5001,"&gt;="&amp;$C$7,BD!$A$3:$A$5001,"&lt;="&amp;$B195,BD!$Y$3:$Y$5001,"&lt;&gt;")=0,"",SUMIFS(BD!$Y$3:$Y$5001,BD!$B$3:$B$5001,E$173,BD!$A$3:$A$5001,_xlfn.MAXIFS(BD!$A$3:$A$5001,BD!$B$3:$B$5001,E$173,BD!$A$3:$A$5001,"&gt;="&amp;$C$7,BD!$A$3:$A$5001,"&lt;="&amp;$B195,BD!$Y$3:$Y$5001,"&lt;&gt;"))))</f>
        <v/>
      </c>
      <c r="F195" s="42" t="str">
        <f>IF(OR($B195="",$A195&gt;$B$9),"",IF(COUNTIFS(BD!$B$3:$B$5001,F$173,BD!$A$3:$A$5001,"&gt;="&amp;$C$7,BD!$A$3:$A$5001,"&lt;="&amp;$B195,BD!$Y$3:$Y$5001,"&lt;&gt;")=0,"",SUMIFS(BD!$Y$3:$Y$5001,BD!$B$3:$B$5001,F$173,BD!$A$3:$A$5001,_xlfn.MAXIFS(BD!$A$3:$A$5001,BD!$B$3:$B$5001,F$173,BD!$A$3:$A$5001,"&gt;="&amp;$C$7,BD!$A$3:$A$5001,"&lt;="&amp;$B195,BD!$Y$3:$Y$5001,"&lt;&gt;"))))</f>
        <v/>
      </c>
      <c r="G195" s="42" t="str">
        <f>IF(OR($B195="",$A195&gt;$B$9),"",IF(COUNTIFS(BD!$B$3:$B$5001,G$173,BD!$A$3:$A$5001,"&gt;="&amp;$C$7,BD!$A$3:$A$5001,"&lt;="&amp;$B195,BD!$Y$3:$Y$5001,"&lt;&gt;")=0,"",SUMIFS(BD!$Y$3:$Y$5001,BD!$B$3:$B$5001,G$173,BD!$A$3:$A$5001,_xlfn.MAXIFS(BD!$A$3:$A$5001,BD!$B$3:$B$5001,G$173,BD!$A$3:$A$5001,"&gt;="&amp;$C$7,BD!$A$3:$A$5001,"&lt;="&amp;$B195,BD!$Y$3:$Y$5001,"&lt;&gt;"))))</f>
        <v/>
      </c>
      <c r="H195" s="42" t="str">
        <f>IF(OR($B195="",$A195&gt;$B$9),"",IF(COUNTIFS(BD!$B$3:$B$5001,H$173,BD!$A$3:$A$5001,"&gt;="&amp;$C$7,BD!$A$3:$A$5001,"&lt;="&amp;$B195,BD!$Y$3:$Y$5001,"&lt;&gt;")=0,"",SUMIFS(BD!$Y$3:$Y$5001,BD!$B$3:$B$5001,H$173,BD!$A$3:$A$5001,_xlfn.MAXIFS(BD!$A$3:$A$5001,BD!$B$3:$B$5001,H$173,BD!$A$3:$A$5001,"&gt;="&amp;$C$7,BD!$A$3:$A$5001,"&lt;="&amp;$B195,BD!$Y$3:$Y$5001,"&lt;&gt;"))))</f>
        <v/>
      </c>
      <c r="I195" s="42" t="str">
        <f>IF(OR($B195="",$A195&gt;$B$9),"",IF(COUNTIFS(BD!$B$3:$B$5001,I$173,BD!$A$3:$A$5001,"&gt;="&amp;$C$7,BD!$A$3:$A$5001,"&lt;="&amp;$B195,BD!$Y$3:$Y$5001,"&lt;&gt;")=0,"",SUMIFS(BD!$Y$3:$Y$5001,BD!$B$3:$B$5001,I$173,BD!$A$3:$A$5001,_xlfn.MAXIFS(BD!$A$3:$A$5001,BD!$B$3:$B$5001,I$173,BD!$A$3:$A$5001,"&gt;="&amp;$C$7,BD!$A$3:$A$5001,"&lt;="&amp;$B195,BD!$Y$3:$Y$5001,"&lt;&gt;"))))</f>
        <v/>
      </c>
      <c r="J195" s="42" t="str">
        <f>IF(OR($B195="",$A195&gt;$B$9),"",IF(COUNTIFS(BD!$B$3:$B$5001,J$173,BD!$A$3:$A$5001,"&gt;="&amp;$C$7,BD!$A$3:$A$5001,"&lt;="&amp;$B195,BD!$Y$3:$Y$5001,"&lt;&gt;")=0,"",SUMIFS(BD!$Y$3:$Y$5001,BD!$B$3:$B$5001,J$173,BD!$A$3:$A$5001,_xlfn.MAXIFS(BD!$A$3:$A$5001,BD!$B$3:$B$5001,J$173,BD!$A$3:$A$5001,"&gt;="&amp;$C$7,BD!$A$3:$A$5001,"&lt;="&amp;$B195,BD!$Y$3:$Y$5001,"&lt;&gt;"))))</f>
        <v/>
      </c>
      <c r="K195" s="42" t="str">
        <f>IF(OR($B195="",$A195&gt;$B$9),"",IF(COUNTIFS(BD!$B$3:$B$5001,K$173,BD!$A$3:$A$5001,"&gt;="&amp;$C$7,BD!$A$3:$A$5001,"&lt;="&amp;$B195,BD!$Y$3:$Y$5001,"&lt;&gt;")=0,"",SUMIFS(BD!$Y$3:$Y$5001,BD!$B$3:$B$5001,K$173,BD!$A$3:$A$5001,_xlfn.MAXIFS(BD!$A$3:$A$5001,BD!$B$3:$B$5001,K$173,BD!$A$3:$A$5001,"&gt;="&amp;$C$7,BD!$A$3:$A$5001,"&lt;="&amp;$B195,BD!$Y$3:$Y$5001,"&lt;&gt;"))))</f>
        <v/>
      </c>
    </row>
    <row r="196">
      <c r="A196" s="40">
        <v>23</v>
      </c>
      <c r="B196" s="41">
        <f>$B$34</f>
        <v>46318</v>
      </c>
      <c r="C196" s="42" t="str">
        <f>IF(OR($B196="",$A196&gt;$B$9),"",IF(COUNTIFS(BD!$B$3:$B$5001,C$173,BD!$A$3:$A$5001,"&gt;="&amp;$C$7,BD!$A$3:$A$5001,"&lt;="&amp;$B196,BD!$Y$3:$Y$5001,"&lt;&gt;")=0,"",SUMIFS(BD!$Y$3:$Y$5001,BD!$B$3:$B$5001,C$173,BD!$A$3:$A$5001,_xlfn.MAXIFS(BD!$A$3:$A$5001,BD!$B$3:$B$5001,C$173,BD!$A$3:$A$5001,"&gt;="&amp;$C$7,BD!$A$3:$A$5001,"&lt;="&amp;$B196,BD!$Y$3:$Y$5001,"&lt;&gt;"))))</f>
        <v/>
      </c>
      <c r="D196" s="42" t="str">
        <f>IF(OR($B196="",$A196&gt;$B$9),"",IF(COUNTIFS(BD!$B$3:$B$5001,D$173,BD!$A$3:$A$5001,"&gt;="&amp;$C$7,BD!$A$3:$A$5001,"&lt;="&amp;$B196,BD!$Y$3:$Y$5001,"&lt;&gt;")=0,"",SUMIFS(BD!$Y$3:$Y$5001,BD!$B$3:$B$5001,D$173,BD!$A$3:$A$5001,_xlfn.MAXIFS(BD!$A$3:$A$5001,BD!$B$3:$B$5001,D$173,BD!$A$3:$A$5001,"&gt;="&amp;$C$7,BD!$A$3:$A$5001,"&lt;="&amp;$B196,BD!$Y$3:$Y$5001,"&lt;&gt;"))))</f>
        <v/>
      </c>
      <c r="E196" s="42" t="str">
        <f>IF(OR($B196="",$A196&gt;$B$9),"",IF(COUNTIFS(BD!$B$3:$B$5001,E$173,BD!$A$3:$A$5001,"&gt;="&amp;$C$7,BD!$A$3:$A$5001,"&lt;="&amp;$B196,BD!$Y$3:$Y$5001,"&lt;&gt;")=0,"",SUMIFS(BD!$Y$3:$Y$5001,BD!$B$3:$B$5001,E$173,BD!$A$3:$A$5001,_xlfn.MAXIFS(BD!$A$3:$A$5001,BD!$B$3:$B$5001,E$173,BD!$A$3:$A$5001,"&gt;="&amp;$C$7,BD!$A$3:$A$5001,"&lt;="&amp;$B196,BD!$Y$3:$Y$5001,"&lt;&gt;"))))</f>
        <v/>
      </c>
      <c r="F196" s="42" t="str">
        <f>IF(OR($B196="",$A196&gt;$B$9),"",IF(COUNTIFS(BD!$B$3:$B$5001,F$173,BD!$A$3:$A$5001,"&gt;="&amp;$C$7,BD!$A$3:$A$5001,"&lt;="&amp;$B196,BD!$Y$3:$Y$5001,"&lt;&gt;")=0,"",SUMIFS(BD!$Y$3:$Y$5001,BD!$B$3:$B$5001,F$173,BD!$A$3:$A$5001,_xlfn.MAXIFS(BD!$A$3:$A$5001,BD!$B$3:$B$5001,F$173,BD!$A$3:$A$5001,"&gt;="&amp;$C$7,BD!$A$3:$A$5001,"&lt;="&amp;$B196,BD!$Y$3:$Y$5001,"&lt;&gt;"))))</f>
        <v/>
      </c>
      <c r="G196" s="42" t="str">
        <f>IF(OR($B196="",$A196&gt;$B$9),"",IF(COUNTIFS(BD!$B$3:$B$5001,G$173,BD!$A$3:$A$5001,"&gt;="&amp;$C$7,BD!$A$3:$A$5001,"&lt;="&amp;$B196,BD!$Y$3:$Y$5001,"&lt;&gt;")=0,"",SUMIFS(BD!$Y$3:$Y$5001,BD!$B$3:$B$5001,G$173,BD!$A$3:$A$5001,_xlfn.MAXIFS(BD!$A$3:$A$5001,BD!$B$3:$B$5001,G$173,BD!$A$3:$A$5001,"&gt;="&amp;$C$7,BD!$A$3:$A$5001,"&lt;="&amp;$B196,BD!$Y$3:$Y$5001,"&lt;&gt;"))))</f>
        <v/>
      </c>
      <c r="H196" s="42" t="str">
        <f>IF(OR($B196="",$A196&gt;$B$9),"",IF(COUNTIFS(BD!$B$3:$B$5001,H$173,BD!$A$3:$A$5001,"&gt;="&amp;$C$7,BD!$A$3:$A$5001,"&lt;="&amp;$B196,BD!$Y$3:$Y$5001,"&lt;&gt;")=0,"",SUMIFS(BD!$Y$3:$Y$5001,BD!$B$3:$B$5001,H$173,BD!$A$3:$A$5001,_xlfn.MAXIFS(BD!$A$3:$A$5001,BD!$B$3:$B$5001,H$173,BD!$A$3:$A$5001,"&gt;="&amp;$C$7,BD!$A$3:$A$5001,"&lt;="&amp;$B196,BD!$Y$3:$Y$5001,"&lt;&gt;"))))</f>
        <v/>
      </c>
      <c r="I196" s="42" t="str">
        <f>IF(OR($B196="",$A196&gt;$B$9),"",IF(COUNTIFS(BD!$B$3:$B$5001,I$173,BD!$A$3:$A$5001,"&gt;="&amp;$C$7,BD!$A$3:$A$5001,"&lt;="&amp;$B196,BD!$Y$3:$Y$5001,"&lt;&gt;")=0,"",SUMIFS(BD!$Y$3:$Y$5001,BD!$B$3:$B$5001,I$173,BD!$A$3:$A$5001,_xlfn.MAXIFS(BD!$A$3:$A$5001,BD!$B$3:$B$5001,I$173,BD!$A$3:$A$5001,"&gt;="&amp;$C$7,BD!$A$3:$A$5001,"&lt;="&amp;$B196,BD!$Y$3:$Y$5001,"&lt;&gt;"))))</f>
        <v/>
      </c>
      <c r="J196" s="42" t="str">
        <f>IF(OR($B196="",$A196&gt;$B$9),"",IF(COUNTIFS(BD!$B$3:$B$5001,J$173,BD!$A$3:$A$5001,"&gt;="&amp;$C$7,BD!$A$3:$A$5001,"&lt;="&amp;$B196,BD!$Y$3:$Y$5001,"&lt;&gt;")=0,"",SUMIFS(BD!$Y$3:$Y$5001,BD!$B$3:$B$5001,J$173,BD!$A$3:$A$5001,_xlfn.MAXIFS(BD!$A$3:$A$5001,BD!$B$3:$B$5001,J$173,BD!$A$3:$A$5001,"&gt;="&amp;$C$7,BD!$A$3:$A$5001,"&lt;="&amp;$B196,BD!$Y$3:$Y$5001,"&lt;&gt;"))))</f>
        <v/>
      </c>
      <c r="K196" s="42" t="str">
        <f>IF(OR($B196="",$A196&gt;$B$9),"",IF(COUNTIFS(BD!$B$3:$B$5001,K$173,BD!$A$3:$A$5001,"&gt;="&amp;$C$7,BD!$A$3:$A$5001,"&lt;="&amp;$B196,BD!$Y$3:$Y$5001,"&lt;&gt;")=0,"",SUMIFS(BD!$Y$3:$Y$5001,BD!$B$3:$B$5001,K$173,BD!$A$3:$A$5001,_xlfn.MAXIFS(BD!$A$3:$A$5001,BD!$B$3:$B$5001,K$173,BD!$A$3:$A$5001,"&gt;="&amp;$C$7,BD!$A$3:$A$5001,"&lt;="&amp;$B196,BD!$Y$3:$Y$5001,"&lt;&gt;"))))</f>
        <v/>
      </c>
    </row>
    <row r="197">
      <c r="A197" s="40">
        <v>24</v>
      </c>
      <c r="B197" s="41">
        <f>$B$35</f>
        <v>46319</v>
      </c>
      <c r="C197" s="42" t="str">
        <f>IF(OR($B197="",$A197&gt;$B$9),"",IF(COUNTIFS(BD!$B$3:$B$5001,C$173,BD!$A$3:$A$5001,"&gt;="&amp;$C$7,BD!$A$3:$A$5001,"&lt;="&amp;$B197,BD!$Y$3:$Y$5001,"&lt;&gt;")=0,"",SUMIFS(BD!$Y$3:$Y$5001,BD!$B$3:$B$5001,C$173,BD!$A$3:$A$5001,_xlfn.MAXIFS(BD!$A$3:$A$5001,BD!$B$3:$B$5001,C$173,BD!$A$3:$A$5001,"&gt;="&amp;$C$7,BD!$A$3:$A$5001,"&lt;="&amp;$B197,BD!$Y$3:$Y$5001,"&lt;&gt;"))))</f>
        <v/>
      </c>
      <c r="D197" s="42" t="str">
        <f>IF(OR($B197="",$A197&gt;$B$9),"",IF(COUNTIFS(BD!$B$3:$B$5001,D$173,BD!$A$3:$A$5001,"&gt;="&amp;$C$7,BD!$A$3:$A$5001,"&lt;="&amp;$B197,BD!$Y$3:$Y$5001,"&lt;&gt;")=0,"",SUMIFS(BD!$Y$3:$Y$5001,BD!$B$3:$B$5001,D$173,BD!$A$3:$A$5001,_xlfn.MAXIFS(BD!$A$3:$A$5001,BD!$B$3:$B$5001,D$173,BD!$A$3:$A$5001,"&gt;="&amp;$C$7,BD!$A$3:$A$5001,"&lt;="&amp;$B197,BD!$Y$3:$Y$5001,"&lt;&gt;"))))</f>
        <v/>
      </c>
      <c r="E197" s="42" t="str">
        <f>IF(OR($B197="",$A197&gt;$B$9),"",IF(COUNTIFS(BD!$B$3:$B$5001,E$173,BD!$A$3:$A$5001,"&gt;="&amp;$C$7,BD!$A$3:$A$5001,"&lt;="&amp;$B197,BD!$Y$3:$Y$5001,"&lt;&gt;")=0,"",SUMIFS(BD!$Y$3:$Y$5001,BD!$B$3:$B$5001,E$173,BD!$A$3:$A$5001,_xlfn.MAXIFS(BD!$A$3:$A$5001,BD!$B$3:$B$5001,E$173,BD!$A$3:$A$5001,"&gt;="&amp;$C$7,BD!$A$3:$A$5001,"&lt;="&amp;$B197,BD!$Y$3:$Y$5001,"&lt;&gt;"))))</f>
        <v/>
      </c>
      <c r="F197" s="42" t="str">
        <f>IF(OR($B197="",$A197&gt;$B$9),"",IF(COUNTIFS(BD!$B$3:$B$5001,F$173,BD!$A$3:$A$5001,"&gt;="&amp;$C$7,BD!$A$3:$A$5001,"&lt;="&amp;$B197,BD!$Y$3:$Y$5001,"&lt;&gt;")=0,"",SUMIFS(BD!$Y$3:$Y$5001,BD!$B$3:$B$5001,F$173,BD!$A$3:$A$5001,_xlfn.MAXIFS(BD!$A$3:$A$5001,BD!$B$3:$B$5001,F$173,BD!$A$3:$A$5001,"&gt;="&amp;$C$7,BD!$A$3:$A$5001,"&lt;="&amp;$B197,BD!$Y$3:$Y$5001,"&lt;&gt;"))))</f>
        <v/>
      </c>
      <c r="G197" s="42" t="str">
        <f>IF(OR($B197="",$A197&gt;$B$9),"",IF(COUNTIFS(BD!$B$3:$B$5001,G$173,BD!$A$3:$A$5001,"&gt;="&amp;$C$7,BD!$A$3:$A$5001,"&lt;="&amp;$B197,BD!$Y$3:$Y$5001,"&lt;&gt;")=0,"",SUMIFS(BD!$Y$3:$Y$5001,BD!$B$3:$B$5001,G$173,BD!$A$3:$A$5001,_xlfn.MAXIFS(BD!$A$3:$A$5001,BD!$B$3:$B$5001,G$173,BD!$A$3:$A$5001,"&gt;="&amp;$C$7,BD!$A$3:$A$5001,"&lt;="&amp;$B197,BD!$Y$3:$Y$5001,"&lt;&gt;"))))</f>
        <v/>
      </c>
      <c r="H197" s="42" t="str">
        <f>IF(OR($B197="",$A197&gt;$B$9),"",IF(COUNTIFS(BD!$B$3:$B$5001,H$173,BD!$A$3:$A$5001,"&gt;="&amp;$C$7,BD!$A$3:$A$5001,"&lt;="&amp;$B197,BD!$Y$3:$Y$5001,"&lt;&gt;")=0,"",SUMIFS(BD!$Y$3:$Y$5001,BD!$B$3:$B$5001,H$173,BD!$A$3:$A$5001,_xlfn.MAXIFS(BD!$A$3:$A$5001,BD!$B$3:$B$5001,H$173,BD!$A$3:$A$5001,"&gt;="&amp;$C$7,BD!$A$3:$A$5001,"&lt;="&amp;$B197,BD!$Y$3:$Y$5001,"&lt;&gt;"))))</f>
        <v/>
      </c>
      <c r="I197" s="42" t="str">
        <f>IF(OR($B197="",$A197&gt;$B$9),"",IF(COUNTIFS(BD!$B$3:$B$5001,I$173,BD!$A$3:$A$5001,"&gt;="&amp;$C$7,BD!$A$3:$A$5001,"&lt;="&amp;$B197,BD!$Y$3:$Y$5001,"&lt;&gt;")=0,"",SUMIFS(BD!$Y$3:$Y$5001,BD!$B$3:$B$5001,I$173,BD!$A$3:$A$5001,_xlfn.MAXIFS(BD!$A$3:$A$5001,BD!$B$3:$B$5001,I$173,BD!$A$3:$A$5001,"&gt;="&amp;$C$7,BD!$A$3:$A$5001,"&lt;="&amp;$B197,BD!$Y$3:$Y$5001,"&lt;&gt;"))))</f>
        <v/>
      </c>
      <c r="J197" s="42" t="str">
        <f>IF(OR($B197="",$A197&gt;$B$9),"",IF(COUNTIFS(BD!$B$3:$B$5001,J$173,BD!$A$3:$A$5001,"&gt;="&amp;$C$7,BD!$A$3:$A$5001,"&lt;="&amp;$B197,BD!$Y$3:$Y$5001,"&lt;&gt;")=0,"",SUMIFS(BD!$Y$3:$Y$5001,BD!$B$3:$B$5001,J$173,BD!$A$3:$A$5001,_xlfn.MAXIFS(BD!$A$3:$A$5001,BD!$B$3:$B$5001,J$173,BD!$A$3:$A$5001,"&gt;="&amp;$C$7,BD!$A$3:$A$5001,"&lt;="&amp;$B197,BD!$Y$3:$Y$5001,"&lt;&gt;"))))</f>
        <v/>
      </c>
      <c r="K197" s="42" t="str">
        <f>IF(OR($B197="",$A197&gt;$B$9),"",IF(COUNTIFS(BD!$B$3:$B$5001,K$173,BD!$A$3:$A$5001,"&gt;="&amp;$C$7,BD!$A$3:$A$5001,"&lt;="&amp;$B197,BD!$Y$3:$Y$5001,"&lt;&gt;")=0,"",SUMIFS(BD!$Y$3:$Y$5001,BD!$B$3:$B$5001,K$173,BD!$A$3:$A$5001,_xlfn.MAXIFS(BD!$A$3:$A$5001,BD!$B$3:$B$5001,K$173,BD!$A$3:$A$5001,"&gt;="&amp;$C$7,BD!$A$3:$A$5001,"&lt;="&amp;$B197,BD!$Y$3:$Y$5001,"&lt;&gt;"))))</f>
        <v/>
      </c>
    </row>
    <row r="198">
      <c r="A198" s="40">
        <v>25</v>
      </c>
      <c r="B198" s="41">
        <f>$B$36</f>
        <v>46320</v>
      </c>
      <c r="C198" s="42" t="str">
        <f>IF(OR($B198="",$A198&gt;$B$9),"",IF(COUNTIFS(BD!$B$3:$B$5001,C$173,BD!$A$3:$A$5001,"&gt;="&amp;$C$7,BD!$A$3:$A$5001,"&lt;="&amp;$B198,BD!$Y$3:$Y$5001,"&lt;&gt;")=0,"",SUMIFS(BD!$Y$3:$Y$5001,BD!$B$3:$B$5001,C$173,BD!$A$3:$A$5001,_xlfn.MAXIFS(BD!$A$3:$A$5001,BD!$B$3:$B$5001,C$173,BD!$A$3:$A$5001,"&gt;="&amp;$C$7,BD!$A$3:$A$5001,"&lt;="&amp;$B198,BD!$Y$3:$Y$5001,"&lt;&gt;"))))</f>
        <v/>
      </c>
      <c r="D198" s="42" t="str">
        <f>IF(OR($B198="",$A198&gt;$B$9),"",IF(COUNTIFS(BD!$B$3:$B$5001,D$173,BD!$A$3:$A$5001,"&gt;="&amp;$C$7,BD!$A$3:$A$5001,"&lt;="&amp;$B198,BD!$Y$3:$Y$5001,"&lt;&gt;")=0,"",SUMIFS(BD!$Y$3:$Y$5001,BD!$B$3:$B$5001,D$173,BD!$A$3:$A$5001,_xlfn.MAXIFS(BD!$A$3:$A$5001,BD!$B$3:$B$5001,D$173,BD!$A$3:$A$5001,"&gt;="&amp;$C$7,BD!$A$3:$A$5001,"&lt;="&amp;$B198,BD!$Y$3:$Y$5001,"&lt;&gt;"))))</f>
        <v/>
      </c>
      <c r="E198" s="42" t="str">
        <f>IF(OR($B198="",$A198&gt;$B$9),"",IF(COUNTIFS(BD!$B$3:$B$5001,E$173,BD!$A$3:$A$5001,"&gt;="&amp;$C$7,BD!$A$3:$A$5001,"&lt;="&amp;$B198,BD!$Y$3:$Y$5001,"&lt;&gt;")=0,"",SUMIFS(BD!$Y$3:$Y$5001,BD!$B$3:$B$5001,E$173,BD!$A$3:$A$5001,_xlfn.MAXIFS(BD!$A$3:$A$5001,BD!$B$3:$B$5001,E$173,BD!$A$3:$A$5001,"&gt;="&amp;$C$7,BD!$A$3:$A$5001,"&lt;="&amp;$B198,BD!$Y$3:$Y$5001,"&lt;&gt;"))))</f>
        <v/>
      </c>
      <c r="F198" s="42" t="str">
        <f>IF(OR($B198="",$A198&gt;$B$9),"",IF(COUNTIFS(BD!$B$3:$B$5001,F$173,BD!$A$3:$A$5001,"&gt;="&amp;$C$7,BD!$A$3:$A$5001,"&lt;="&amp;$B198,BD!$Y$3:$Y$5001,"&lt;&gt;")=0,"",SUMIFS(BD!$Y$3:$Y$5001,BD!$B$3:$B$5001,F$173,BD!$A$3:$A$5001,_xlfn.MAXIFS(BD!$A$3:$A$5001,BD!$B$3:$B$5001,F$173,BD!$A$3:$A$5001,"&gt;="&amp;$C$7,BD!$A$3:$A$5001,"&lt;="&amp;$B198,BD!$Y$3:$Y$5001,"&lt;&gt;"))))</f>
        <v/>
      </c>
      <c r="G198" s="42" t="str">
        <f>IF(OR($B198="",$A198&gt;$B$9),"",IF(COUNTIFS(BD!$B$3:$B$5001,G$173,BD!$A$3:$A$5001,"&gt;="&amp;$C$7,BD!$A$3:$A$5001,"&lt;="&amp;$B198,BD!$Y$3:$Y$5001,"&lt;&gt;")=0,"",SUMIFS(BD!$Y$3:$Y$5001,BD!$B$3:$B$5001,G$173,BD!$A$3:$A$5001,_xlfn.MAXIFS(BD!$A$3:$A$5001,BD!$B$3:$B$5001,G$173,BD!$A$3:$A$5001,"&gt;="&amp;$C$7,BD!$A$3:$A$5001,"&lt;="&amp;$B198,BD!$Y$3:$Y$5001,"&lt;&gt;"))))</f>
        <v/>
      </c>
      <c r="H198" s="42" t="str">
        <f>IF(OR($B198="",$A198&gt;$B$9),"",IF(COUNTIFS(BD!$B$3:$B$5001,H$173,BD!$A$3:$A$5001,"&gt;="&amp;$C$7,BD!$A$3:$A$5001,"&lt;="&amp;$B198,BD!$Y$3:$Y$5001,"&lt;&gt;")=0,"",SUMIFS(BD!$Y$3:$Y$5001,BD!$B$3:$B$5001,H$173,BD!$A$3:$A$5001,_xlfn.MAXIFS(BD!$A$3:$A$5001,BD!$B$3:$B$5001,H$173,BD!$A$3:$A$5001,"&gt;="&amp;$C$7,BD!$A$3:$A$5001,"&lt;="&amp;$B198,BD!$Y$3:$Y$5001,"&lt;&gt;"))))</f>
        <v/>
      </c>
      <c r="I198" s="42" t="str">
        <f>IF(OR($B198="",$A198&gt;$B$9),"",IF(COUNTIFS(BD!$B$3:$B$5001,I$173,BD!$A$3:$A$5001,"&gt;="&amp;$C$7,BD!$A$3:$A$5001,"&lt;="&amp;$B198,BD!$Y$3:$Y$5001,"&lt;&gt;")=0,"",SUMIFS(BD!$Y$3:$Y$5001,BD!$B$3:$B$5001,I$173,BD!$A$3:$A$5001,_xlfn.MAXIFS(BD!$A$3:$A$5001,BD!$B$3:$B$5001,I$173,BD!$A$3:$A$5001,"&gt;="&amp;$C$7,BD!$A$3:$A$5001,"&lt;="&amp;$B198,BD!$Y$3:$Y$5001,"&lt;&gt;"))))</f>
        <v/>
      </c>
      <c r="J198" s="42" t="str">
        <f>IF(OR($B198="",$A198&gt;$B$9),"",IF(COUNTIFS(BD!$B$3:$B$5001,J$173,BD!$A$3:$A$5001,"&gt;="&amp;$C$7,BD!$A$3:$A$5001,"&lt;="&amp;$B198,BD!$Y$3:$Y$5001,"&lt;&gt;")=0,"",SUMIFS(BD!$Y$3:$Y$5001,BD!$B$3:$B$5001,J$173,BD!$A$3:$A$5001,_xlfn.MAXIFS(BD!$A$3:$A$5001,BD!$B$3:$B$5001,J$173,BD!$A$3:$A$5001,"&gt;="&amp;$C$7,BD!$A$3:$A$5001,"&lt;="&amp;$B198,BD!$Y$3:$Y$5001,"&lt;&gt;"))))</f>
        <v/>
      </c>
      <c r="K198" s="42" t="str">
        <f>IF(OR($B198="",$A198&gt;$B$9),"",IF(COUNTIFS(BD!$B$3:$B$5001,K$173,BD!$A$3:$A$5001,"&gt;="&amp;$C$7,BD!$A$3:$A$5001,"&lt;="&amp;$B198,BD!$Y$3:$Y$5001,"&lt;&gt;")=0,"",SUMIFS(BD!$Y$3:$Y$5001,BD!$B$3:$B$5001,K$173,BD!$A$3:$A$5001,_xlfn.MAXIFS(BD!$A$3:$A$5001,BD!$B$3:$B$5001,K$173,BD!$A$3:$A$5001,"&gt;="&amp;$C$7,BD!$A$3:$A$5001,"&lt;="&amp;$B198,BD!$Y$3:$Y$5001,"&lt;&gt;"))))</f>
        <v/>
      </c>
    </row>
    <row r="199">
      <c r="A199" s="40">
        <v>26</v>
      </c>
      <c r="B199" s="41">
        <f>$B$37</f>
        <v>46321</v>
      </c>
      <c r="C199" s="42" t="str">
        <f>IF(OR($B199="",$A199&gt;$B$9),"",IF(COUNTIFS(BD!$B$3:$B$5001,C$173,BD!$A$3:$A$5001,"&gt;="&amp;$C$7,BD!$A$3:$A$5001,"&lt;="&amp;$B199,BD!$Y$3:$Y$5001,"&lt;&gt;")=0,"",SUMIFS(BD!$Y$3:$Y$5001,BD!$B$3:$B$5001,C$173,BD!$A$3:$A$5001,_xlfn.MAXIFS(BD!$A$3:$A$5001,BD!$B$3:$B$5001,C$173,BD!$A$3:$A$5001,"&gt;="&amp;$C$7,BD!$A$3:$A$5001,"&lt;="&amp;$B199,BD!$Y$3:$Y$5001,"&lt;&gt;"))))</f>
        <v/>
      </c>
      <c r="D199" s="42" t="str">
        <f>IF(OR($B199="",$A199&gt;$B$9),"",IF(COUNTIFS(BD!$B$3:$B$5001,D$173,BD!$A$3:$A$5001,"&gt;="&amp;$C$7,BD!$A$3:$A$5001,"&lt;="&amp;$B199,BD!$Y$3:$Y$5001,"&lt;&gt;")=0,"",SUMIFS(BD!$Y$3:$Y$5001,BD!$B$3:$B$5001,D$173,BD!$A$3:$A$5001,_xlfn.MAXIFS(BD!$A$3:$A$5001,BD!$B$3:$B$5001,D$173,BD!$A$3:$A$5001,"&gt;="&amp;$C$7,BD!$A$3:$A$5001,"&lt;="&amp;$B199,BD!$Y$3:$Y$5001,"&lt;&gt;"))))</f>
        <v/>
      </c>
      <c r="E199" s="42" t="str">
        <f>IF(OR($B199="",$A199&gt;$B$9),"",IF(COUNTIFS(BD!$B$3:$B$5001,E$173,BD!$A$3:$A$5001,"&gt;="&amp;$C$7,BD!$A$3:$A$5001,"&lt;="&amp;$B199,BD!$Y$3:$Y$5001,"&lt;&gt;")=0,"",SUMIFS(BD!$Y$3:$Y$5001,BD!$B$3:$B$5001,E$173,BD!$A$3:$A$5001,_xlfn.MAXIFS(BD!$A$3:$A$5001,BD!$B$3:$B$5001,E$173,BD!$A$3:$A$5001,"&gt;="&amp;$C$7,BD!$A$3:$A$5001,"&lt;="&amp;$B199,BD!$Y$3:$Y$5001,"&lt;&gt;"))))</f>
        <v/>
      </c>
      <c r="F199" s="42" t="str">
        <f>IF(OR($B199="",$A199&gt;$B$9),"",IF(COUNTIFS(BD!$B$3:$B$5001,F$173,BD!$A$3:$A$5001,"&gt;="&amp;$C$7,BD!$A$3:$A$5001,"&lt;="&amp;$B199,BD!$Y$3:$Y$5001,"&lt;&gt;")=0,"",SUMIFS(BD!$Y$3:$Y$5001,BD!$B$3:$B$5001,F$173,BD!$A$3:$A$5001,_xlfn.MAXIFS(BD!$A$3:$A$5001,BD!$B$3:$B$5001,F$173,BD!$A$3:$A$5001,"&gt;="&amp;$C$7,BD!$A$3:$A$5001,"&lt;="&amp;$B199,BD!$Y$3:$Y$5001,"&lt;&gt;"))))</f>
        <v/>
      </c>
      <c r="G199" s="42" t="str">
        <f>IF(OR($B199="",$A199&gt;$B$9),"",IF(COUNTIFS(BD!$B$3:$B$5001,G$173,BD!$A$3:$A$5001,"&gt;="&amp;$C$7,BD!$A$3:$A$5001,"&lt;="&amp;$B199,BD!$Y$3:$Y$5001,"&lt;&gt;")=0,"",SUMIFS(BD!$Y$3:$Y$5001,BD!$B$3:$B$5001,G$173,BD!$A$3:$A$5001,_xlfn.MAXIFS(BD!$A$3:$A$5001,BD!$B$3:$B$5001,G$173,BD!$A$3:$A$5001,"&gt;="&amp;$C$7,BD!$A$3:$A$5001,"&lt;="&amp;$B199,BD!$Y$3:$Y$5001,"&lt;&gt;"))))</f>
        <v/>
      </c>
      <c r="H199" s="42" t="str">
        <f>IF(OR($B199="",$A199&gt;$B$9),"",IF(COUNTIFS(BD!$B$3:$B$5001,H$173,BD!$A$3:$A$5001,"&gt;="&amp;$C$7,BD!$A$3:$A$5001,"&lt;="&amp;$B199,BD!$Y$3:$Y$5001,"&lt;&gt;")=0,"",SUMIFS(BD!$Y$3:$Y$5001,BD!$B$3:$B$5001,H$173,BD!$A$3:$A$5001,_xlfn.MAXIFS(BD!$A$3:$A$5001,BD!$B$3:$B$5001,H$173,BD!$A$3:$A$5001,"&gt;="&amp;$C$7,BD!$A$3:$A$5001,"&lt;="&amp;$B199,BD!$Y$3:$Y$5001,"&lt;&gt;"))))</f>
        <v/>
      </c>
      <c r="I199" s="42" t="str">
        <f>IF(OR($B199="",$A199&gt;$B$9),"",IF(COUNTIFS(BD!$B$3:$B$5001,I$173,BD!$A$3:$A$5001,"&gt;="&amp;$C$7,BD!$A$3:$A$5001,"&lt;="&amp;$B199,BD!$Y$3:$Y$5001,"&lt;&gt;")=0,"",SUMIFS(BD!$Y$3:$Y$5001,BD!$B$3:$B$5001,I$173,BD!$A$3:$A$5001,_xlfn.MAXIFS(BD!$A$3:$A$5001,BD!$B$3:$B$5001,I$173,BD!$A$3:$A$5001,"&gt;="&amp;$C$7,BD!$A$3:$A$5001,"&lt;="&amp;$B199,BD!$Y$3:$Y$5001,"&lt;&gt;"))))</f>
        <v/>
      </c>
      <c r="J199" s="42" t="str">
        <f>IF(OR($B199="",$A199&gt;$B$9),"",IF(COUNTIFS(BD!$B$3:$B$5001,J$173,BD!$A$3:$A$5001,"&gt;="&amp;$C$7,BD!$A$3:$A$5001,"&lt;="&amp;$B199,BD!$Y$3:$Y$5001,"&lt;&gt;")=0,"",SUMIFS(BD!$Y$3:$Y$5001,BD!$B$3:$B$5001,J$173,BD!$A$3:$A$5001,_xlfn.MAXIFS(BD!$A$3:$A$5001,BD!$B$3:$B$5001,J$173,BD!$A$3:$A$5001,"&gt;="&amp;$C$7,BD!$A$3:$A$5001,"&lt;="&amp;$B199,BD!$Y$3:$Y$5001,"&lt;&gt;"))))</f>
        <v/>
      </c>
      <c r="K199" s="42" t="str">
        <f>IF(OR($B199="",$A199&gt;$B$9),"",IF(COUNTIFS(BD!$B$3:$B$5001,K$173,BD!$A$3:$A$5001,"&gt;="&amp;$C$7,BD!$A$3:$A$5001,"&lt;="&amp;$B199,BD!$Y$3:$Y$5001,"&lt;&gt;")=0,"",SUMIFS(BD!$Y$3:$Y$5001,BD!$B$3:$B$5001,K$173,BD!$A$3:$A$5001,_xlfn.MAXIFS(BD!$A$3:$A$5001,BD!$B$3:$B$5001,K$173,BD!$A$3:$A$5001,"&gt;="&amp;$C$7,BD!$A$3:$A$5001,"&lt;="&amp;$B199,BD!$Y$3:$Y$5001,"&lt;&gt;"))))</f>
        <v/>
      </c>
    </row>
    <row r="200">
      <c r="A200" s="40">
        <v>27</v>
      </c>
      <c r="B200" s="41">
        <f>$B$38</f>
        <v>46322</v>
      </c>
      <c r="C200" s="42" t="str">
        <f>IF(OR($B200="",$A200&gt;$B$9),"",IF(COUNTIFS(BD!$B$3:$B$5001,C$173,BD!$A$3:$A$5001,"&gt;="&amp;$C$7,BD!$A$3:$A$5001,"&lt;="&amp;$B200,BD!$Y$3:$Y$5001,"&lt;&gt;")=0,"",SUMIFS(BD!$Y$3:$Y$5001,BD!$B$3:$B$5001,C$173,BD!$A$3:$A$5001,_xlfn.MAXIFS(BD!$A$3:$A$5001,BD!$B$3:$B$5001,C$173,BD!$A$3:$A$5001,"&gt;="&amp;$C$7,BD!$A$3:$A$5001,"&lt;="&amp;$B200,BD!$Y$3:$Y$5001,"&lt;&gt;"))))</f>
        <v/>
      </c>
      <c r="D200" s="42" t="str">
        <f>IF(OR($B200="",$A200&gt;$B$9),"",IF(COUNTIFS(BD!$B$3:$B$5001,D$173,BD!$A$3:$A$5001,"&gt;="&amp;$C$7,BD!$A$3:$A$5001,"&lt;="&amp;$B200,BD!$Y$3:$Y$5001,"&lt;&gt;")=0,"",SUMIFS(BD!$Y$3:$Y$5001,BD!$B$3:$B$5001,D$173,BD!$A$3:$A$5001,_xlfn.MAXIFS(BD!$A$3:$A$5001,BD!$B$3:$B$5001,D$173,BD!$A$3:$A$5001,"&gt;="&amp;$C$7,BD!$A$3:$A$5001,"&lt;="&amp;$B200,BD!$Y$3:$Y$5001,"&lt;&gt;"))))</f>
        <v/>
      </c>
      <c r="E200" s="42" t="str">
        <f>IF(OR($B200="",$A200&gt;$B$9),"",IF(COUNTIFS(BD!$B$3:$B$5001,E$173,BD!$A$3:$A$5001,"&gt;="&amp;$C$7,BD!$A$3:$A$5001,"&lt;="&amp;$B200,BD!$Y$3:$Y$5001,"&lt;&gt;")=0,"",SUMIFS(BD!$Y$3:$Y$5001,BD!$B$3:$B$5001,E$173,BD!$A$3:$A$5001,_xlfn.MAXIFS(BD!$A$3:$A$5001,BD!$B$3:$B$5001,E$173,BD!$A$3:$A$5001,"&gt;="&amp;$C$7,BD!$A$3:$A$5001,"&lt;="&amp;$B200,BD!$Y$3:$Y$5001,"&lt;&gt;"))))</f>
        <v/>
      </c>
      <c r="F200" s="42" t="str">
        <f>IF(OR($B200="",$A200&gt;$B$9),"",IF(COUNTIFS(BD!$B$3:$B$5001,F$173,BD!$A$3:$A$5001,"&gt;="&amp;$C$7,BD!$A$3:$A$5001,"&lt;="&amp;$B200,BD!$Y$3:$Y$5001,"&lt;&gt;")=0,"",SUMIFS(BD!$Y$3:$Y$5001,BD!$B$3:$B$5001,F$173,BD!$A$3:$A$5001,_xlfn.MAXIFS(BD!$A$3:$A$5001,BD!$B$3:$B$5001,F$173,BD!$A$3:$A$5001,"&gt;="&amp;$C$7,BD!$A$3:$A$5001,"&lt;="&amp;$B200,BD!$Y$3:$Y$5001,"&lt;&gt;"))))</f>
        <v/>
      </c>
      <c r="G200" s="42" t="str">
        <f>IF(OR($B200="",$A200&gt;$B$9),"",IF(COUNTIFS(BD!$B$3:$B$5001,G$173,BD!$A$3:$A$5001,"&gt;="&amp;$C$7,BD!$A$3:$A$5001,"&lt;="&amp;$B200,BD!$Y$3:$Y$5001,"&lt;&gt;")=0,"",SUMIFS(BD!$Y$3:$Y$5001,BD!$B$3:$B$5001,G$173,BD!$A$3:$A$5001,_xlfn.MAXIFS(BD!$A$3:$A$5001,BD!$B$3:$B$5001,G$173,BD!$A$3:$A$5001,"&gt;="&amp;$C$7,BD!$A$3:$A$5001,"&lt;="&amp;$B200,BD!$Y$3:$Y$5001,"&lt;&gt;"))))</f>
        <v/>
      </c>
      <c r="H200" s="42" t="str">
        <f>IF(OR($B200="",$A200&gt;$B$9),"",IF(COUNTIFS(BD!$B$3:$B$5001,H$173,BD!$A$3:$A$5001,"&gt;="&amp;$C$7,BD!$A$3:$A$5001,"&lt;="&amp;$B200,BD!$Y$3:$Y$5001,"&lt;&gt;")=0,"",SUMIFS(BD!$Y$3:$Y$5001,BD!$B$3:$B$5001,H$173,BD!$A$3:$A$5001,_xlfn.MAXIFS(BD!$A$3:$A$5001,BD!$B$3:$B$5001,H$173,BD!$A$3:$A$5001,"&gt;="&amp;$C$7,BD!$A$3:$A$5001,"&lt;="&amp;$B200,BD!$Y$3:$Y$5001,"&lt;&gt;"))))</f>
        <v/>
      </c>
      <c r="I200" s="42" t="str">
        <f>IF(OR($B200="",$A200&gt;$B$9),"",IF(COUNTIFS(BD!$B$3:$B$5001,I$173,BD!$A$3:$A$5001,"&gt;="&amp;$C$7,BD!$A$3:$A$5001,"&lt;="&amp;$B200,BD!$Y$3:$Y$5001,"&lt;&gt;")=0,"",SUMIFS(BD!$Y$3:$Y$5001,BD!$B$3:$B$5001,I$173,BD!$A$3:$A$5001,_xlfn.MAXIFS(BD!$A$3:$A$5001,BD!$B$3:$B$5001,I$173,BD!$A$3:$A$5001,"&gt;="&amp;$C$7,BD!$A$3:$A$5001,"&lt;="&amp;$B200,BD!$Y$3:$Y$5001,"&lt;&gt;"))))</f>
        <v/>
      </c>
      <c r="J200" s="42" t="str">
        <f>IF(OR($B200="",$A200&gt;$B$9),"",IF(COUNTIFS(BD!$B$3:$B$5001,J$173,BD!$A$3:$A$5001,"&gt;="&amp;$C$7,BD!$A$3:$A$5001,"&lt;="&amp;$B200,BD!$Y$3:$Y$5001,"&lt;&gt;")=0,"",SUMIFS(BD!$Y$3:$Y$5001,BD!$B$3:$B$5001,J$173,BD!$A$3:$A$5001,_xlfn.MAXIFS(BD!$A$3:$A$5001,BD!$B$3:$B$5001,J$173,BD!$A$3:$A$5001,"&gt;="&amp;$C$7,BD!$A$3:$A$5001,"&lt;="&amp;$B200,BD!$Y$3:$Y$5001,"&lt;&gt;"))))</f>
        <v/>
      </c>
      <c r="K200" s="42" t="str">
        <f>IF(OR($B200="",$A200&gt;$B$9),"",IF(COUNTIFS(BD!$B$3:$B$5001,K$173,BD!$A$3:$A$5001,"&gt;="&amp;$C$7,BD!$A$3:$A$5001,"&lt;="&amp;$B200,BD!$Y$3:$Y$5001,"&lt;&gt;")=0,"",SUMIFS(BD!$Y$3:$Y$5001,BD!$B$3:$B$5001,K$173,BD!$A$3:$A$5001,_xlfn.MAXIFS(BD!$A$3:$A$5001,BD!$B$3:$B$5001,K$173,BD!$A$3:$A$5001,"&gt;="&amp;$C$7,BD!$A$3:$A$5001,"&lt;="&amp;$B200,BD!$Y$3:$Y$5001,"&lt;&gt;"))))</f>
        <v/>
      </c>
    </row>
    <row r="201">
      <c r="A201" s="40">
        <v>28</v>
      </c>
      <c r="B201" s="41">
        <f>$B$39</f>
        <v>46323</v>
      </c>
      <c r="C201" s="42" t="str">
        <f>IF(OR($B201="",$A201&gt;$B$9),"",IF(COUNTIFS(BD!$B$3:$B$5001,C$173,BD!$A$3:$A$5001,"&gt;="&amp;$C$7,BD!$A$3:$A$5001,"&lt;="&amp;$B201,BD!$Y$3:$Y$5001,"&lt;&gt;")=0,"",SUMIFS(BD!$Y$3:$Y$5001,BD!$B$3:$B$5001,C$173,BD!$A$3:$A$5001,_xlfn.MAXIFS(BD!$A$3:$A$5001,BD!$B$3:$B$5001,C$173,BD!$A$3:$A$5001,"&gt;="&amp;$C$7,BD!$A$3:$A$5001,"&lt;="&amp;$B201,BD!$Y$3:$Y$5001,"&lt;&gt;"))))</f>
        <v/>
      </c>
      <c r="D201" s="42" t="str">
        <f>IF(OR($B201="",$A201&gt;$B$9),"",IF(COUNTIFS(BD!$B$3:$B$5001,D$173,BD!$A$3:$A$5001,"&gt;="&amp;$C$7,BD!$A$3:$A$5001,"&lt;="&amp;$B201,BD!$Y$3:$Y$5001,"&lt;&gt;")=0,"",SUMIFS(BD!$Y$3:$Y$5001,BD!$B$3:$B$5001,D$173,BD!$A$3:$A$5001,_xlfn.MAXIFS(BD!$A$3:$A$5001,BD!$B$3:$B$5001,D$173,BD!$A$3:$A$5001,"&gt;="&amp;$C$7,BD!$A$3:$A$5001,"&lt;="&amp;$B201,BD!$Y$3:$Y$5001,"&lt;&gt;"))))</f>
        <v/>
      </c>
      <c r="E201" s="42" t="str">
        <f>IF(OR($B201="",$A201&gt;$B$9),"",IF(COUNTIFS(BD!$B$3:$B$5001,E$173,BD!$A$3:$A$5001,"&gt;="&amp;$C$7,BD!$A$3:$A$5001,"&lt;="&amp;$B201,BD!$Y$3:$Y$5001,"&lt;&gt;")=0,"",SUMIFS(BD!$Y$3:$Y$5001,BD!$B$3:$B$5001,E$173,BD!$A$3:$A$5001,_xlfn.MAXIFS(BD!$A$3:$A$5001,BD!$B$3:$B$5001,E$173,BD!$A$3:$A$5001,"&gt;="&amp;$C$7,BD!$A$3:$A$5001,"&lt;="&amp;$B201,BD!$Y$3:$Y$5001,"&lt;&gt;"))))</f>
        <v/>
      </c>
      <c r="F201" s="42" t="str">
        <f>IF(OR($B201="",$A201&gt;$B$9),"",IF(COUNTIFS(BD!$B$3:$B$5001,F$173,BD!$A$3:$A$5001,"&gt;="&amp;$C$7,BD!$A$3:$A$5001,"&lt;="&amp;$B201,BD!$Y$3:$Y$5001,"&lt;&gt;")=0,"",SUMIFS(BD!$Y$3:$Y$5001,BD!$B$3:$B$5001,F$173,BD!$A$3:$A$5001,_xlfn.MAXIFS(BD!$A$3:$A$5001,BD!$B$3:$B$5001,F$173,BD!$A$3:$A$5001,"&gt;="&amp;$C$7,BD!$A$3:$A$5001,"&lt;="&amp;$B201,BD!$Y$3:$Y$5001,"&lt;&gt;"))))</f>
        <v/>
      </c>
      <c r="G201" s="42" t="str">
        <f>IF(OR($B201="",$A201&gt;$B$9),"",IF(COUNTIFS(BD!$B$3:$B$5001,G$173,BD!$A$3:$A$5001,"&gt;="&amp;$C$7,BD!$A$3:$A$5001,"&lt;="&amp;$B201,BD!$Y$3:$Y$5001,"&lt;&gt;")=0,"",SUMIFS(BD!$Y$3:$Y$5001,BD!$B$3:$B$5001,G$173,BD!$A$3:$A$5001,_xlfn.MAXIFS(BD!$A$3:$A$5001,BD!$B$3:$B$5001,G$173,BD!$A$3:$A$5001,"&gt;="&amp;$C$7,BD!$A$3:$A$5001,"&lt;="&amp;$B201,BD!$Y$3:$Y$5001,"&lt;&gt;"))))</f>
        <v/>
      </c>
      <c r="H201" s="42" t="str">
        <f>IF(OR($B201="",$A201&gt;$B$9),"",IF(COUNTIFS(BD!$B$3:$B$5001,H$173,BD!$A$3:$A$5001,"&gt;="&amp;$C$7,BD!$A$3:$A$5001,"&lt;="&amp;$B201,BD!$Y$3:$Y$5001,"&lt;&gt;")=0,"",SUMIFS(BD!$Y$3:$Y$5001,BD!$B$3:$B$5001,H$173,BD!$A$3:$A$5001,_xlfn.MAXIFS(BD!$A$3:$A$5001,BD!$B$3:$B$5001,H$173,BD!$A$3:$A$5001,"&gt;="&amp;$C$7,BD!$A$3:$A$5001,"&lt;="&amp;$B201,BD!$Y$3:$Y$5001,"&lt;&gt;"))))</f>
        <v/>
      </c>
      <c r="I201" s="42" t="str">
        <f>IF(OR($B201="",$A201&gt;$B$9),"",IF(COUNTIFS(BD!$B$3:$B$5001,I$173,BD!$A$3:$A$5001,"&gt;="&amp;$C$7,BD!$A$3:$A$5001,"&lt;="&amp;$B201,BD!$Y$3:$Y$5001,"&lt;&gt;")=0,"",SUMIFS(BD!$Y$3:$Y$5001,BD!$B$3:$B$5001,I$173,BD!$A$3:$A$5001,_xlfn.MAXIFS(BD!$A$3:$A$5001,BD!$B$3:$B$5001,I$173,BD!$A$3:$A$5001,"&gt;="&amp;$C$7,BD!$A$3:$A$5001,"&lt;="&amp;$B201,BD!$Y$3:$Y$5001,"&lt;&gt;"))))</f>
        <v/>
      </c>
      <c r="J201" s="42" t="str">
        <f>IF(OR($B201="",$A201&gt;$B$9),"",IF(COUNTIFS(BD!$B$3:$B$5001,J$173,BD!$A$3:$A$5001,"&gt;="&amp;$C$7,BD!$A$3:$A$5001,"&lt;="&amp;$B201,BD!$Y$3:$Y$5001,"&lt;&gt;")=0,"",SUMIFS(BD!$Y$3:$Y$5001,BD!$B$3:$B$5001,J$173,BD!$A$3:$A$5001,_xlfn.MAXIFS(BD!$A$3:$A$5001,BD!$B$3:$B$5001,J$173,BD!$A$3:$A$5001,"&gt;="&amp;$C$7,BD!$A$3:$A$5001,"&lt;="&amp;$B201,BD!$Y$3:$Y$5001,"&lt;&gt;"))))</f>
        <v/>
      </c>
      <c r="K201" s="42" t="str">
        <f>IF(OR($B201="",$A201&gt;$B$9),"",IF(COUNTIFS(BD!$B$3:$B$5001,K$173,BD!$A$3:$A$5001,"&gt;="&amp;$C$7,BD!$A$3:$A$5001,"&lt;="&amp;$B201,BD!$Y$3:$Y$5001,"&lt;&gt;")=0,"",SUMIFS(BD!$Y$3:$Y$5001,BD!$B$3:$B$5001,K$173,BD!$A$3:$A$5001,_xlfn.MAXIFS(BD!$A$3:$A$5001,BD!$B$3:$B$5001,K$173,BD!$A$3:$A$5001,"&gt;="&amp;$C$7,BD!$A$3:$A$5001,"&lt;="&amp;$B201,BD!$Y$3:$Y$5001,"&lt;&gt;"))))</f>
        <v/>
      </c>
    </row>
    <row r="202">
      <c r="A202" s="40">
        <v>29</v>
      </c>
      <c r="B202" s="41">
        <f>$B$40</f>
        <v>46324</v>
      </c>
      <c r="C202" s="42" t="str">
        <f>IF(OR($B202="",$A202&gt;$B$9),"",IF(COUNTIFS(BD!$B$3:$B$5001,C$173,BD!$A$3:$A$5001,"&gt;="&amp;$C$7,BD!$A$3:$A$5001,"&lt;="&amp;$B202,BD!$Y$3:$Y$5001,"&lt;&gt;")=0,"",SUMIFS(BD!$Y$3:$Y$5001,BD!$B$3:$B$5001,C$173,BD!$A$3:$A$5001,_xlfn.MAXIFS(BD!$A$3:$A$5001,BD!$B$3:$B$5001,C$173,BD!$A$3:$A$5001,"&gt;="&amp;$C$7,BD!$A$3:$A$5001,"&lt;="&amp;$B202,BD!$Y$3:$Y$5001,"&lt;&gt;"))))</f>
        <v/>
      </c>
      <c r="D202" s="42" t="str">
        <f>IF(OR($B202="",$A202&gt;$B$9),"",IF(COUNTIFS(BD!$B$3:$B$5001,D$173,BD!$A$3:$A$5001,"&gt;="&amp;$C$7,BD!$A$3:$A$5001,"&lt;="&amp;$B202,BD!$Y$3:$Y$5001,"&lt;&gt;")=0,"",SUMIFS(BD!$Y$3:$Y$5001,BD!$B$3:$B$5001,D$173,BD!$A$3:$A$5001,_xlfn.MAXIFS(BD!$A$3:$A$5001,BD!$B$3:$B$5001,D$173,BD!$A$3:$A$5001,"&gt;="&amp;$C$7,BD!$A$3:$A$5001,"&lt;="&amp;$B202,BD!$Y$3:$Y$5001,"&lt;&gt;"))))</f>
        <v/>
      </c>
      <c r="E202" s="42" t="str">
        <f>IF(OR($B202="",$A202&gt;$B$9),"",IF(COUNTIFS(BD!$B$3:$B$5001,E$173,BD!$A$3:$A$5001,"&gt;="&amp;$C$7,BD!$A$3:$A$5001,"&lt;="&amp;$B202,BD!$Y$3:$Y$5001,"&lt;&gt;")=0,"",SUMIFS(BD!$Y$3:$Y$5001,BD!$B$3:$B$5001,E$173,BD!$A$3:$A$5001,_xlfn.MAXIFS(BD!$A$3:$A$5001,BD!$B$3:$B$5001,E$173,BD!$A$3:$A$5001,"&gt;="&amp;$C$7,BD!$A$3:$A$5001,"&lt;="&amp;$B202,BD!$Y$3:$Y$5001,"&lt;&gt;"))))</f>
        <v/>
      </c>
      <c r="F202" s="42" t="str">
        <f>IF(OR($B202="",$A202&gt;$B$9),"",IF(COUNTIFS(BD!$B$3:$B$5001,F$173,BD!$A$3:$A$5001,"&gt;="&amp;$C$7,BD!$A$3:$A$5001,"&lt;="&amp;$B202,BD!$Y$3:$Y$5001,"&lt;&gt;")=0,"",SUMIFS(BD!$Y$3:$Y$5001,BD!$B$3:$B$5001,F$173,BD!$A$3:$A$5001,_xlfn.MAXIFS(BD!$A$3:$A$5001,BD!$B$3:$B$5001,F$173,BD!$A$3:$A$5001,"&gt;="&amp;$C$7,BD!$A$3:$A$5001,"&lt;="&amp;$B202,BD!$Y$3:$Y$5001,"&lt;&gt;"))))</f>
        <v/>
      </c>
      <c r="G202" s="42" t="str">
        <f>IF(OR($B202="",$A202&gt;$B$9),"",IF(COUNTIFS(BD!$B$3:$B$5001,G$173,BD!$A$3:$A$5001,"&gt;="&amp;$C$7,BD!$A$3:$A$5001,"&lt;="&amp;$B202,BD!$Y$3:$Y$5001,"&lt;&gt;")=0,"",SUMIFS(BD!$Y$3:$Y$5001,BD!$B$3:$B$5001,G$173,BD!$A$3:$A$5001,_xlfn.MAXIFS(BD!$A$3:$A$5001,BD!$B$3:$B$5001,G$173,BD!$A$3:$A$5001,"&gt;="&amp;$C$7,BD!$A$3:$A$5001,"&lt;="&amp;$B202,BD!$Y$3:$Y$5001,"&lt;&gt;"))))</f>
        <v/>
      </c>
      <c r="H202" s="42" t="str">
        <f>IF(OR($B202="",$A202&gt;$B$9),"",IF(COUNTIFS(BD!$B$3:$B$5001,H$173,BD!$A$3:$A$5001,"&gt;="&amp;$C$7,BD!$A$3:$A$5001,"&lt;="&amp;$B202,BD!$Y$3:$Y$5001,"&lt;&gt;")=0,"",SUMIFS(BD!$Y$3:$Y$5001,BD!$B$3:$B$5001,H$173,BD!$A$3:$A$5001,_xlfn.MAXIFS(BD!$A$3:$A$5001,BD!$B$3:$B$5001,H$173,BD!$A$3:$A$5001,"&gt;="&amp;$C$7,BD!$A$3:$A$5001,"&lt;="&amp;$B202,BD!$Y$3:$Y$5001,"&lt;&gt;"))))</f>
        <v/>
      </c>
      <c r="I202" s="42" t="str">
        <f>IF(OR($B202="",$A202&gt;$B$9),"",IF(COUNTIFS(BD!$B$3:$B$5001,I$173,BD!$A$3:$A$5001,"&gt;="&amp;$C$7,BD!$A$3:$A$5001,"&lt;="&amp;$B202,BD!$Y$3:$Y$5001,"&lt;&gt;")=0,"",SUMIFS(BD!$Y$3:$Y$5001,BD!$B$3:$B$5001,I$173,BD!$A$3:$A$5001,_xlfn.MAXIFS(BD!$A$3:$A$5001,BD!$B$3:$B$5001,I$173,BD!$A$3:$A$5001,"&gt;="&amp;$C$7,BD!$A$3:$A$5001,"&lt;="&amp;$B202,BD!$Y$3:$Y$5001,"&lt;&gt;"))))</f>
        <v/>
      </c>
      <c r="J202" s="42" t="str">
        <f>IF(OR($B202="",$A202&gt;$B$9),"",IF(COUNTIFS(BD!$B$3:$B$5001,J$173,BD!$A$3:$A$5001,"&gt;="&amp;$C$7,BD!$A$3:$A$5001,"&lt;="&amp;$B202,BD!$Y$3:$Y$5001,"&lt;&gt;")=0,"",SUMIFS(BD!$Y$3:$Y$5001,BD!$B$3:$B$5001,J$173,BD!$A$3:$A$5001,_xlfn.MAXIFS(BD!$A$3:$A$5001,BD!$B$3:$B$5001,J$173,BD!$A$3:$A$5001,"&gt;="&amp;$C$7,BD!$A$3:$A$5001,"&lt;="&amp;$B202,BD!$Y$3:$Y$5001,"&lt;&gt;"))))</f>
        <v/>
      </c>
      <c r="K202" s="42" t="str">
        <f>IF(OR($B202="",$A202&gt;$B$9),"",IF(COUNTIFS(BD!$B$3:$B$5001,K$173,BD!$A$3:$A$5001,"&gt;="&amp;$C$7,BD!$A$3:$A$5001,"&lt;="&amp;$B202,BD!$Y$3:$Y$5001,"&lt;&gt;")=0,"",SUMIFS(BD!$Y$3:$Y$5001,BD!$B$3:$B$5001,K$173,BD!$A$3:$A$5001,_xlfn.MAXIFS(BD!$A$3:$A$5001,BD!$B$3:$B$5001,K$173,BD!$A$3:$A$5001,"&gt;="&amp;$C$7,BD!$A$3:$A$5001,"&lt;="&amp;$B202,BD!$Y$3:$Y$5001,"&lt;&gt;"))))</f>
        <v/>
      </c>
    </row>
    <row r="203">
      <c r="A203" s="40">
        <v>30</v>
      </c>
      <c r="B203" s="41">
        <f>$B$41</f>
        <v>46325</v>
      </c>
      <c r="C203" s="42" t="str">
        <f>IF(OR($B203="",$A203&gt;$B$9),"",IF(COUNTIFS(BD!$B$3:$B$5001,C$173,BD!$A$3:$A$5001,"&gt;="&amp;$C$7,BD!$A$3:$A$5001,"&lt;="&amp;$B203,BD!$Y$3:$Y$5001,"&lt;&gt;")=0,"",SUMIFS(BD!$Y$3:$Y$5001,BD!$B$3:$B$5001,C$173,BD!$A$3:$A$5001,_xlfn.MAXIFS(BD!$A$3:$A$5001,BD!$B$3:$B$5001,C$173,BD!$A$3:$A$5001,"&gt;="&amp;$C$7,BD!$A$3:$A$5001,"&lt;="&amp;$B203,BD!$Y$3:$Y$5001,"&lt;&gt;"))))</f>
        <v/>
      </c>
      <c r="D203" s="42" t="str">
        <f>IF(OR($B203="",$A203&gt;$B$9),"",IF(COUNTIFS(BD!$B$3:$B$5001,D$173,BD!$A$3:$A$5001,"&gt;="&amp;$C$7,BD!$A$3:$A$5001,"&lt;="&amp;$B203,BD!$Y$3:$Y$5001,"&lt;&gt;")=0,"",SUMIFS(BD!$Y$3:$Y$5001,BD!$B$3:$B$5001,D$173,BD!$A$3:$A$5001,_xlfn.MAXIFS(BD!$A$3:$A$5001,BD!$B$3:$B$5001,D$173,BD!$A$3:$A$5001,"&gt;="&amp;$C$7,BD!$A$3:$A$5001,"&lt;="&amp;$B203,BD!$Y$3:$Y$5001,"&lt;&gt;"))))</f>
        <v/>
      </c>
      <c r="E203" s="42" t="str">
        <f>IF(OR($B203="",$A203&gt;$B$9),"",IF(COUNTIFS(BD!$B$3:$B$5001,E$173,BD!$A$3:$A$5001,"&gt;="&amp;$C$7,BD!$A$3:$A$5001,"&lt;="&amp;$B203,BD!$Y$3:$Y$5001,"&lt;&gt;")=0,"",SUMIFS(BD!$Y$3:$Y$5001,BD!$B$3:$B$5001,E$173,BD!$A$3:$A$5001,_xlfn.MAXIFS(BD!$A$3:$A$5001,BD!$B$3:$B$5001,E$173,BD!$A$3:$A$5001,"&gt;="&amp;$C$7,BD!$A$3:$A$5001,"&lt;="&amp;$B203,BD!$Y$3:$Y$5001,"&lt;&gt;"))))</f>
        <v/>
      </c>
      <c r="F203" s="42" t="str">
        <f>IF(OR($B203="",$A203&gt;$B$9),"",IF(COUNTIFS(BD!$B$3:$B$5001,F$173,BD!$A$3:$A$5001,"&gt;="&amp;$C$7,BD!$A$3:$A$5001,"&lt;="&amp;$B203,BD!$Y$3:$Y$5001,"&lt;&gt;")=0,"",SUMIFS(BD!$Y$3:$Y$5001,BD!$B$3:$B$5001,F$173,BD!$A$3:$A$5001,_xlfn.MAXIFS(BD!$A$3:$A$5001,BD!$B$3:$B$5001,F$173,BD!$A$3:$A$5001,"&gt;="&amp;$C$7,BD!$A$3:$A$5001,"&lt;="&amp;$B203,BD!$Y$3:$Y$5001,"&lt;&gt;"))))</f>
        <v/>
      </c>
      <c r="G203" s="42" t="str">
        <f>IF(OR($B203="",$A203&gt;$B$9),"",IF(COUNTIFS(BD!$B$3:$B$5001,G$173,BD!$A$3:$A$5001,"&gt;="&amp;$C$7,BD!$A$3:$A$5001,"&lt;="&amp;$B203,BD!$Y$3:$Y$5001,"&lt;&gt;")=0,"",SUMIFS(BD!$Y$3:$Y$5001,BD!$B$3:$B$5001,G$173,BD!$A$3:$A$5001,_xlfn.MAXIFS(BD!$A$3:$A$5001,BD!$B$3:$B$5001,G$173,BD!$A$3:$A$5001,"&gt;="&amp;$C$7,BD!$A$3:$A$5001,"&lt;="&amp;$B203,BD!$Y$3:$Y$5001,"&lt;&gt;"))))</f>
        <v/>
      </c>
      <c r="H203" s="42" t="str">
        <f>IF(OR($B203="",$A203&gt;$B$9),"",IF(COUNTIFS(BD!$B$3:$B$5001,H$173,BD!$A$3:$A$5001,"&gt;="&amp;$C$7,BD!$A$3:$A$5001,"&lt;="&amp;$B203,BD!$Y$3:$Y$5001,"&lt;&gt;")=0,"",SUMIFS(BD!$Y$3:$Y$5001,BD!$B$3:$B$5001,H$173,BD!$A$3:$A$5001,_xlfn.MAXIFS(BD!$A$3:$A$5001,BD!$B$3:$B$5001,H$173,BD!$A$3:$A$5001,"&gt;="&amp;$C$7,BD!$A$3:$A$5001,"&lt;="&amp;$B203,BD!$Y$3:$Y$5001,"&lt;&gt;"))))</f>
        <v/>
      </c>
      <c r="I203" s="42" t="str">
        <f>IF(OR($B203="",$A203&gt;$B$9),"",IF(COUNTIFS(BD!$B$3:$B$5001,I$173,BD!$A$3:$A$5001,"&gt;="&amp;$C$7,BD!$A$3:$A$5001,"&lt;="&amp;$B203,BD!$Y$3:$Y$5001,"&lt;&gt;")=0,"",SUMIFS(BD!$Y$3:$Y$5001,BD!$B$3:$B$5001,I$173,BD!$A$3:$A$5001,_xlfn.MAXIFS(BD!$A$3:$A$5001,BD!$B$3:$B$5001,I$173,BD!$A$3:$A$5001,"&gt;="&amp;$C$7,BD!$A$3:$A$5001,"&lt;="&amp;$B203,BD!$Y$3:$Y$5001,"&lt;&gt;"))))</f>
        <v/>
      </c>
      <c r="J203" s="42" t="str">
        <f>IF(OR($B203="",$A203&gt;$B$9),"",IF(COUNTIFS(BD!$B$3:$B$5001,J$173,BD!$A$3:$A$5001,"&gt;="&amp;$C$7,BD!$A$3:$A$5001,"&lt;="&amp;$B203,BD!$Y$3:$Y$5001,"&lt;&gt;")=0,"",SUMIFS(BD!$Y$3:$Y$5001,BD!$B$3:$B$5001,J$173,BD!$A$3:$A$5001,_xlfn.MAXIFS(BD!$A$3:$A$5001,BD!$B$3:$B$5001,J$173,BD!$A$3:$A$5001,"&gt;="&amp;$C$7,BD!$A$3:$A$5001,"&lt;="&amp;$B203,BD!$Y$3:$Y$5001,"&lt;&gt;"))))</f>
        <v/>
      </c>
      <c r="K203" s="42" t="str">
        <f>IF(OR($B203="",$A203&gt;$B$9),"",IF(COUNTIFS(BD!$B$3:$B$5001,K$173,BD!$A$3:$A$5001,"&gt;="&amp;$C$7,BD!$A$3:$A$5001,"&lt;="&amp;$B203,BD!$Y$3:$Y$5001,"&lt;&gt;")=0,"",SUMIFS(BD!$Y$3:$Y$5001,BD!$B$3:$B$5001,K$173,BD!$A$3:$A$5001,_xlfn.MAXIFS(BD!$A$3:$A$5001,BD!$B$3:$B$5001,K$173,BD!$A$3:$A$5001,"&gt;="&amp;$C$7,BD!$A$3:$A$5001,"&lt;="&amp;$B203,BD!$Y$3:$Y$5001,"&lt;&gt;"))))</f>
        <v/>
      </c>
    </row>
    <row r="204">
      <c r="A204" s="40">
        <v>31</v>
      </c>
      <c r="B204" s="41">
        <f>$B$42</f>
        <v>46326</v>
      </c>
      <c r="C204" s="42" t="str">
        <f>IF(OR($B204="",$A204&gt;$B$9),"",IF(COUNTIFS(BD!$B$3:$B$5001,C$173,BD!$A$3:$A$5001,"&gt;="&amp;$C$7,BD!$A$3:$A$5001,"&lt;="&amp;$B204,BD!$Y$3:$Y$5001,"&lt;&gt;")=0,"",SUMIFS(BD!$Y$3:$Y$5001,BD!$B$3:$B$5001,C$173,BD!$A$3:$A$5001,_xlfn.MAXIFS(BD!$A$3:$A$5001,BD!$B$3:$B$5001,C$173,BD!$A$3:$A$5001,"&gt;="&amp;$C$7,BD!$A$3:$A$5001,"&lt;="&amp;$B204,BD!$Y$3:$Y$5001,"&lt;&gt;"))))</f>
        <v/>
      </c>
      <c r="D204" s="42" t="str">
        <f>IF(OR($B204="",$A204&gt;$B$9),"",IF(COUNTIFS(BD!$B$3:$B$5001,D$173,BD!$A$3:$A$5001,"&gt;="&amp;$C$7,BD!$A$3:$A$5001,"&lt;="&amp;$B204,BD!$Y$3:$Y$5001,"&lt;&gt;")=0,"",SUMIFS(BD!$Y$3:$Y$5001,BD!$B$3:$B$5001,D$173,BD!$A$3:$A$5001,_xlfn.MAXIFS(BD!$A$3:$A$5001,BD!$B$3:$B$5001,D$173,BD!$A$3:$A$5001,"&gt;="&amp;$C$7,BD!$A$3:$A$5001,"&lt;="&amp;$B204,BD!$Y$3:$Y$5001,"&lt;&gt;"))))</f>
        <v/>
      </c>
      <c r="E204" s="42" t="str">
        <f>IF(OR($B204="",$A204&gt;$B$9),"",IF(COUNTIFS(BD!$B$3:$B$5001,E$173,BD!$A$3:$A$5001,"&gt;="&amp;$C$7,BD!$A$3:$A$5001,"&lt;="&amp;$B204,BD!$Y$3:$Y$5001,"&lt;&gt;")=0,"",SUMIFS(BD!$Y$3:$Y$5001,BD!$B$3:$B$5001,E$173,BD!$A$3:$A$5001,_xlfn.MAXIFS(BD!$A$3:$A$5001,BD!$B$3:$B$5001,E$173,BD!$A$3:$A$5001,"&gt;="&amp;$C$7,BD!$A$3:$A$5001,"&lt;="&amp;$B204,BD!$Y$3:$Y$5001,"&lt;&gt;"))))</f>
        <v/>
      </c>
      <c r="F204" s="42" t="str">
        <f>IF(OR($B204="",$A204&gt;$B$9),"",IF(COUNTIFS(BD!$B$3:$B$5001,F$173,BD!$A$3:$A$5001,"&gt;="&amp;$C$7,BD!$A$3:$A$5001,"&lt;="&amp;$B204,BD!$Y$3:$Y$5001,"&lt;&gt;")=0,"",SUMIFS(BD!$Y$3:$Y$5001,BD!$B$3:$B$5001,F$173,BD!$A$3:$A$5001,_xlfn.MAXIFS(BD!$A$3:$A$5001,BD!$B$3:$B$5001,F$173,BD!$A$3:$A$5001,"&gt;="&amp;$C$7,BD!$A$3:$A$5001,"&lt;="&amp;$B204,BD!$Y$3:$Y$5001,"&lt;&gt;"))))</f>
        <v/>
      </c>
      <c r="G204" s="42" t="str">
        <f>IF(OR($B204="",$A204&gt;$B$9),"",IF(COUNTIFS(BD!$B$3:$B$5001,G$173,BD!$A$3:$A$5001,"&gt;="&amp;$C$7,BD!$A$3:$A$5001,"&lt;="&amp;$B204,BD!$Y$3:$Y$5001,"&lt;&gt;")=0,"",SUMIFS(BD!$Y$3:$Y$5001,BD!$B$3:$B$5001,G$173,BD!$A$3:$A$5001,_xlfn.MAXIFS(BD!$A$3:$A$5001,BD!$B$3:$B$5001,G$173,BD!$A$3:$A$5001,"&gt;="&amp;$C$7,BD!$A$3:$A$5001,"&lt;="&amp;$B204,BD!$Y$3:$Y$5001,"&lt;&gt;"))))</f>
        <v/>
      </c>
      <c r="H204" s="42" t="str">
        <f>IF(OR($B204="",$A204&gt;$B$9),"",IF(COUNTIFS(BD!$B$3:$B$5001,H$173,BD!$A$3:$A$5001,"&gt;="&amp;$C$7,BD!$A$3:$A$5001,"&lt;="&amp;$B204,BD!$Y$3:$Y$5001,"&lt;&gt;")=0,"",SUMIFS(BD!$Y$3:$Y$5001,BD!$B$3:$B$5001,H$173,BD!$A$3:$A$5001,_xlfn.MAXIFS(BD!$A$3:$A$5001,BD!$B$3:$B$5001,H$173,BD!$A$3:$A$5001,"&gt;="&amp;$C$7,BD!$A$3:$A$5001,"&lt;="&amp;$B204,BD!$Y$3:$Y$5001,"&lt;&gt;"))))</f>
        <v/>
      </c>
      <c r="I204" s="42" t="str">
        <f>IF(OR($B204="",$A204&gt;$B$9),"",IF(COUNTIFS(BD!$B$3:$B$5001,I$173,BD!$A$3:$A$5001,"&gt;="&amp;$C$7,BD!$A$3:$A$5001,"&lt;="&amp;$B204,BD!$Y$3:$Y$5001,"&lt;&gt;")=0,"",SUMIFS(BD!$Y$3:$Y$5001,BD!$B$3:$B$5001,I$173,BD!$A$3:$A$5001,_xlfn.MAXIFS(BD!$A$3:$A$5001,BD!$B$3:$B$5001,I$173,BD!$A$3:$A$5001,"&gt;="&amp;$C$7,BD!$A$3:$A$5001,"&lt;="&amp;$B204,BD!$Y$3:$Y$5001,"&lt;&gt;"))))</f>
        <v/>
      </c>
      <c r="J204" s="42" t="str">
        <f>IF(OR($B204="",$A204&gt;$B$9),"",IF(COUNTIFS(BD!$B$3:$B$5001,J$173,BD!$A$3:$A$5001,"&gt;="&amp;$C$7,BD!$A$3:$A$5001,"&lt;="&amp;$B204,BD!$Y$3:$Y$5001,"&lt;&gt;")=0,"",SUMIFS(BD!$Y$3:$Y$5001,BD!$B$3:$B$5001,J$173,BD!$A$3:$A$5001,_xlfn.MAXIFS(BD!$A$3:$A$5001,BD!$B$3:$B$5001,J$173,BD!$A$3:$A$5001,"&gt;="&amp;$C$7,BD!$A$3:$A$5001,"&lt;="&amp;$B204,BD!$Y$3:$Y$5001,"&lt;&gt;"))))</f>
        <v/>
      </c>
      <c r="K204" s="42" t="str">
        <f>IF(OR($B204="",$A204&gt;$B$9),"",IF(COUNTIFS(BD!$B$3:$B$5001,K$173,BD!$A$3:$A$5001,"&gt;="&amp;$C$7,BD!$A$3:$A$5001,"&lt;="&amp;$B204,BD!$Y$3:$Y$5001,"&lt;&gt;")=0,"",SUMIFS(BD!$Y$3:$Y$5001,BD!$B$3:$B$5001,K$173,BD!$A$3:$A$5001,_xlfn.MAXIFS(BD!$A$3:$A$5001,BD!$B$3:$B$5001,K$173,BD!$A$3:$A$5001,"&gt;="&amp;$C$7,BD!$A$3:$A$5001,"&lt;="&amp;$B204,BD!$Y$3:$Y$5001,"&lt;&gt;"))))</f>
        <v/>
      </c>
    </row>
    <row r="205">
      <c r="A205" s="43" t="inlineStr">
        <is>
          <t xml:space="preserve">Mês anterior (último)</t>
        </is>
      </c>
      <c r="C205" s="44" t="str">
        <f>IF(COUNTIFS(BD!$B$3:$B$5001,C$173,BD!$A$3:$A$5001,"&gt;="&amp;$C$8,BD!$A$3:$A$5001,"&lt;="&amp;$D$8,BD!$Y$3:$Y$5001,"&lt;&gt;")=0,"",SUMIFS(BD!$Y$3:$Y$5001,BD!$B$3:$B$5001,C$173,BD!$A$3:$A$5001,_xlfn.MAXIFS(BD!$A$3:$A$5001,BD!$B$3:$B$5001,C$173,BD!$A$3:$A$5001,"&gt;="&amp;$C$8,BD!$A$3:$A$5001,"&lt;="&amp;$D$8,BD!$Y$3:$Y$5001,"&lt;&gt;")))</f>
        <v/>
      </c>
      <c r="D205" s="44" t="str">
        <f>IF(COUNTIFS(BD!$B$3:$B$5001,D$173,BD!$A$3:$A$5001,"&gt;="&amp;$C$8,BD!$A$3:$A$5001,"&lt;="&amp;$D$8,BD!$Y$3:$Y$5001,"&lt;&gt;")=0,"",SUMIFS(BD!$Y$3:$Y$5001,BD!$B$3:$B$5001,D$173,BD!$A$3:$A$5001,_xlfn.MAXIFS(BD!$A$3:$A$5001,BD!$B$3:$B$5001,D$173,BD!$A$3:$A$5001,"&gt;="&amp;$C$8,BD!$A$3:$A$5001,"&lt;="&amp;$D$8,BD!$Y$3:$Y$5001,"&lt;&gt;")))</f>
        <v/>
      </c>
      <c r="E205" s="44" t="str">
        <f>IF(COUNTIFS(BD!$B$3:$B$5001,E$173,BD!$A$3:$A$5001,"&gt;="&amp;$C$8,BD!$A$3:$A$5001,"&lt;="&amp;$D$8,BD!$Y$3:$Y$5001,"&lt;&gt;")=0,"",SUMIFS(BD!$Y$3:$Y$5001,BD!$B$3:$B$5001,E$173,BD!$A$3:$A$5001,_xlfn.MAXIFS(BD!$A$3:$A$5001,BD!$B$3:$B$5001,E$173,BD!$A$3:$A$5001,"&gt;="&amp;$C$8,BD!$A$3:$A$5001,"&lt;="&amp;$D$8,BD!$Y$3:$Y$5001,"&lt;&gt;")))</f>
        <v/>
      </c>
      <c r="F205" s="44" t="str">
        <f>IF(COUNTIFS(BD!$B$3:$B$5001,F$173,BD!$A$3:$A$5001,"&gt;="&amp;$C$8,BD!$A$3:$A$5001,"&lt;="&amp;$D$8,BD!$Y$3:$Y$5001,"&lt;&gt;")=0,"",SUMIFS(BD!$Y$3:$Y$5001,BD!$B$3:$B$5001,F$173,BD!$A$3:$A$5001,_xlfn.MAXIFS(BD!$A$3:$A$5001,BD!$B$3:$B$5001,F$173,BD!$A$3:$A$5001,"&gt;="&amp;$C$8,BD!$A$3:$A$5001,"&lt;="&amp;$D$8,BD!$Y$3:$Y$5001,"&lt;&gt;")))</f>
        <v/>
      </c>
      <c r="G205" s="44" t="str">
        <f>IF(COUNTIFS(BD!$B$3:$B$5001,G$173,BD!$A$3:$A$5001,"&gt;="&amp;$C$8,BD!$A$3:$A$5001,"&lt;="&amp;$D$8,BD!$Y$3:$Y$5001,"&lt;&gt;")=0,"",SUMIFS(BD!$Y$3:$Y$5001,BD!$B$3:$B$5001,G$173,BD!$A$3:$A$5001,_xlfn.MAXIFS(BD!$A$3:$A$5001,BD!$B$3:$B$5001,G$173,BD!$A$3:$A$5001,"&gt;="&amp;$C$8,BD!$A$3:$A$5001,"&lt;="&amp;$D$8,BD!$Y$3:$Y$5001,"&lt;&gt;")))</f>
        <v/>
      </c>
      <c r="H205" s="44" t="str">
        <f>IF(COUNTIFS(BD!$B$3:$B$5001,H$173,BD!$A$3:$A$5001,"&gt;="&amp;$C$8,BD!$A$3:$A$5001,"&lt;="&amp;$D$8,BD!$Y$3:$Y$5001,"&lt;&gt;")=0,"",SUMIFS(BD!$Y$3:$Y$5001,BD!$B$3:$B$5001,H$173,BD!$A$3:$A$5001,_xlfn.MAXIFS(BD!$A$3:$A$5001,BD!$B$3:$B$5001,H$173,BD!$A$3:$A$5001,"&gt;="&amp;$C$8,BD!$A$3:$A$5001,"&lt;="&amp;$D$8,BD!$Y$3:$Y$5001,"&lt;&gt;")))</f>
        <v/>
      </c>
      <c r="I205" s="44" t="str">
        <f>IF(COUNTIFS(BD!$B$3:$B$5001,I$173,BD!$A$3:$A$5001,"&gt;="&amp;$C$8,BD!$A$3:$A$5001,"&lt;="&amp;$D$8,BD!$Y$3:$Y$5001,"&lt;&gt;")=0,"",SUMIFS(BD!$Y$3:$Y$5001,BD!$B$3:$B$5001,I$173,BD!$A$3:$A$5001,_xlfn.MAXIFS(BD!$A$3:$A$5001,BD!$B$3:$B$5001,I$173,BD!$A$3:$A$5001,"&gt;="&amp;$C$8,BD!$A$3:$A$5001,"&lt;="&amp;$D$8,BD!$Y$3:$Y$5001,"&lt;&gt;")))</f>
        <v/>
      </c>
      <c r="J205" s="44" t="str">
        <f>IF(COUNTIFS(BD!$B$3:$B$5001,J$173,BD!$A$3:$A$5001,"&gt;="&amp;$C$8,BD!$A$3:$A$5001,"&lt;="&amp;$D$8,BD!$Y$3:$Y$5001,"&lt;&gt;")=0,"",SUMIFS(BD!$Y$3:$Y$5001,BD!$B$3:$B$5001,J$173,BD!$A$3:$A$5001,_xlfn.MAXIFS(BD!$A$3:$A$5001,BD!$B$3:$B$5001,J$173,BD!$A$3:$A$5001,"&gt;="&amp;$C$8,BD!$A$3:$A$5001,"&lt;="&amp;$D$8,BD!$Y$3:$Y$5001,"&lt;&gt;")))</f>
        <v/>
      </c>
      <c r="K205" s="44" t="str">
        <f>IF(COUNTIFS(BD!$B$3:$B$5001,K$173,BD!$A$3:$A$5001,"&gt;="&amp;$C$8,BD!$A$3:$A$5001,"&lt;="&amp;$D$8,BD!$Y$3:$Y$5001,"&lt;&gt;")=0,"",SUMIFS(BD!$Y$3:$Y$5001,BD!$B$3:$B$5001,K$173,BD!$A$3:$A$5001,_xlfn.MAXIFS(BD!$A$3:$A$5001,BD!$B$3:$B$5001,K$173,BD!$A$3:$A$5001,"&gt;="&amp;$C$8,BD!$A$3:$A$5001,"&lt;="&amp;$D$8,BD!$Y$3:$Y$5001,"&lt;&gt;")))</f>
        <v/>
      </c>
    </row>
    <row r="206">
      <c r="A206" s="43" t="inlineStr">
        <is>
          <t xml:space="preserve">Depósito</t>
        </is>
      </c>
      <c r="C206" s="40" t="inlineStr">
        <is>
          <t xml:space="preserve">TPC</t>
        </is>
      </c>
      <c r="D206" s="40" t="inlineStr">
        <is>
          <t xml:space="preserve">TPC</t>
        </is>
      </c>
      <c r="E206" s="40" t="inlineStr">
        <is>
          <t xml:space="preserve">TPC</t>
        </is>
      </c>
      <c r="F206" s="40" t="inlineStr">
        <is>
          <t xml:space="preserve">TPC</t>
        </is>
      </c>
      <c r="G206" s="40" t="inlineStr">
        <is>
          <t xml:space="preserve">TPC</t>
        </is>
      </c>
      <c r="H206" s="40" t="inlineStr">
        <is>
          <t xml:space="preserve">TPC</t>
        </is>
      </c>
      <c r="I206" s="40" t="inlineStr">
        <is>
          <t xml:space="preserve">TPC</t>
        </is>
      </c>
      <c r="J206" s="40" t="inlineStr">
        <is>
          <t xml:space="preserve">TPC</t>
        </is>
      </c>
      <c r="K206" s="40" t="inlineStr">
        <is>
          <t xml:space="preserve">TPC</t>
        </is>
      </c>
    </row>
    <row r="208">
      <c r="A208" s="37" t="inlineStr">
        <is>
          <t xml:space="preserve">Posições Disponíveis</t>
        </is>
      </c>
      <c r="B208" s="37" t="inlineStr">
        <is>
          <t xml:space="preserve">Data</t>
        </is>
      </c>
      <c r="C208" s="37" t="inlineStr">
        <is>
          <t xml:space="preserve">Alpargatas</t>
        </is>
      </c>
      <c r="D208" s="37" t="inlineStr">
        <is>
          <t xml:space="preserve">Basf</t>
        </is>
      </c>
      <c r="E208" s="37" t="inlineStr">
        <is>
          <t xml:space="preserve">Beautybiz</t>
        </is>
      </c>
      <c r="F208" s="37" t="inlineStr">
        <is>
          <t xml:space="preserve">Boticário</t>
        </is>
      </c>
      <c r="G208" s="37" t="inlineStr">
        <is>
          <t xml:space="preserve">GE Vernova</t>
        </is>
      </c>
      <c r="H208" s="37" t="inlineStr">
        <is>
          <t xml:space="preserve">Omnilife</t>
        </is>
      </c>
      <c r="I208" s="37" t="inlineStr">
        <is>
          <t xml:space="preserve">Supply</t>
        </is>
      </c>
      <c r="J208" s="37" t="inlineStr">
        <is>
          <t xml:space="preserve">Vedacit</t>
        </is>
      </c>
      <c r="K208" s="37" t="inlineStr">
        <is>
          <t xml:space="preserve">Vestas</t>
        </is>
      </c>
    </row>
    <row r="209">
      <c r="A209" s="40">
        <v>1</v>
      </c>
      <c r="B209" s="41">
        <f>$B$12</f>
        <v>46296</v>
      </c>
      <c r="C209" s="42" t="str">
        <f>IF(OR($B209="",$A209&gt;$B$9),"",IF(COUNTIFS(BD!$B$3:$B$5001,C$208,BD!$A$3:$A$5001,"&gt;="&amp;$C$7,BD!$A$3:$A$5001,"&lt;="&amp;$B209,BD!$X$3:$X$5001,"&lt;&gt;")=0,"",SUMIFS(BD!$X$3:$X$5001,BD!$B$3:$B$5001,C$208,BD!$A$3:$A$5001,_xlfn.MAXIFS(BD!$A$3:$A$5001,BD!$B$3:$B$5001,C$208,BD!$A$3:$A$5001,"&gt;="&amp;$C$7,BD!$A$3:$A$5001,"&lt;="&amp;$B209,BD!$X$3:$X$5001,"&lt;&gt;"))))</f>
        <v/>
      </c>
      <c r="D209" s="42" t="str">
        <f>IF(OR($B209="",$A209&gt;$B$9),"",IF(COUNTIFS(BD!$B$3:$B$5001,D$208,BD!$A$3:$A$5001,"&gt;="&amp;$C$7,BD!$A$3:$A$5001,"&lt;="&amp;$B209,BD!$X$3:$X$5001,"&lt;&gt;")=0,"",SUMIFS(BD!$X$3:$X$5001,BD!$B$3:$B$5001,D$208,BD!$A$3:$A$5001,_xlfn.MAXIFS(BD!$A$3:$A$5001,BD!$B$3:$B$5001,D$208,BD!$A$3:$A$5001,"&gt;="&amp;$C$7,BD!$A$3:$A$5001,"&lt;="&amp;$B209,BD!$X$3:$X$5001,"&lt;&gt;"))))</f>
        <v/>
      </c>
      <c r="E209" s="42" t="str">
        <f>IF(OR($B209="",$A209&gt;$B$9),"",IF(COUNTIFS(BD!$B$3:$B$5001,E$208,BD!$A$3:$A$5001,"&gt;="&amp;$C$7,BD!$A$3:$A$5001,"&lt;="&amp;$B209,BD!$X$3:$X$5001,"&lt;&gt;")=0,"",SUMIFS(BD!$X$3:$X$5001,BD!$B$3:$B$5001,E$208,BD!$A$3:$A$5001,_xlfn.MAXIFS(BD!$A$3:$A$5001,BD!$B$3:$B$5001,E$208,BD!$A$3:$A$5001,"&gt;="&amp;$C$7,BD!$A$3:$A$5001,"&lt;="&amp;$B209,BD!$X$3:$X$5001,"&lt;&gt;"))))</f>
        <v/>
      </c>
      <c r="F209" s="42" t="str">
        <f>IF(OR($B209="",$A209&gt;$B$9),"",IF(COUNTIFS(BD!$B$3:$B$5001,F$208,BD!$A$3:$A$5001,"&gt;="&amp;$C$7,BD!$A$3:$A$5001,"&lt;="&amp;$B209,BD!$X$3:$X$5001,"&lt;&gt;")=0,"",SUMIFS(BD!$X$3:$X$5001,BD!$B$3:$B$5001,F$208,BD!$A$3:$A$5001,_xlfn.MAXIFS(BD!$A$3:$A$5001,BD!$B$3:$B$5001,F$208,BD!$A$3:$A$5001,"&gt;="&amp;$C$7,BD!$A$3:$A$5001,"&lt;="&amp;$B209,BD!$X$3:$X$5001,"&lt;&gt;"))))</f>
        <v/>
      </c>
      <c r="G209" s="42" t="str">
        <f>IF(OR($B209="",$A209&gt;$B$9),"",IF(COUNTIFS(BD!$B$3:$B$5001,G$208,BD!$A$3:$A$5001,"&gt;="&amp;$C$7,BD!$A$3:$A$5001,"&lt;="&amp;$B209,BD!$X$3:$X$5001,"&lt;&gt;")=0,"",SUMIFS(BD!$X$3:$X$5001,BD!$B$3:$B$5001,G$208,BD!$A$3:$A$5001,_xlfn.MAXIFS(BD!$A$3:$A$5001,BD!$B$3:$B$5001,G$208,BD!$A$3:$A$5001,"&gt;="&amp;$C$7,BD!$A$3:$A$5001,"&lt;="&amp;$B209,BD!$X$3:$X$5001,"&lt;&gt;"))))</f>
        <v/>
      </c>
      <c r="H209" s="42" t="str">
        <f>IF(OR($B209="",$A209&gt;$B$9),"",IF(COUNTIFS(BD!$B$3:$B$5001,H$208,BD!$A$3:$A$5001,"&gt;="&amp;$C$7,BD!$A$3:$A$5001,"&lt;="&amp;$B209,BD!$X$3:$X$5001,"&lt;&gt;")=0,"",SUMIFS(BD!$X$3:$X$5001,BD!$B$3:$B$5001,H$208,BD!$A$3:$A$5001,_xlfn.MAXIFS(BD!$A$3:$A$5001,BD!$B$3:$B$5001,H$208,BD!$A$3:$A$5001,"&gt;="&amp;$C$7,BD!$A$3:$A$5001,"&lt;="&amp;$B209,BD!$X$3:$X$5001,"&lt;&gt;"))))</f>
        <v/>
      </c>
      <c r="I209" s="42" t="str">
        <f>IF(OR($B209="",$A209&gt;$B$9),"",IF(COUNTIFS(BD!$B$3:$B$5001,I$208,BD!$A$3:$A$5001,"&gt;="&amp;$C$7,BD!$A$3:$A$5001,"&lt;="&amp;$B209,BD!$X$3:$X$5001,"&lt;&gt;")=0,"",SUMIFS(BD!$X$3:$X$5001,BD!$B$3:$B$5001,I$208,BD!$A$3:$A$5001,_xlfn.MAXIFS(BD!$A$3:$A$5001,BD!$B$3:$B$5001,I$208,BD!$A$3:$A$5001,"&gt;="&amp;$C$7,BD!$A$3:$A$5001,"&lt;="&amp;$B209,BD!$X$3:$X$5001,"&lt;&gt;"))))</f>
        <v/>
      </c>
      <c r="J209" s="42" t="str">
        <f>IF(OR($B209="",$A209&gt;$B$9),"",IF(COUNTIFS(BD!$B$3:$B$5001,J$208,BD!$A$3:$A$5001,"&gt;="&amp;$C$7,BD!$A$3:$A$5001,"&lt;="&amp;$B209,BD!$X$3:$X$5001,"&lt;&gt;")=0,"",SUMIFS(BD!$X$3:$X$5001,BD!$B$3:$B$5001,J$208,BD!$A$3:$A$5001,_xlfn.MAXIFS(BD!$A$3:$A$5001,BD!$B$3:$B$5001,J$208,BD!$A$3:$A$5001,"&gt;="&amp;$C$7,BD!$A$3:$A$5001,"&lt;="&amp;$B209,BD!$X$3:$X$5001,"&lt;&gt;"))))</f>
        <v/>
      </c>
      <c r="K209" s="42" t="str">
        <f>IF(OR($B209="",$A209&gt;$B$9),"",IF(COUNTIFS(BD!$B$3:$B$5001,K$208,BD!$A$3:$A$5001,"&gt;="&amp;$C$7,BD!$A$3:$A$5001,"&lt;="&amp;$B209,BD!$X$3:$X$5001,"&lt;&gt;")=0,"",SUMIFS(BD!$X$3:$X$5001,BD!$B$3:$B$5001,K$208,BD!$A$3:$A$5001,_xlfn.MAXIFS(BD!$A$3:$A$5001,BD!$B$3:$B$5001,K$208,BD!$A$3:$A$5001,"&gt;="&amp;$C$7,BD!$A$3:$A$5001,"&lt;="&amp;$B209,BD!$X$3:$X$5001,"&lt;&gt;"))))</f>
        <v/>
      </c>
    </row>
    <row r="210">
      <c r="A210" s="40">
        <v>2</v>
      </c>
      <c r="B210" s="41">
        <f>$B$13</f>
        <v>46297</v>
      </c>
      <c r="C210" s="42" t="str">
        <f>IF(OR($B210="",$A210&gt;$B$9),"",IF(COUNTIFS(BD!$B$3:$B$5001,C$208,BD!$A$3:$A$5001,"&gt;="&amp;$C$7,BD!$A$3:$A$5001,"&lt;="&amp;$B210,BD!$X$3:$X$5001,"&lt;&gt;")=0,"",SUMIFS(BD!$X$3:$X$5001,BD!$B$3:$B$5001,C$208,BD!$A$3:$A$5001,_xlfn.MAXIFS(BD!$A$3:$A$5001,BD!$B$3:$B$5001,C$208,BD!$A$3:$A$5001,"&gt;="&amp;$C$7,BD!$A$3:$A$5001,"&lt;="&amp;$B210,BD!$X$3:$X$5001,"&lt;&gt;"))))</f>
        <v/>
      </c>
      <c r="D210" s="42" t="str">
        <f>IF(OR($B210="",$A210&gt;$B$9),"",IF(COUNTIFS(BD!$B$3:$B$5001,D$208,BD!$A$3:$A$5001,"&gt;="&amp;$C$7,BD!$A$3:$A$5001,"&lt;="&amp;$B210,BD!$X$3:$X$5001,"&lt;&gt;")=0,"",SUMIFS(BD!$X$3:$X$5001,BD!$B$3:$B$5001,D$208,BD!$A$3:$A$5001,_xlfn.MAXIFS(BD!$A$3:$A$5001,BD!$B$3:$B$5001,D$208,BD!$A$3:$A$5001,"&gt;="&amp;$C$7,BD!$A$3:$A$5001,"&lt;="&amp;$B210,BD!$X$3:$X$5001,"&lt;&gt;"))))</f>
        <v/>
      </c>
      <c r="E210" s="42" t="str">
        <f>IF(OR($B210="",$A210&gt;$B$9),"",IF(COUNTIFS(BD!$B$3:$B$5001,E$208,BD!$A$3:$A$5001,"&gt;="&amp;$C$7,BD!$A$3:$A$5001,"&lt;="&amp;$B210,BD!$X$3:$X$5001,"&lt;&gt;")=0,"",SUMIFS(BD!$X$3:$X$5001,BD!$B$3:$B$5001,E$208,BD!$A$3:$A$5001,_xlfn.MAXIFS(BD!$A$3:$A$5001,BD!$B$3:$B$5001,E$208,BD!$A$3:$A$5001,"&gt;="&amp;$C$7,BD!$A$3:$A$5001,"&lt;="&amp;$B210,BD!$X$3:$X$5001,"&lt;&gt;"))))</f>
        <v/>
      </c>
      <c r="F210" s="42" t="str">
        <f>IF(OR($B210="",$A210&gt;$B$9),"",IF(COUNTIFS(BD!$B$3:$B$5001,F$208,BD!$A$3:$A$5001,"&gt;="&amp;$C$7,BD!$A$3:$A$5001,"&lt;="&amp;$B210,BD!$X$3:$X$5001,"&lt;&gt;")=0,"",SUMIFS(BD!$X$3:$X$5001,BD!$B$3:$B$5001,F$208,BD!$A$3:$A$5001,_xlfn.MAXIFS(BD!$A$3:$A$5001,BD!$B$3:$B$5001,F$208,BD!$A$3:$A$5001,"&gt;="&amp;$C$7,BD!$A$3:$A$5001,"&lt;="&amp;$B210,BD!$X$3:$X$5001,"&lt;&gt;"))))</f>
        <v/>
      </c>
      <c r="G210" s="42" t="str">
        <f>IF(OR($B210="",$A210&gt;$B$9),"",IF(COUNTIFS(BD!$B$3:$B$5001,G$208,BD!$A$3:$A$5001,"&gt;="&amp;$C$7,BD!$A$3:$A$5001,"&lt;="&amp;$B210,BD!$X$3:$X$5001,"&lt;&gt;")=0,"",SUMIFS(BD!$X$3:$X$5001,BD!$B$3:$B$5001,G$208,BD!$A$3:$A$5001,_xlfn.MAXIFS(BD!$A$3:$A$5001,BD!$B$3:$B$5001,G$208,BD!$A$3:$A$5001,"&gt;="&amp;$C$7,BD!$A$3:$A$5001,"&lt;="&amp;$B210,BD!$X$3:$X$5001,"&lt;&gt;"))))</f>
        <v/>
      </c>
      <c r="H210" s="42" t="str">
        <f>IF(OR($B210="",$A210&gt;$B$9),"",IF(COUNTIFS(BD!$B$3:$B$5001,H$208,BD!$A$3:$A$5001,"&gt;="&amp;$C$7,BD!$A$3:$A$5001,"&lt;="&amp;$B210,BD!$X$3:$X$5001,"&lt;&gt;")=0,"",SUMIFS(BD!$X$3:$X$5001,BD!$B$3:$B$5001,H$208,BD!$A$3:$A$5001,_xlfn.MAXIFS(BD!$A$3:$A$5001,BD!$B$3:$B$5001,H$208,BD!$A$3:$A$5001,"&gt;="&amp;$C$7,BD!$A$3:$A$5001,"&lt;="&amp;$B210,BD!$X$3:$X$5001,"&lt;&gt;"))))</f>
        <v/>
      </c>
      <c r="I210" s="42" t="str">
        <f>IF(OR($B210="",$A210&gt;$B$9),"",IF(COUNTIFS(BD!$B$3:$B$5001,I$208,BD!$A$3:$A$5001,"&gt;="&amp;$C$7,BD!$A$3:$A$5001,"&lt;="&amp;$B210,BD!$X$3:$X$5001,"&lt;&gt;")=0,"",SUMIFS(BD!$X$3:$X$5001,BD!$B$3:$B$5001,I$208,BD!$A$3:$A$5001,_xlfn.MAXIFS(BD!$A$3:$A$5001,BD!$B$3:$B$5001,I$208,BD!$A$3:$A$5001,"&gt;="&amp;$C$7,BD!$A$3:$A$5001,"&lt;="&amp;$B210,BD!$X$3:$X$5001,"&lt;&gt;"))))</f>
        <v/>
      </c>
      <c r="J210" s="42" t="str">
        <f>IF(OR($B210="",$A210&gt;$B$9),"",IF(COUNTIFS(BD!$B$3:$B$5001,J$208,BD!$A$3:$A$5001,"&gt;="&amp;$C$7,BD!$A$3:$A$5001,"&lt;="&amp;$B210,BD!$X$3:$X$5001,"&lt;&gt;")=0,"",SUMIFS(BD!$X$3:$X$5001,BD!$B$3:$B$5001,J$208,BD!$A$3:$A$5001,_xlfn.MAXIFS(BD!$A$3:$A$5001,BD!$B$3:$B$5001,J$208,BD!$A$3:$A$5001,"&gt;="&amp;$C$7,BD!$A$3:$A$5001,"&lt;="&amp;$B210,BD!$X$3:$X$5001,"&lt;&gt;"))))</f>
        <v/>
      </c>
      <c r="K210" s="42" t="str">
        <f>IF(OR($B210="",$A210&gt;$B$9),"",IF(COUNTIFS(BD!$B$3:$B$5001,K$208,BD!$A$3:$A$5001,"&gt;="&amp;$C$7,BD!$A$3:$A$5001,"&lt;="&amp;$B210,BD!$X$3:$X$5001,"&lt;&gt;")=0,"",SUMIFS(BD!$X$3:$X$5001,BD!$B$3:$B$5001,K$208,BD!$A$3:$A$5001,_xlfn.MAXIFS(BD!$A$3:$A$5001,BD!$B$3:$B$5001,K$208,BD!$A$3:$A$5001,"&gt;="&amp;$C$7,BD!$A$3:$A$5001,"&lt;="&amp;$B210,BD!$X$3:$X$5001,"&lt;&gt;"))))</f>
        <v/>
      </c>
    </row>
    <row r="211">
      <c r="A211" s="40">
        <v>3</v>
      </c>
      <c r="B211" s="41">
        <f>$B$14</f>
        <v>46298</v>
      </c>
      <c r="C211" s="42" t="str">
        <f>IF(OR($B211="",$A211&gt;$B$9),"",IF(COUNTIFS(BD!$B$3:$B$5001,C$208,BD!$A$3:$A$5001,"&gt;="&amp;$C$7,BD!$A$3:$A$5001,"&lt;="&amp;$B211,BD!$X$3:$X$5001,"&lt;&gt;")=0,"",SUMIFS(BD!$X$3:$X$5001,BD!$B$3:$B$5001,C$208,BD!$A$3:$A$5001,_xlfn.MAXIFS(BD!$A$3:$A$5001,BD!$B$3:$B$5001,C$208,BD!$A$3:$A$5001,"&gt;="&amp;$C$7,BD!$A$3:$A$5001,"&lt;="&amp;$B211,BD!$X$3:$X$5001,"&lt;&gt;"))))</f>
        <v/>
      </c>
      <c r="D211" s="42" t="str">
        <f>IF(OR($B211="",$A211&gt;$B$9),"",IF(COUNTIFS(BD!$B$3:$B$5001,D$208,BD!$A$3:$A$5001,"&gt;="&amp;$C$7,BD!$A$3:$A$5001,"&lt;="&amp;$B211,BD!$X$3:$X$5001,"&lt;&gt;")=0,"",SUMIFS(BD!$X$3:$X$5001,BD!$B$3:$B$5001,D$208,BD!$A$3:$A$5001,_xlfn.MAXIFS(BD!$A$3:$A$5001,BD!$B$3:$B$5001,D$208,BD!$A$3:$A$5001,"&gt;="&amp;$C$7,BD!$A$3:$A$5001,"&lt;="&amp;$B211,BD!$X$3:$X$5001,"&lt;&gt;"))))</f>
        <v/>
      </c>
      <c r="E211" s="42" t="str">
        <f>IF(OR($B211="",$A211&gt;$B$9),"",IF(COUNTIFS(BD!$B$3:$B$5001,E$208,BD!$A$3:$A$5001,"&gt;="&amp;$C$7,BD!$A$3:$A$5001,"&lt;="&amp;$B211,BD!$X$3:$X$5001,"&lt;&gt;")=0,"",SUMIFS(BD!$X$3:$X$5001,BD!$B$3:$B$5001,E$208,BD!$A$3:$A$5001,_xlfn.MAXIFS(BD!$A$3:$A$5001,BD!$B$3:$B$5001,E$208,BD!$A$3:$A$5001,"&gt;="&amp;$C$7,BD!$A$3:$A$5001,"&lt;="&amp;$B211,BD!$X$3:$X$5001,"&lt;&gt;"))))</f>
        <v/>
      </c>
      <c r="F211" s="42" t="str">
        <f>IF(OR($B211="",$A211&gt;$B$9),"",IF(COUNTIFS(BD!$B$3:$B$5001,F$208,BD!$A$3:$A$5001,"&gt;="&amp;$C$7,BD!$A$3:$A$5001,"&lt;="&amp;$B211,BD!$X$3:$X$5001,"&lt;&gt;")=0,"",SUMIFS(BD!$X$3:$X$5001,BD!$B$3:$B$5001,F$208,BD!$A$3:$A$5001,_xlfn.MAXIFS(BD!$A$3:$A$5001,BD!$B$3:$B$5001,F$208,BD!$A$3:$A$5001,"&gt;="&amp;$C$7,BD!$A$3:$A$5001,"&lt;="&amp;$B211,BD!$X$3:$X$5001,"&lt;&gt;"))))</f>
        <v/>
      </c>
      <c r="G211" s="42" t="str">
        <f>IF(OR($B211="",$A211&gt;$B$9),"",IF(COUNTIFS(BD!$B$3:$B$5001,G$208,BD!$A$3:$A$5001,"&gt;="&amp;$C$7,BD!$A$3:$A$5001,"&lt;="&amp;$B211,BD!$X$3:$X$5001,"&lt;&gt;")=0,"",SUMIFS(BD!$X$3:$X$5001,BD!$B$3:$B$5001,G$208,BD!$A$3:$A$5001,_xlfn.MAXIFS(BD!$A$3:$A$5001,BD!$B$3:$B$5001,G$208,BD!$A$3:$A$5001,"&gt;="&amp;$C$7,BD!$A$3:$A$5001,"&lt;="&amp;$B211,BD!$X$3:$X$5001,"&lt;&gt;"))))</f>
        <v/>
      </c>
      <c r="H211" s="42" t="str">
        <f>IF(OR($B211="",$A211&gt;$B$9),"",IF(COUNTIFS(BD!$B$3:$B$5001,H$208,BD!$A$3:$A$5001,"&gt;="&amp;$C$7,BD!$A$3:$A$5001,"&lt;="&amp;$B211,BD!$X$3:$X$5001,"&lt;&gt;")=0,"",SUMIFS(BD!$X$3:$X$5001,BD!$B$3:$B$5001,H$208,BD!$A$3:$A$5001,_xlfn.MAXIFS(BD!$A$3:$A$5001,BD!$B$3:$B$5001,H$208,BD!$A$3:$A$5001,"&gt;="&amp;$C$7,BD!$A$3:$A$5001,"&lt;="&amp;$B211,BD!$X$3:$X$5001,"&lt;&gt;"))))</f>
        <v/>
      </c>
      <c r="I211" s="42" t="str">
        <f>IF(OR($B211="",$A211&gt;$B$9),"",IF(COUNTIFS(BD!$B$3:$B$5001,I$208,BD!$A$3:$A$5001,"&gt;="&amp;$C$7,BD!$A$3:$A$5001,"&lt;="&amp;$B211,BD!$X$3:$X$5001,"&lt;&gt;")=0,"",SUMIFS(BD!$X$3:$X$5001,BD!$B$3:$B$5001,I$208,BD!$A$3:$A$5001,_xlfn.MAXIFS(BD!$A$3:$A$5001,BD!$B$3:$B$5001,I$208,BD!$A$3:$A$5001,"&gt;="&amp;$C$7,BD!$A$3:$A$5001,"&lt;="&amp;$B211,BD!$X$3:$X$5001,"&lt;&gt;"))))</f>
        <v/>
      </c>
      <c r="J211" s="42" t="str">
        <f>IF(OR($B211="",$A211&gt;$B$9),"",IF(COUNTIFS(BD!$B$3:$B$5001,J$208,BD!$A$3:$A$5001,"&gt;="&amp;$C$7,BD!$A$3:$A$5001,"&lt;="&amp;$B211,BD!$X$3:$X$5001,"&lt;&gt;")=0,"",SUMIFS(BD!$X$3:$X$5001,BD!$B$3:$B$5001,J$208,BD!$A$3:$A$5001,_xlfn.MAXIFS(BD!$A$3:$A$5001,BD!$B$3:$B$5001,J$208,BD!$A$3:$A$5001,"&gt;="&amp;$C$7,BD!$A$3:$A$5001,"&lt;="&amp;$B211,BD!$X$3:$X$5001,"&lt;&gt;"))))</f>
        <v/>
      </c>
      <c r="K211" s="42" t="str">
        <f>IF(OR($B211="",$A211&gt;$B$9),"",IF(COUNTIFS(BD!$B$3:$B$5001,K$208,BD!$A$3:$A$5001,"&gt;="&amp;$C$7,BD!$A$3:$A$5001,"&lt;="&amp;$B211,BD!$X$3:$X$5001,"&lt;&gt;")=0,"",SUMIFS(BD!$X$3:$X$5001,BD!$B$3:$B$5001,K$208,BD!$A$3:$A$5001,_xlfn.MAXIFS(BD!$A$3:$A$5001,BD!$B$3:$B$5001,K$208,BD!$A$3:$A$5001,"&gt;="&amp;$C$7,BD!$A$3:$A$5001,"&lt;="&amp;$B211,BD!$X$3:$X$5001,"&lt;&gt;"))))</f>
        <v/>
      </c>
    </row>
    <row r="212">
      <c r="A212" s="40">
        <v>4</v>
      </c>
      <c r="B212" s="41">
        <f>$B$15</f>
        <v>46299</v>
      </c>
      <c r="C212" s="42" t="str">
        <f>IF(OR($B212="",$A212&gt;$B$9),"",IF(COUNTIFS(BD!$B$3:$B$5001,C$208,BD!$A$3:$A$5001,"&gt;="&amp;$C$7,BD!$A$3:$A$5001,"&lt;="&amp;$B212,BD!$X$3:$X$5001,"&lt;&gt;")=0,"",SUMIFS(BD!$X$3:$X$5001,BD!$B$3:$B$5001,C$208,BD!$A$3:$A$5001,_xlfn.MAXIFS(BD!$A$3:$A$5001,BD!$B$3:$B$5001,C$208,BD!$A$3:$A$5001,"&gt;="&amp;$C$7,BD!$A$3:$A$5001,"&lt;="&amp;$B212,BD!$X$3:$X$5001,"&lt;&gt;"))))</f>
        <v/>
      </c>
      <c r="D212" s="42" t="str">
        <f>IF(OR($B212="",$A212&gt;$B$9),"",IF(COUNTIFS(BD!$B$3:$B$5001,D$208,BD!$A$3:$A$5001,"&gt;="&amp;$C$7,BD!$A$3:$A$5001,"&lt;="&amp;$B212,BD!$X$3:$X$5001,"&lt;&gt;")=0,"",SUMIFS(BD!$X$3:$X$5001,BD!$B$3:$B$5001,D$208,BD!$A$3:$A$5001,_xlfn.MAXIFS(BD!$A$3:$A$5001,BD!$B$3:$B$5001,D$208,BD!$A$3:$A$5001,"&gt;="&amp;$C$7,BD!$A$3:$A$5001,"&lt;="&amp;$B212,BD!$X$3:$X$5001,"&lt;&gt;"))))</f>
        <v/>
      </c>
      <c r="E212" s="42" t="str">
        <f>IF(OR($B212="",$A212&gt;$B$9),"",IF(COUNTIFS(BD!$B$3:$B$5001,E$208,BD!$A$3:$A$5001,"&gt;="&amp;$C$7,BD!$A$3:$A$5001,"&lt;="&amp;$B212,BD!$X$3:$X$5001,"&lt;&gt;")=0,"",SUMIFS(BD!$X$3:$X$5001,BD!$B$3:$B$5001,E$208,BD!$A$3:$A$5001,_xlfn.MAXIFS(BD!$A$3:$A$5001,BD!$B$3:$B$5001,E$208,BD!$A$3:$A$5001,"&gt;="&amp;$C$7,BD!$A$3:$A$5001,"&lt;="&amp;$B212,BD!$X$3:$X$5001,"&lt;&gt;"))))</f>
        <v/>
      </c>
      <c r="F212" s="42" t="str">
        <f>IF(OR($B212="",$A212&gt;$B$9),"",IF(COUNTIFS(BD!$B$3:$B$5001,F$208,BD!$A$3:$A$5001,"&gt;="&amp;$C$7,BD!$A$3:$A$5001,"&lt;="&amp;$B212,BD!$X$3:$X$5001,"&lt;&gt;")=0,"",SUMIFS(BD!$X$3:$X$5001,BD!$B$3:$B$5001,F$208,BD!$A$3:$A$5001,_xlfn.MAXIFS(BD!$A$3:$A$5001,BD!$B$3:$B$5001,F$208,BD!$A$3:$A$5001,"&gt;="&amp;$C$7,BD!$A$3:$A$5001,"&lt;="&amp;$B212,BD!$X$3:$X$5001,"&lt;&gt;"))))</f>
        <v/>
      </c>
      <c r="G212" s="42" t="str">
        <f>IF(OR($B212="",$A212&gt;$B$9),"",IF(COUNTIFS(BD!$B$3:$B$5001,G$208,BD!$A$3:$A$5001,"&gt;="&amp;$C$7,BD!$A$3:$A$5001,"&lt;="&amp;$B212,BD!$X$3:$X$5001,"&lt;&gt;")=0,"",SUMIFS(BD!$X$3:$X$5001,BD!$B$3:$B$5001,G$208,BD!$A$3:$A$5001,_xlfn.MAXIFS(BD!$A$3:$A$5001,BD!$B$3:$B$5001,G$208,BD!$A$3:$A$5001,"&gt;="&amp;$C$7,BD!$A$3:$A$5001,"&lt;="&amp;$B212,BD!$X$3:$X$5001,"&lt;&gt;"))))</f>
        <v/>
      </c>
      <c r="H212" s="42" t="str">
        <f>IF(OR($B212="",$A212&gt;$B$9),"",IF(COUNTIFS(BD!$B$3:$B$5001,H$208,BD!$A$3:$A$5001,"&gt;="&amp;$C$7,BD!$A$3:$A$5001,"&lt;="&amp;$B212,BD!$X$3:$X$5001,"&lt;&gt;")=0,"",SUMIFS(BD!$X$3:$X$5001,BD!$B$3:$B$5001,H$208,BD!$A$3:$A$5001,_xlfn.MAXIFS(BD!$A$3:$A$5001,BD!$B$3:$B$5001,H$208,BD!$A$3:$A$5001,"&gt;="&amp;$C$7,BD!$A$3:$A$5001,"&lt;="&amp;$B212,BD!$X$3:$X$5001,"&lt;&gt;"))))</f>
        <v/>
      </c>
      <c r="I212" s="42" t="str">
        <f>IF(OR($B212="",$A212&gt;$B$9),"",IF(COUNTIFS(BD!$B$3:$B$5001,I$208,BD!$A$3:$A$5001,"&gt;="&amp;$C$7,BD!$A$3:$A$5001,"&lt;="&amp;$B212,BD!$X$3:$X$5001,"&lt;&gt;")=0,"",SUMIFS(BD!$X$3:$X$5001,BD!$B$3:$B$5001,I$208,BD!$A$3:$A$5001,_xlfn.MAXIFS(BD!$A$3:$A$5001,BD!$B$3:$B$5001,I$208,BD!$A$3:$A$5001,"&gt;="&amp;$C$7,BD!$A$3:$A$5001,"&lt;="&amp;$B212,BD!$X$3:$X$5001,"&lt;&gt;"))))</f>
        <v/>
      </c>
      <c r="J212" s="42" t="str">
        <f>IF(OR($B212="",$A212&gt;$B$9),"",IF(COUNTIFS(BD!$B$3:$B$5001,J$208,BD!$A$3:$A$5001,"&gt;="&amp;$C$7,BD!$A$3:$A$5001,"&lt;="&amp;$B212,BD!$X$3:$X$5001,"&lt;&gt;")=0,"",SUMIFS(BD!$X$3:$X$5001,BD!$B$3:$B$5001,J$208,BD!$A$3:$A$5001,_xlfn.MAXIFS(BD!$A$3:$A$5001,BD!$B$3:$B$5001,J$208,BD!$A$3:$A$5001,"&gt;="&amp;$C$7,BD!$A$3:$A$5001,"&lt;="&amp;$B212,BD!$X$3:$X$5001,"&lt;&gt;"))))</f>
        <v/>
      </c>
      <c r="K212" s="42" t="str">
        <f>IF(OR($B212="",$A212&gt;$B$9),"",IF(COUNTIFS(BD!$B$3:$B$5001,K$208,BD!$A$3:$A$5001,"&gt;="&amp;$C$7,BD!$A$3:$A$5001,"&lt;="&amp;$B212,BD!$X$3:$X$5001,"&lt;&gt;")=0,"",SUMIFS(BD!$X$3:$X$5001,BD!$B$3:$B$5001,K$208,BD!$A$3:$A$5001,_xlfn.MAXIFS(BD!$A$3:$A$5001,BD!$B$3:$B$5001,K$208,BD!$A$3:$A$5001,"&gt;="&amp;$C$7,BD!$A$3:$A$5001,"&lt;="&amp;$B212,BD!$X$3:$X$5001,"&lt;&gt;"))))</f>
        <v/>
      </c>
    </row>
    <row r="213">
      <c r="A213" s="40">
        <v>5</v>
      </c>
      <c r="B213" s="41">
        <f>$B$16</f>
        <v>46300</v>
      </c>
      <c r="C213" s="42" t="str">
        <f>IF(OR($B213="",$A213&gt;$B$9),"",IF(COUNTIFS(BD!$B$3:$B$5001,C$208,BD!$A$3:$A$5001,"&gt;="&amp;$C$7,BD!$A$3:$A$5001,"&lt;="&amp;$B213,BD!$X$3:$X$5001,"&lt;&gt;")=0,"",SUMIFS(BD!$X$3:$X$5001,BD!$B$3:$B$5001,C$208,BD!$A$3:$A$5001,_xlfn.MAXIFS(BD!$A$3:$A$5001,BD!$B$3:$B$5001,C$208,BD!$A$3:$A$5001,"&gt;="&amp;$C$7,BD!$A$3:$A$5001,"&lt;="&amp;$B213,BD!$X$3:$X$5001,"&lt;&gt;"))))</f>
        <v/>
      </c>
      <c r="D213" s="42" t="str">
        <f>IF(OR($B213="",$A213&gt;$B$9),"",IF(COUNTIFS(BD!$B$3:$B$5001,D$208,BD!$A$3:$A$5001,"&gt;="&amp;$C$7,BD!$A$3:$A$5001,"&lt;="&amp;$B213,BD!$X$3:$X$5001,"&lt;&gt;")=0,"",SUMIFS(BD!$X$3:$X$5001,BD!$B$3:$B$5001,D$208,BD!$A$3:$A$5001,_xlfn.MAXIFS(BD!$A$3:$A$5001,BD!$B$3:$B$5001,D$208,BD!$A$3:$A$5001,"&gt;="&amp;$C$7,BD!$A$3:$A$5001,"&lt;="&amp;$B213,BD!$X$3:$X$5001,"&lt;&gt;"))))</f>
        <v/>
      </c>
      <c r="E213" s="42" t="str">
        <f>IF(OR($B213="",$A213&gt;$B$9),"",IF(COUNTIFS(BD!$B$3:$B$5001,E$208,BD!$A$3:$A$5001,"&gt;="&amp;$C$7,BD!$A$3:$A$5001,"&lt;="&amp;$B213,BD!$X$3:$X$5001,"&lt;&gt;")=0,"",SUMIFS(BD!$X$3:$X$5001,BD!$B$3:$B$5001,E$208,BD!$A$3:$A$5001,_xlfn.MAXIFS(BD!$A$3:$A$5001,BD!$B$3:$B$5001,E$208,BD!$A$3:$A$5001,"&gt;="&amp;$C$7,BD!$A$3:$A$5001,"&lt;="&amp;$B213,BD!$X$3:$X$5001,"&lt;&gt;"))))</f>
        <v/>
      </c>
      <c r="F213" s="42" t="str">
        <f>IF(OR($B213="",$A213&gt;$B$9),"",IF(COUNTIFS(BD!$B$3:$B$5001,F$208,BD!$A$3:$A$5001,"&gt;="&amp;$C$7,BD!$A$3:$A$5001,"&lt;="&amp;$B213,BD!$X$3:$X$5001,"&lt;&gt;")=0,"",SUMIFS(BD!$X$3:$X$5001,BD!$B$3:$B$5001,F$208,BD!$A$3:$A$5001,_xlfn.MAXIFS(BD!$A$3:$A$5001,BD!$B$3:$B$5001,F$208,BD!$A$3:$A$5001,"&gt;="&amp;$C$7,BD!$A$3:$A$5001,"&lt;="&amp;$B213,BD!$X$3:$X$5001,"&lt;&gt;"))))</f>
        <v/>
      </c>
      <c r="G213" s="42" t="str">
        <f>IF(OR($B213="",$A213&gt;$B$9),"",IF(COUNTIFS(BD!$B$3:$B$5001,G$208,BD!$A$3:$A$5001,"&gt;="&amp;$C$7,BD!$A$3:$A$5001,"&lt;="&amp;$B213,BD!$X$3:$X$5001,"&lt;&gt;")=0,"",SUMIFS(BD!$X$3:$X$5001,BD!$B$3:$B$5001,G$208,BD!$A$3:$A$5001,_xlfn.MAXIFS(BD!$A$3:$A$5001,BD!$B$3:$B$5001,G$208,BD!$A$3:$A$5001,"&gt;="&amp;$C$7,BD!$A$3:$A$5001,"&lt;="&amp;$B213,BD!$X$3:$X$5001,"&lt;&gt;"))))</f>
        <v/>
      </c>
      <c r="H213" s="42" t="str">
        <f>IF(OR($B213="",$A213&gt;$B$9),"",IF(COUNTIFS(BD!$B$3:$B$5001,H$208,BD!$A$3:$A$5001,"&gt;="&amp;$C$7,BD!$A$3:$A$5001,"&lt;="&amp;$B213,BD!$X$3:$X$5001,"&lt;&gt;")=0,"",SUMIFS(BD!$X$3:$X$5001,BD!$B$3:$B$5001,H$208,BD!$A$3:$A$5001,_xlfn.MAXIFS(BD!$A$3:$A$5001,BD!$B$3:$B$5001,H$208,BD!$A$3:$A$5001,"&gt;="&amp;$C$7,BD!$A$3:$A$5001,"&lt;="&amp;$B213,BD!$X$3:$X$5001,"&lt;&gt;"))))</f>
        <v/>
      </c>
      <c r="I213" s="42" t="str">
        <f>IF(OR($B213="",$A213&gt;$B$9),"",IF(COUNTIFS(BD!$B$3:$B$5001,I$208,BD!$A$3:$A$5001,"&gt;="&amp;$C$7,BD!$A$3:$A$5001,"&lt;="&amp;$B213,BD!$X$3:$X$5001,"&lt;&gt;")=0,"",SUMIFS(BD!$X$3:$X$5001,BD!$B$3:$B$5001,I$208,BD!$A$3:$A$5001,_xlfn.MAXIFS(BD!$A$3:$A$5001,BD!$B$3:$B$5001,I$208,BD!$A$3:$A$5001,"&gt;="&amp;$C$7,BD!$A$3:$A$5001,"&lt;="&amp;$B213,BD!$X$3:$X$5001,"&lt;&gt;"))))</f>
        <v/>
      </c>
      <c r="J213" s="42" t="str">
        <f>IF(OR($B213="",$A213&gt;$B$9),"",IF(COUNTIFS(BD!$B$3:$B$5001,J$208,BD!$A$3:$A$5001,"&gt;="&amp;$C$7,BD!$A$3:$A$5001,"&lt;="&amp;$B213,BD!$X$3:$X$5001,"&lt;&gt;")=0,"",SUMIFS(BD!$X$3:$X$5001,BD!$B$3:$B$5001,J$208,BD!$A$3:$A$5001,_xlfn.MAXIFS(BD!$A$3:$A$5001,BD!$B$3:$B$5001,J$208,BD!$A$3:$A$5001,"&gt;="&amp;$C$7,BD!$A$3:$A$5001,"&lt;="&amp;$B213,BD!$X$3:$X$5001,"&lt;&gt;"))))</f>
        <v/>
      </c>
      <c r="K213" s="42" t="str">
        <f>IF(OR($B213="",$A213&gt;$B$9),"",IF(COUNTIFS(BD!$B$3:$B$5001,K$208,BD!$A$3:$A$5001,"&gt;="&amp;$C$7,BD!$A$3:$A$5001,"&lt;="&amp;$B213,BD!$X$3:$X$5001,"&lt;&gt;")=0,"",SUMIFS(BD!$X$3:$X$5001,BD!$B$3:$B$5001,K$208,BD!$A$3:$A$5001,_xlfn.MAXIFS(BD!$A$3:$A$5001,BD!$B$3:$B$5001,K$208,BD!$A$3:$A$5001,"&gt;="&amp;$C$7,BD!$A$3:$A$5001,"&lt;="&amp;$B213,BD!$X$3:$X$5001,"&lt;&gt;"))))</f>
        <v/>
      </c>
    </row>
    <row r="214">
      <c r="A214" s="40">
        <v>6</v>
      </c>
      <c r="B214" s="41">
        <f>$B$17</f>
        <v>46301</v>
      </c>
      <c r="C214" s="42" t="str">
        <f>IF(OR($B214="",$A214&gt;$B$9),"",IF(COUNTIFS(BD!$B$3:$B$5001,C$208,BD!$A$3:$A$5001,"&gt;="&amp;$C$7,BD!$A$3:$A$5001,"&lt;="&amp;$B214,BD!$X$3:$X$5001,"&lt;&gt;")=0,"",SUMIFS(BD!$X$3:$X$5001,BD!$B$3:$B$5001,C$208,BD!$A$3:$A$5001,_xlfn.MAXIFS(BD!$A$3:$A$5001,BD!$B$3:$B$5001,C$208,BD!$A$3:$A$5001,"&gt;="&amp;$C$7,BD!$A$3:$A$5001,"&lt;="&amp;$B214,BD!$X$3:$X$5001,"&lt;&gt;"))))</f>
        <v/>
      </c>
      <c r="D214" s="42" t="str">
        <f>IF(OR($B214="",$A214&gt;$B$9),"",IF(COUNTIFS(BD!$B$3:$B$5001,D$208,BD!$A$3:$A$5001,"&gt;="&amp;$C$7,BD!$A$3:$A$5001,"&lt;="&amp;$B214,BD!$X$3:$X$5001,"&lt;&gt;")=0,"",SUMIFS(BD!$X$3:$X$5001,BD!$B$3:$B$5001,D$208,BD!$A$3:$A$5001,_xlfn.MAXIFS(BD!$A$3:$A$5001,BD!$B$3:$B$5001,D$208,BD!$A$3:$A$5001,"&gt;="&amp;$C$7,BD!$A$3:$A$5001,"&lt;="&amp;$B214,BD!$X$3:$X$5001,"&lt;&gt;"))))</f>
        <v/>
      </c>
      <c r="E214" s="42" t="str">
        <f>IF(OR($B214="",$A214&gt;$B$9),"",IF(COUNTIFS(BD!$B$3:$B$5001,E$208,BD!$A$3:$A$5001,"&gt;="&amp;$C$7,BD!$A$3:$A$5001,"&lt;="&amp;$B214,BD!$X$3:$X$5001,"&lt;&gt;")=0,"",SUMIFS(BD!$X$3:$X$5001,BD!$B$3:$B$5001,E$208,BD!$A$3:$A$5001,_xlfn.MAXIFS(BD!$A$3:$A$5001,BD!$B$3:$B$5001,E$208,BD!$A$3:$A$5001,"&gt;="&amp;$C$7,BD!$A$3:$A$5001,"&lt;="&amp;$B214,BD!$X$3:$X$5001,"&lt;&gt;"))))</f>
        <v/>
      </c>
      <c r="F214" s="42" t="str">
        <f>IF(OR($B214="",$A214&gt;$B$9),"",IF(COUNTIFS(BD!$B$3:$B$5001,F$208,BD!$A$3:$A$5001,"&gt;="&amp;$C$7,BD!$A$3:$A$5001,"&lt;="&amp;$B214,BD!$X$3:$X$5001,"&lt;&gt;")=0,"",SUMIFS(BD!$X$3:$X$5001,BD!$B$3:$B$5001,F$208,BD!$A$3:$A$5001,_xlfn.MAXIFS(BD!$A$3:$A$5001,BD!$B$3:$B$5001,F$208,BD!$A$3:$A$5001,"&gt;="&amp;$C$7,BD!$A$3:$A$5001,"&lt;="&amp;$B214,BD!$X$3:$X$5001,"&lt;&gt;"))))</f>
        <v/>
      </c>
      <c r="G214" s="42" t="str">
        <f>IF(OR($B214="",$A214&gt;$B$9),"",IF(COUNTIFS(BD!$B$3:$B$5001,G$208,BD!$A$3:$A$5001,"&gt;="&amp;$C$7,BD!$A$3:$A$5001,"&lt;="&amp;$B214,BD!$X$3:$X$5001,"&lt;&gt;")=0,"",SUMIFS(BD!$X$3:$X$5001,BD!$B$3:$B$5001,G$208,BD!$A$3:$A$5001,_xlfn.MAXIFS(BD!$A$3:$A$5001,BD!$B$3:$B$5001,G$208,BD!$A$3:$A$5001,"&gt;="&amp;$C$7,BD!$A$3:$A$5001,"&lt;="&amp;$B214,BD!$X$3:$X$5001,"&lt;&gt;"))))</f>
        <v/>
      </c>
      <c r="H214" s="42" t="str">
        <f>IF(OR($B214="",$A214&gt;$B$9),"",IF(COUNTIFS(BD!$B$3:$B$5001,H$208,BD!$A$3:$A$5001,"&gt;="&amp;$C$7,BD!$A$3:$A$5001,"&lt;="&amp;$B214,BD!$X$3:$X$5001,"&lt;&gt;")=0,"",SUMIFS(BD!$X$3:$X$5001,BD!$B$3:$B$5001,H$208,BD!$A$3:$A$5001,_xlfn.MAXIFS(BD!$A$3:$A$5001,BD!$B$3:$B$5001,H$208,BD!$A$3:$A$5001,"&gt;="&amp;$C$7,BD!$A$3:$A$5001,"&lt;="&amp;$B214,BD!$X$3:$X$5001,"&lt;&gt;"))))</f>
        <v/>
      </c>
      <c r="I214" s="42" t="str">
        <f>IF(OR($B214="",$A214&gt;$B$9),"",IF(COUNTIFS(BD!$B$3:$B$5001,I$208,BD!$A$3:$A$5001,"&gt;="&amp;$C$7,BD!$A$3:$A$5001,"&lt;="&amp;$B214,BD!$X$3:$X$5001,"&lt;&gt;")=0,"",SUMIFS(BD!$X$3:$X$5001,BD!$B$3:$B$5001,I$208,BD!$A$3:$A$5001,_xlfn.MAXIFS(BD!$A$3:$A$5001,BD!$B$3:$B$5001,I$208,BD!$A$3:$A$5001,"&gt;="&amp;$C$7,BD!$A$3:$A$5001,"&lt;="&amp;$B214,BD!$X$3:$X$5001,"&lt;&gt;"))))</f>
        <v/>
      </c>
      <c r="J214" s="42" t="str">
        <f>IF(OR($B214="",$A214&gt;$B$9),"",IF(COUNTIFS(BD!$B$3:$B$5001,J$208,BD!$A$3:$A$5001,"&gt;="&amp;$C$7,BD!$A$3:$A$5001,"&lt;="&amp;$B214,BD!$X$3:$X$5001,"&lt;&gt;")=0,"",SUMIFS(BD!$X$3:$X$5001,BD!$B$3:$B$5001,J$208,BD!$A$3:$A$5001,_xlfn.MAXIFS(BD!$A$3:$A$5001,BD!$B$3:$B$5001,J$208,BD!$A$3:$A$5001,"&gt;="&amp;$C$7,BD!$A$3:$A$5001,"&lt;="&amp;$B214,BD!$X$3:$X$5001,"&lt;&gt;"))))</f>
        <v/>
      </c>
      <c r="K214" s="42" t="str">
        <f>IF(OR($B214="",$A214&gt;$B$9),"",IF(COUNTIFS(BD!$B$3:$B$5001,K$208,BD!$A$3:$A$5001,"&gt;="&amp;$C$7,BD!$A$3:$A$5001,"&lt;="&amp;$B214,BD!$X$3:$X$5001,"&lt;&gt;")=0,"",SUMIFS(BD!$X$3:$X$5001,BD!$B$3:$B$5001,K$208,BD!$A$3:$A$5001,_xlfn.MAXIFS(BD!$A$3:$A$5001,BD!$B$3:$B$5001,K$208,BD!$A$3:$A$5001,"&gt;="&amp;$C$7,BD!$A$3:$A$5001,"&lt;="&amp;$B214,BD!$X$3:$X$5001,"&lt;&gt;"))))</f>
        <v/>
      </c>
    </row>
    <row r="215">
      <c r="A215" s="40">
        <v>7</v>
      </c>
      <c r="B215" s="41">
        <f>$B$18</f>
        <v>46302</v>
      </c>
      <c r="C215" s="42" t="str">
        <f>IF(OR($B215="",$A215&gt;$B$9),"",IF(COUNTIFS(BD!$B$3:$B$5001,C$208,BD!$A$3:$A$5001,"&gt;="&amp;$C$7,BD!$A$3:$A$5001,"&lt;="&amp;$B215,BD!$X$3:$X$5001,"&lt;&gt;")=0,"",SUMIFS(BD!$X$3:$X$5001,BD!$B$3:$B$5001,C$208,BD!$A$3:$A$5001,_xlfn.MAXIFS(BD!$A$3:$A$5001,BD!$B$3:$B$5001,C$208,BD!$A$3:$A$5001,"&gt;="&amp;$C$7,BD!$A$3:$A$5001,"&lt;="&amp;$B215,BD!$X$3:$X$5001,"&lt;&gt;"))))</f>
        <v/>
      </c>
      <c r="D215" s="42" t="str">
        <f>IF(OR($B215="",$A215&gt;$B$9),"",IF(COUNTIFS(BD!$B$3:$B$5001,D$208,BD!$A$3:$A$5001,"&gt;="&amp;$C$7,BD!$A$3:$A$5001,"&lt;="&amp;$B215,BD!$X$3:$X$5001,"&lt;&gt;")=0,"",SUMIFS(BD!$X$3:$X$5001,BD!$B$3:$B$5001,D$208,BD!$A$3:$A$5001,_xlfn.MAXIFS(BD!$A$3:$A$5001,BD!$B$3:$B$5001,D$208,BD!$A$3:$A$5001,"&gt;="&amp;$C$7,BD!$A$3:$A$5001,"&lt;="&amp;$B215,BD!$X$3:$X$5001,"&lt;&gt;"))))</f>
        <v/>
      </c>
      <c r="E215" s="42" t="str">
        <f>IF(OR($B215="",$A215&gt;$B$9),"",IF(COUNTIFS(BD!$B$3:$B$5001,E$208,BD!$A$3:$A$5001,"&gt;="&amp;$C$7,BD!$A$3:$A$5001,"&lt;="&amp;$B215,BD!$X$3:$X$5001,"&lt;&gt;")=0,"",SUMIFS(BD!$X$3:$X$5001,BD!$B$3:$B$5001,E$208,BD!$A$3:$A$5001,_xlfn.MAXIFS(BD!$A$3:$A$5001,BD!$B$3:$B$5001,E$208,BD!$A$3:$A$5001,"&gt;="&amp;$C$7,BD!$A$3:$A$5001,"&lt;="&amp;$B215,BD!$X$3:$X$5001,"&lt;&gt;"))))</f>
        <v/>
      </c>
      <c r="F215" s="42" t="str">
        <f>IF(OR($B215="",$A215&gt;$B$9),"",IF(COUNTIFS(BD!$B$3:$B$5001,F$208,BD!$A$3:$A$5001,"&gt;="&amp;$C$7,BD!$A$3:$A$5001,"&lt;="&amp;$B215,BD!$X$3:$X$5001,"&lt;&gt;")=0,"",SUMIFS(BD!$X$3:$X$5001,BD!$B$3:$B$5001,F$208,BD!$A$3:$A$5001,_xlfn.MAXIFS(BD!$A$3:$A$5001,BD!$B$3:$B$5001,F$208,BD!$A$3:$A$5001,"&gt;="&amp;$C$7,BD!$A$3:$A$5001,"&lt;="&amp;$B215,BD!$X$3:$X$5001,"&lt;&gt;"))))</f>
        <v/>
      </c>
      <c r="G215" s="42" t="str">
        <f>IF(OR($B215="",$A215&gt;$B$9),"",IF(COUNTIFS(BD!$B$3:$B$5001,G$208,BD!$A$3:$A$5001,"&gt;="&amp;$C$7,BD!$A$3:$A$5001,"&lt;="&amp;$B215,BD!$X$3:$X$5001,"&lt;&gt;")=0,"",SUMIFS(BD!$X$3:$X$5001,BD!$B$3:$B$5001,G$208,BD!$A$3:$A$5001,_xlfn.MAXIFS(BD!$A$3:$A$5001,BD!$B$3:$B$5001,G$208,BD!$A$3:$A$5001,"&gt;="&amp;$C$7,BD!$A$3:$A$5001,"&lt;="&amp;$B215,BD!$X$3:$X$5001,"&lt;&gt;"))))</f>
        <v/>
      </c>
      <c r="H215" s="42" t="str">
        <f>IF(OR($B215="",$A215&gt;$B$9),"",IF(COUNTIFS(BD!$B$3:$B$5001,H$208,BD!$A$3:$A$5001,"&gt;="&amp;$C$7,BD!$A$3:$A$5001,"&lt;="&amp;$B215,BD!$X$3:$X$5001,"&lt;&gt;")=0,"",SUMIFS(BD!$X$3:$X$5001,BD!$B$3:$B$5001,H$208,BD!$A$3:$A$5001,_xlfn.MAXIFS(BD!$A$3:$A$5001,BD!$B$3:$B$5001,H$208,BD!$A$3:$A$5001,"&gt;="&amp;$C$7,BD!$A$3:$A$5001,"&lt;="&amp;$B215,BD!$X$3:$X$5001,"&lt;&gt;"))))</f>
        <v/>
      </c>
      <c r="I215" s="42" t="str">
        <f>IF(OR($B215="",$A215&gt;$B$9),"",IF(COUNTIFS(BD!$B$3:$B$5001,I$208,BD!$A$3:$A$5001,"&gt;="&amp;$C$7,BD!$A$3:$A$5001,"&lt;="&amp;$B215,BD!$X$3:$X$5001,"&lt;&gt;")=0,"",SUMIFS(BD!$X$3:$X$5001,BD!$B$3:$B$5001,I$208,BD!$A$3:$A$5001,_xlfn.MAXIFS(BD!$A$3:$A$5001,BD!$B$3:$B$5001,I$208,BD!$A$3:$A$5001,"&gt;="&amp;$C$7,BD!$A$3:$A$5001,"&lt;="&amp;$B215,BD!$X$3:$X$5001,"&lt;&gt;"))))</f>
        <v/>
      </c>
      <c r="J215" s="42" t="str">
        <f>IF(OR($B215="",$A215&gt;$B$9),"",IF(COUNTIFS(BD!$B$3:$B$5001,J$208,BD!$A$3:$A$5001,"&gt;="&amp;$C$7,BD!$A$3:$A$5001,"&lt;="&amp;$B215,BD!$X$3:$X$5001,"&lt;&gt;")=0,"",SUMIFS(BD!$X$3:$X$5001,BD!$B$3:$B$5001,J$208,BD!$A$3:$A$5001,_xlfn.MAXIFS(BD!$A$3:$A$5001,BD!$B$3:$B$5001,J$208,BD!$A$3:$A$5001,"&gt;="&amp;$C$7,BD!$A$3:$A$5001,"&lt;="&amp;$B215,BD!$X$3:$X$5001,"&lt;&gt;"))))</f>
        <v/>
      </c>
      <c r="K215" s="42" t="str">
        <f>IF(OR($B215="",$A215&gt;$B$9),"",IF(COUNTIFS(BD!$B$3:$B$5001,K$208,BD!$A$3:$A$5001,"&gt;="&amp;$C$7,BD!$A$3:$A$5001,"&lt;="&amp;$B215,BD!$X$3:$X$5001,"&lt;&gt;")=0,"",SUMIFS(BD!$X$3:$X$5001,BD!$B$3:$B$5001,K$208,BD!$A$3:$A$5001,_xlfn.MAXIFS(BD!$A$3:$A$5001,BD!$B$3:$B$5001,K$208,BD!$A$3:$A$5001,"&gt;="&amp;$C$7,BD!$A$3:$A$5001,"&lt;="&amp;$B215,BD!$X$3:$X$5001,"&lt;&gt;"))))</f>
        <v/>
      </c>
    </row>
    <row r="216">
      <c r="A216" s="40">
        <v>8</v>
      </c>
      <c r="B216" s="41">
        <f>$B$19</f>
        <v>46303</v>
      </c>
      <c r="C216" s="42" t="str">
        <f>IF(OR($B216="",$A216&gt;$B$9),"",IF(COUNTIFS(BD!$B$3:$B$5001,C$208,BD!$A$3:$A$5001,"&gt;="&amp;$C$7,BD!$A$3:$A$5001,"&lt;="&amp;$B216,BD!$X$3:$X$5001,"&lt;&gt;")=0,"",SUMIFS(BD!$X$3:$X$5001,BD!$B$3:$B$5001,C$208,BD!$A$3:$A$5001,_xlfn.MAXIFS(BD!$A$3:$A$5001,BD!$B$3:$B$5001,C$208,BD!$A$3:$A$5001,"&gt;="&amp;$C$7,BD!$A$3:$A$5001,"&lt;="&amp;$B216,BD!$X$3:$X$5001,"&lt;&gt;"))))</f>
        <v/>
      </c>
      <c r="D216" s="42" t="str">
        <f>IF(OR($B216="",$A216&gt;$B$9),"",IF(COUNTIFS(BD!$B$3:$B$5001,D$208,BD!$A$3:$A$5001,"&gt;="&amp;$C$7,BD!$A$3:$A$5001,"&lt;="&amp;$B216,BD!$X$3:$X$5001,"&lt;&gt;")=0,"",SUMIFS(BD!$X$3:$X$5001,BD!$B$3:$B$5001,D$208,BD!$A$3:$A$5001,_xlfn.MAXIFS(BD!$A$3:$A$5001,BD!$B$3:$B$5001,D$208,BD!$A$3:$A$5001,"&gt;="&amp;$C$7,BD!$A$3:$A$5001,"&lt;="&amp;$B216,BD!$X$3:$X$5001,"&lt;&gt;"))))</f>
        <v/>
      </c>
      <c r="E216" s="42" t="str">
        <f>IF(OR($B216="",$A216&gt;$B$9),"",IF(COUNTIFS(BD!$B$3:$B$5001,E$208,BD!$A$3:$A$5001,"&gt;="&amp;$C$7,BD!$A$3:$A$5001,"&lt;="&amp;$B216,BD!$X$3:$X$5001,"&lt;&gt;")=0,"",SUMIFS(BD!$X$3:$X$5001,BD!$B$3:$B$5001,E$208,BD!$A$3:$A$5001,_xlfn.MAXIFS(BD!$A$3:$A$5001,BD!$B$3:$B$5001,E$208,BD!$A$3:$A$5001,"&gt;="&amp;$C$7,BD!$A$3:$A$5001,"&lt;="&amp;$B216,BD!$X$3:$X$5001,"&lt;&gt;"))))</f>
        <v/>
      </c>
      <c r="F216" s="42" t="str">
        <f>IF(OR($B216="",$A216&gt;$B$9),"",IF(COUNTIFS(BD!$B$3:$B$5001,F$208,BD!$A$3:$A$5001,"&gt;="&amp;$C$7,BD!$A$3:$A$5001,"&lt;="&amp;$B216,BD!$X$3:$X$5001,"&lt;&gt;")=0,"",SUMIFS(BD!$X$3:$X$5001,BD!$B$3:$B$5001,F$208,BD!$A$3:$A$5001,_xlfn.MAXIFS(BD!$A$3:$A$5001,BD!$B$3:$B$5001,F$208,BD!$A$3:$A$5001,"&gt;="&amp;$C$7,BD!$A$3:$A$5001,"&lt;="&amp;$B216,BD!$X$3:$X$5001,"&lt;&gt;"))))</f>
        <v/>
      </c>
      <c r="G216" s="42" t="str">
        <f>IF(OR($B216="",$A216&gt;$B$9),"",IF(COUNTIFS(BD!$B$3:$B$5001,G$208,BD!$A$3:$A$5001,"&gt;="&amp;$C$7,BD!$A$3:$A$5001,"&lt;="&amp;$B216,BD!$X$3:$X$5001,"&lt;&gt;")=0,"",SUMIFS(BD!$X$3:$X$5001,BD!$B$3:$B$5001,G$208,BD!$A$3:$A$5001,_xlfn.MAXIFS(BD!$A$3:$A$5001,BD!$B$3:$B$5001,G$208,BD!$A$3:$A$5001,"&gt;="&amp;$C$7,BD!$A$3:$A$5001,"&lt;="&amp;$B216,BD!$X$3:$X$5001,"&lt;&gt;"))))</f>
        <v/>
      </c>
      <c r="H216" s="42" t="str">
        <f>IF(OR($B216="",$A216&gt;$B$9),"",IF(COUNTIFS(BD!$B$3:$B$5001,H$208,BD!$A$3:$A$5001,"&gt;="&amp;$C$7,BD!$A$3:$A$5001,"&lt;="&amp;$B216,BD!$X$3:$X$5001,"&lt;&gt;")=0,"",SUMIFS(BD!$X$3:$X$5001,BD!$B$3:$B$5001,H$208,BD!$A$3:$A$5001,_xlfn.MAXIFS(BD!$A$3:$A$5001,BD!$B$3:$B$5001,H$208,BD!$A$3:$A$5001,"&gt;="&amp;$C$7,BD!$A$3:$A$5001,"&lt;="&amp;$B216,BD!$X$3:$X$5001,"&lt;&gt;"))))</f>
        <v/>
      </c>
      <c r="I216" s="42" t="str">
        <f>IF(OR($B216="",$A216&gt;$B$9),"",IF(COUNTIFS(BD!$B$3:$B$5001,I$208,BD!$A$3:$A$5001,"&gt;="&amp;$C$7,BD!$A$3:$A$5001,"&lt;="&amp;$B216,BD!$X$3:$X$5001,"&lt;&gt;")=0,"",SUMIFS(BD!$X$3:$X$5001,BD!$B$3:$B$5001,I$208,BD!$A$3:$A$5001,_xlfn.MAXIFS(BD!$A$3:$A$5001,BD!$B$3:$B$5001,I$208,BD!$A$3:$A$5001,"&gt;="&amp;$C$7,BD!$A$3:$A$5001,"&lt;="&amp;$B216,BD!$X$3:$X$5001,"&lt;&gt;"))))</f>
        <v/>
      </c>
      <c r="J216" s="42" t="str">
        <f>IF(OR($B216="",$A216&gt;$B$9),"",IF(COUNTIFS(BD!$B$3:$B$5001,J$208,BD!$A$3:$A$5001,"&gt;="&amp;$C$7,BD!$A$3:$A$5001,"&lt;="&amp;$B216,BD!$X$3:$X$5001,"&lt;&gt;")=0,"",SUMIFS(BD!$X$3:$X$5001,BD!$B$3:$B$5001,J$208,BD!$A$3:$A$5001,_xlfn.MAXIFS(BD!$A$3:$A$5001,BD!$B$3:$B$5001,J$208,BD!$A$3:$A$5001,"&gt;="&amp;$C$7,BD!$A$3:$A$5001,"&lt;="&amp;$B216,BD!$X$3:$X$5001,"&lt;&gt;"))))</f>
        <v/>
      </c>
      <c r="K216" s="42" t="str">
        <f>IF(OR($B216="",$A216&gt;$B$9),"",IF(COUNTIFS(BD!$B$3:$B$5001,K$208,BD!$A$3:$A$5001,"&gt;="&amp;$C$7,BD!$A$3:$A$5001,"&lt;="&amp;$B216,BD!$X$3:$X$5001,"&lt;&gt;")=0,"",SUMIFS(BD!$X$3:$X$5001,BD!$B$3:$B$5001,K$208,BD!$A$3:$A$5001,_xlfn.MAXIFS(BD!$A$3:$A$5001,BD!$B$3:$B$5001,K$208,BD!$A$3:$A$5001,"&gt;="&amp;$C$7,BD!$A$3:$A$5001,"&lt;="&amp;$B216,BD!$X$3:$X$5001,"&lt;&gt;"))))</f>
        <v/>
      </c>
    </row>
    <row r="217">
      <c r="A217" s="40">
        <v>9</v>
      </c>
      <c r="B217" s="41">
        <f>$B$20</f>
        <v>46304</v>
      </c>
      <c r="C217" s="42" t="str">
        <f>IF(OR($B217="",$A217&gt;$B$9),"",IF(COUNTIFS(BD!$B$3:$B$5001,C$208,BD!$A$3:$A$5001,"&gt;="&amp;$C$7,BD!$A$3:$A$5001,"&lt;="&amp;$B217,BD!$X$3:$X$5001,"&lt;&gt;")=0,"",SUMIFS(BD!$X$3:$X$5001,BD!$B$3:$B$5001,C$208,BD!$A$3:$A$5001,_xlfn.MAXIFS(BD!$A$3:$A$5001,BD!$B$3:$B$5001,C$208,BD!$A$3:$A$5001,"&gt;="&amp;$C$7,BD!$A$3:$A$5001,"&lt;="&amp;$B217,BD!$X$3:$X$5001,"&lt;&gt;"))))</f>
        <v/>
      </c>
      <c r="D217" s="42" t="str">
        <f>IF(OR($B217="",$A217&gt;$B$9),"",IF(COUNTIFS(BD!$B$3:$B$5001,D$208,BD!$A$3:$A$5001,"&gt;="&amp;$C$7,BD!$A$3:$A$5001,"&lt;="&amp;$B217,BD!$X$3:$X$5001,"&lt;&gt;")=0,"",SUMIFS(BD!$X$3:$X$5001,BD!$B$3:$B$5001,D$208,BD!$A$3:$A$5001,_xlfn.MAXIFS(BD!$A$3:$A$5001,BD!$B$3:$B$5001,D$208,BD!$A$3:$A$5001,"&gt;="&amp;$C$7,BD!$A$3:$A$5001,"&lt;="&amp;$B217,BD!$X$3:$X$5001,"&lt;&gt;"))))</f>
        <v/>
      </c>
      <c r="E217" s="42" t="str">
        <f>IF(OR($B217="",$A217&gt;$B$9),"",IF(COUNTIFS(BD!$B$3:$B$5001,E$208,BD!$A$3:$A$5001,"&gt;="&amp;$C$7,BD!$A$3:$A$5001,"&lt;="&amp;$B217,BD!$X$3:$X$5001,"&lt;&gt;")=0,"",SUMIFS(BD!$X$3:$X$5001,BD!$B$3:$B$5001,E$208,BD!$A$3:$A$5001,_xlfn.MAXIFS(BD!$A$3:$A$5001,BD!$B$3:$B$5001,E$208,BD!$A$3:$A$5001,"&gt;="&amp;$C$7,BD!$A$3:$A$5001,"&lt;="&amp;$B217,BD!$X$3:$X$5001,"&lt;&gt;"))))</f>
        <v/>
      </c>
      <c r="F217" s="42" t="str">
        <f>IF(OR($B217="",$A217&gt;$B$9),"",IF(COUNTIFS(BD!$B$3:$B$5001,F$208,BD!$A$3:$A$5001,"&gt;="&amp;$C$7,BD!$A$3:$A$5001,"&lt;="&amp;$B217,BD!$X$3:$X$5001,"&lt;&gt;")=0,"",SUMIFS(BD!$X$3:$X$5001,BD!$B$3:$B$5001,F$208,BD!$A$3:$A$5001,_xlfn.MAXIFS(BD!$A$3:$A$5001,BD!$B$3:$B$5001,F$208,BD!$A$3:$A$5001,"&gt;="&amp;$C$7,BD!$A$3:$A$5001,"&lt;="&amp;$B217,BD!$X$3:$X$5001,"&lt;&gt;"))))</f>
        <v/>
      </c>
      <c r="G217" s="42" t="str">
        <f>IF(OR($B217="",$A217&gt;$B$9),"",IF(COUNTIFS(BD!$B$3:$B$5001,G$208,BD!$A$3:$A$5001,"&gt;="&amp;$C$7,BD!$A$3:$A$5001,"&lt;="&amp;$B217,BD!$X$3:$X$5001,"&lt;&gt;")=0,"",SUMIFS(BD!$X$3:$X$5001,BD!$B$3:$B$5001,G$208,BD!$A$3:$A$5001,_xlfn.MAXIFS(BD!$A$3:$A$5001,BD!$B$3:$B$5001,G$208,BD!$A$3:$A$5001,"&gt;="&amp;$C$7,BD!$A$3:$A$5001,"&lt;="&amp;$B217,BD!$X$3:$X$5001,"&lt;&gt;"))))</f>
        <v/>
      </c>
      <c r="H217" s="42" t="str">
        <f>IF(OR($B217="",$A217&gt;$B$9),"",IF(COUNTIFS(BD!$B$3:$B$5001,H$208,BD!$A$3:$A$5001,"&gt;="&amp;$C$7,BD!$A$3:$A$5001,"&lt;="&amp;$B217,BD!$X$3:$X$5001,"&lt;&gt;")=0,"",SUMIFS(BD!$X$3:$X$5001,BD!$B$3:$B$5001,H$208,BD!$A$3:$A$5001,_xlfn.MAXIFS(BD!$A$3:$A$5001,BD!$B$3:$B$5001,H$208,BD!$A$3:$A$5001,"&gt;="&amp;$C$7,BD!$A$3:$A$5001,"&lt;="&amp;$B217,BD!$X$3:$X$5001,"&lt;&gt;"))))</f>
        <v/>
      </c>
      <c r="I217" s="42" t="str">
        <f>IF(OR($B217="",$A217&gt;$B$9),"",IF(COUNTIFS(BD!$B$3:$B$5001,I$208,BD!$A$3:$A$5001,"&gt;="&amp;$C$7,BD!$A$3:$A$5001,"&lt;="&amp;$B217,BD!$X$3:$X$5001,"&lt;&gt;")=0,"",SUMIFS(BD!$X$3:$X$5001,BD!$B$3:$B$5001,I$208,BD!$A$3:$A$5001,_xlfn.MAXIFS(BD!$A$3:$A$5001,BD!$B$3:$B$5001,I$208,BD!$A$3:$A$5001,"&gt;="&amp;$C$7,BD!$A$3:$A$5001,"&lt;="&amp;$B217,BD!$X$3:$X$5001,"&lt;&gt;"))))</f>
        <v/>
      </c>
      <c r="J217" s="42" t="str">
        <f>IF(OR($B217="",$A217&gt;$B$9),"",IF(COUNTIFS(BD!$B$3:$B$5001,J$208,BD!$A$3:$A$5001,"&gt;="&amp;$C$7,BD!$A$3:$A$5001,"&lt;="&amp;$B217,BD!$X$3:$X$5001,"&lt;&gt;")=0,"",SUMIFS(BD!$X$3:$X$5001,BD!$B$3:$B$5001,J$208,BD!$A$3:$A$5001,_xlfn.MAXIFS(BD!$A$3:$A$5001,BD!$B$3:$B$5001,J$208,BD!$A$3:$A$5001,"&gt;="&amp;$C$7,BD!$A$3:$A$5001,"&lt;="&amp;$B217,BD!$X$3:$X$5001,"&lt;&gt;"))))</f>
        <v/>
      </c>
      <c r="K217" s="42" t="str">
        <f>IF(OR($B217="",$A217&gt;$B$9),"",IF(COUNTIFS(BD!$B$3:$B$5001,K$208,BD!$A$3:$A$5001,"&gt;="&amp;$C$7,BD!$A$3:$A$5001,"&lt;="&amp;$B217,BD!$X$3:$X$5001,"&lt;&gt;")=0,"",SUMIFS(BD!$X$3:$X$5001,BD!$B$3:$B$5001,K$208,BD!$A$3:$A$5001,_xlfn.MAXIFS(BD!$A$3:$A$5001,BD!$B$3:$B$5001,K$208,BD!$A$3:$A$5001,"&gt;="&amp;$C$7,BD!$A$3:$A$5001,"&lt;="&amp;$B217,BD!$X$3:$X$5001,"&lt;&gt;"))))</f>
        <v/>
      </c>
    </row>
    <row r="218">
      <c r="A218" s="40">
        <v>10</v>
      </c>
      <c r="B218" s="41">
        <f>$B$21</f>
        <v>46305</v>
      </c>
      <c r="C218" s="42" t="str">
        <f>IF(OR($B218="",$A218&gt;$B$9),"",IF(COUNTIFS(BD!$B$3:$B$5001,C$208,BD!$A$3:$A$5001,"&gt;="&amp;$C$7,BD!$A$3:$A$5001,"&lt;="&amp;$B218,BD!$X$3:$X$5001,"&lt;&gt;")=0,"",SUMIFS(BD!$X$3:$X$5001,BD!$B$3:$B$5001,C$208,BD!$A$3:$A$5001,_xlfn.MAXIFS(BD!$A$3:$A$5001,BD!$B$3:$B$5001,C$208,BD!$A$3:$A$5001,"&gt;="&amp;$C$7,BD!$A$3:$A$5001,"&lt;="&amp;$B218,BD!$X$3:$X$5001,"&lt;&gt;"))))</f>
        <v/>
      </c>
      <c r="D218" s="42" t="str">
        <f>IF(OR($B218="",$A218&gt;$B$9),"",IF(COUNTIFS(BD!$B$3:$B$5001,D$208,BD!$A$3:$A$5001,"&gt;="&amp;$C$7,BD!$A$3:$A$5001,"&lt;="&amp;$B218,BD!$X$3:$X$5001,"&lt;&gt;")=0,"",SUMIFS(BD!$X$3:$X$5001,BD!$B$3:$B$5001,D$208,BD!$A$3:$A$5001,_xlfn.MAXIFS(BD!$A$3:$A$5001,BD!$B$3:$B$5001,D$208,BD!$A$3:$A$5001,"&gt;="&amp;$C$7,BD!$A$3:$A$5001,"&lt;="&amp;$B218,BD!$X$3:$X$5001,"&lt;&gt;"))))</f>
        <v/>
      </c>
      <c r="E218" s="42" t="str">
        <f>IF(OR($B218="",$A218&gt;$B$9),"",IF(COUNTIFS(BD!$B$3:$B$5001,E$208,BD!$A$3:$A$5001,"&gt;="&amp;$C$7,BD!$A$3:$A$5001,"&lt;="&amp;$B218,BD!$X$3:$X$5001,"&lt;&gt;")=0,"",SUMIFS(BD!$X$3:$X$5001,BD!$B$3:$B$5001,E$208,BD!$A$3:$A$5001,_xlfn.MAXIFS(BD!$A$3:$A$5001,BD!$B$3:$B$5001,E$208,BD!$A$3:$A$5001,"&gt;="&amp;$C$7,BD!$A$3:$A$5001,"&lt;="&amp;$B218,BD!$X$3:$X$5001,"&lt;&gt;"))))</f>
        <v/>
      </c>
      <c r="F218" s="42" t="str">
        <f>IF(OR($B218="",$A218&gt;$B$9),"",IF(COUNTIFS(BD!$B$3:$B$5001,F$208,BD!$A$3:$A$5001,"&gt;="&amp;$C$7,BD!$A$3:$A$5001,"&lt;="&amp;$B218,BD!$X$3:$X$5001,"&lt;&gt;")=0,"",SUMIFS(BD!$X$3:$X$5001,BD!$B$3:$B$5001,F$208,BD!$A$3:$A$5001,_xlfn.MAXIFS(BD!$A$3:$A$5001,BD!$B$3:$B$5001,F$208,BD!$A$3:$A$5001,"&gt;="&amp;$C$7,BD!$A$3:$A$5001,"&lt;="&amp;$B218,BD!$X$3:$X$5001,"&lt;&gt;"))))</f>
        <v/>
      </c>
      <c r="G218" s="42" t="str">
        <f>IF(OR($B218="",$A218&gt;$B$9),"",IF(COUNTIFS(BD!$B$3:$B$5001,G$208,BD!$A$3:$A$5001,"&gt;="&amp;$C$7,BD!$A$3:$A$5001,"&lt;="&amp;$B218,BD!$X$3:$X$5001,"&lt;&gt;")=0,"",SUMIFS(BD!$X$3:$X$5001,BD!$B$3:$B$5001,G$208,BD!$A$3:$A$5001,_xlfn.MAXIFS(BD!$A$3:$A$5001,BD!$B$3:$B$5001,G$208,BD!$A$3:$A$5001,"&gt;="&amp;$C$7,BD!$A$3:$A$5001,"&lt;="&amp;$B218,BD!$X$3:$X$5001,"&lt;&gt;"))))</f>
        <v/>
      </c>
      <c r="H218" s="42" t="str">
        <f>IF(OR($B218="",$A218&gt;$B$9),"",IF(COUNTIFS(BD!$B$3:$B$5001,H$208,BD!$A$3:$A$5001,"&gt;="&amp;$C$7,BD!$A$3:$A$5001,"&lt;="&amp;$B218,BD!$X$3:$X$5001,"&lt;&gt;")=0,"",SUMIFS(BD!$X$3:$X$5001,BD!$B$3:$B$5001,H$208,BD!$A$3:$A$5001,_xlfn.MAXIFS(BD!$A$3:$A$5001,BD!$B$3:$B$5001,H$208,BD!$A$3:$A$5001,"&gt;="&amp;$C$7,BD!$A$3:$A$5001,"&lt;="&amp;$B218,BD!$X$3:$X$5001,"&lt;&gt;"))))</f>
        <v/>
      </c>
      <c r="I218" s="42" t="str">
        <f>IF(OR($B218="",$A218&gt;$B$9),"",IF(COUNTIFS(BD!$B$3:$B$5001,I$208,BD!$A$3:$A$5001,"&gt;="&amp;$C$7,BD!$A$3:$A$5001,"&lt;="&amp;$B218,BD!$X$3:$X$5001,"&lt;&gt;")=0,"",SUMIFS(BD!$X$3:$X$5001,BD!$B$3:$B$5001,I$208,BD!$A$3:$A$5001,_xlfn.MAXIFS(BD!$A$3:$A$5001,BD!$B$3:$B$5001,I$208,BD!$A$3:$A$5001,"&gt;="&amp;$C$7,BD!$A$3:$A$5001,"&lt;="&amp;$B218,BD!$X$3:$X$5001,"&lt;&gt;"))))</f>
        <v/>
      </c>
      <c r="J218" s="42" t="str">
        <f>IF(OR($B218="",$A218&gt;$B$9),"",IF(COUNTIFS(BD!$B$3:$B$5001,J$208,BD!$A$3:$A$5001,"&gt;="&amp;$C$7,BD!$A$3:$A$5001,"&lt;="&amp;$B218,BD!$X$3:$X$5001,"&lt;&gt;")=0,"",SUMIFS(BD!$X$3:$X$5001,BD!$B$3:$B$5001,J$208,BD!$A$3:$A$5001,_xlfn.MAXIFS(BD!$A$3:$A$5001,BD!$B$3:$B$5001,J$208,BD!$A$3:$A$5001,"&gt;="&amp;$C$7,BD!$A$3:$A$5001,"&lt;="&amp;$B218,BD!$X$3:$X$5001,"&lt;&gt;"))))</f>
        <v/>
      </c>
      <c r="K218" s="42" t="str">
        <f>IF(OR($B218="",$A218&gt;$B$9),"",IF(COUNTIFS(BD!$B$3:$B$5001,K$208,BD!$A$3:$A$5001,"&gt;="&amp;$C$7,BD!$A$3:$A$5001,"&lt;="&amp;$B218,BD!$X$3:$X$5001,"&lt;&gt;")=0,"",SUMIFS(BD!$X$3:$X$5001,BD!$B$3:$B$5001,K$208,BD!$A$3:$A$5001,_xlfn.MAXIFS(BD!$A$3:$A$5001,BD!$B$3:$B$5001,K$208,BD!$A$3:$A$5001,"&gt;="&amp;$C$7,BD!$A$3:$A$5001,"&lt;="&amp;$B218,BD!$X$3:$X$5001,"&lt;&gt;"))))</f>
        <v/>
      </c>
    </row>
    <row r="219">
      <c r="A219" s="40">
        <v>11</v>
      </c>
      <c r="B219" s="41">
        <f>$B$22</f>
        <v>46306</v>
      </c>
      <c r="C219" s="42" t="str">
        <f>IF(OR($B219="",$A219&gt;$B$9),"",IF(COUNTIFS(BD!$B$3:$B$5001,C$208,BD!$A$3:$A$5001,"&gt;="&amp;$C$7,BD!$A$3:$A$5001,"&lt;="&amp;$B219,BD!$X$3:$X$5001,"&lt;&gt;")=0,"",SUMIFS(BD!$X$3:$X$5001,BD!$B$3:$B$5001,C$208,BD!$A$3:$A$5001,_xlfn.MAXIFS(BD!$A$3:$A$5001,BD!$B$3:$B$5001,C$208,BD!$A$3:$A$5001,"&gt;="&amp;$C$7,BD!$A$3:$A$5001,"&lt;="&amp;$B219,BD!$X$3:$X$5001,"&lt;&gt;"))))</f>
        <v/>
      </c>
      <c r="D219" s="42" t="str">
        <f>IF(OR($B219="",$A219&gt;$B$9),"",IF(COUNTIFS(BD!$B$3:$B$5001,D$208,BD!$A$3:$A$5001,"&gt;="&amp;$C$7,BD!$A$3:$A$5001,"&lt;="&amp;$B219,BD!$X$3:$X$5001,"&lt;&gt;")=0,"",SUMIFS(BD!$X$3:$X$5001,BD!$B$3:$B$5001,D$208,BD!$A$3:$A$5001,_xlfn.MAXIFS(BD!$A$3:$A$5001,BD!$B$3:$B$5001,D$208,BD!$A$3:$A$5001,"&gt;="&amp;$C$7,BD!$A$3:$A$5001,"&lt;="&amp;$B219,BD!$X$3:$X$5001,"&lt;&gt;"))))</f>
        <v/>
      </c>
      <c r="E219" s="42" t="str">
        <f>IF(OR($B219="",$A219&gt;$B$9),"",IF(COUNTIFS(BD!$B$3:$B$5001,E$208,BD!$A$3:$A$5001,"&gt;="&amp;$C$7,BD!$A$3:$A$5001,"&lt;="&amp;$B219,BD!$X$3:$X$5001,"&lt;&gt;")=0,"",SUMIFS(BD!$X$3:$X$5001,BD!$B$3:$B$5001,E$208,BD!$A$3:$A$5001,_xlfn.MAXIFS(BD!$A$3:$A$5001,BD!$B$3:$B$5001,E$208,BD!$A$3:$A$5001,"&gt;="&amp;$C$7,BD!$A$3:$A$5001,"&lt;="&amp;$B219,BD!$X$3:$X$5001,"&lt;&gt;"))))</f>
        <v/>
      </c>
      <c r="F219" s="42" t="str">
        <f>IF(OR($B219="",$A219&gt;$B$9),"",IF(COUNTIFS(BD!$B$3:$B$5001,F$208,BD!$A$3:$A$5001,"&gt;="&amp;$C$7,BD!$A$3:$A$5001,"&lt;="&amp;$B219,BD!$X$3:$X$5001,"&lt;&gt;")=0,"",SUMIFS(BD!$X$3:$X$5001,BD!$B$3:$B$5001,F$208,BD!$A$3:$A$5001,_xlfn.MAXIFS(BD!$A$3:$A$5001,BD!$B$3:$B$5001,F$208,BD!$A$3:$A$5001,"&gt;="&amp;$C$7,BD!$A$3:$A$5001,"&lt;="&amp;$B219,BD!$X$3:$X$5001,"&lt;&gt;"))))</f>
        <v/>
      </c>
      <c r="G219" s="42" t="str">
        <f>IF(OR($B219="",$A219&gt;$B$9),"",IF(COUNTIFS(BD!$B$3:$B$5001,G$208,BD!$A$3:$A$5001,"&gt;="&amp;$C$7,BD!$A$3:$A$5001,"&lt;="&amp;$B219,BD!$X$3:$X$5001,"&lt;&gt;")=0,"",SUMIFS(BD!$X$3:$X$5001,BD!$B$3:$B$5001,G$208,BD!$A$3:$A$5001,_xlfn.MAXIFS(BD!$A$3:$A$5001,BD!$B$3:$B$5001,G$208,BD!$A$3:$A$5001,"&gt;="&amp;$C$7,BD!$A$3:$A$5001,"&lt;="&amp;$B219,BD!$X$3:$X$5001,"&lt;&gt;"))))</f>
        <v/>
      </c>
      <c r="H219" s="42" t="str">
        <f>IF(OR($B219="",$A219&gt;$B$9),"",IF(COUNTIFS(BD!$B$3:$B$5001,H$208,BD!$A$3:$A$5001,"&gt;="&amp;$C$7,BD!$A$3:$A$5001,"&lt;="&amp;$B219,BD!$X$3:$X$5001,"&lt;&gt;")=0,"",SUMIFS(BD!$X$3:$X$5001,BD!$B$3:$B$5001,H$208,BD!$A$3:$A$5001,_xlfn.MAXIFS(BD!$A$3:$A$5001,BD!$B$3:$B$5001,H$208,BD!$A$3:$A$5001,"&gt;="&amp;$C$7,BD!$A$3:$A$5001,"&lt;="&amp;$B219,BD!$X$3:$X$5001,"&lt;&gt;"))))</f>
        <v/>
      </c>
      <c r="I219" s="42" t="str">
        <f>IF(OR($B219="",$A219&gt;$B$9),"",IF(COUNTIFS(BD!$B$3:$B$5001,I$208,BD!$A$3:$A$5001,"&gt;="&amp;$C$7,BD!$A$3:$A$5001,"&lt;="&amp;$B219,BD!$X$3:$X$5001,"&lt;&gt;")=0,"",SUMIFS(BD!$X$3:$X$5001,BD!$B$3:$B$5001,I$208,BD!$A$3:$A$5001,_xlfn.MAXIFS(BD!$A$3:$A$5001,BD!$B$3:$B$5001,I$208,BD!$A$3:$A$5001,"&gt;="&amp;$C$7,BD!$A$3:$A$5001,"&lt;="&amp;$B219,BD!$X$3:$X$5001,"&lt;&gt;"))))</f>
        <v/>
      </c>
      <c r="J219" s="42" t="str">
        <f>IF(OR($B219="",$A219&gt;$B$9),"",IF(COUNTIFS(BD!$B$3:$B$5001,J$208,BD!$A$3:$A$5001,"&gt;="&amp;$C$7,BD!$A$3:$A$5001,"&lt;="&amp;$B219,BD!$X$3:$X$5001,"&lt;&gt;")=0,"",SUMIFS(BD!$X$3:$X$5001,BD!$B$3:$B$5001,J$208,BD!$A$3:$A$5001,_xlfn.MAXIFS(BD!$A$3:$A$5001,BD!$B$3:$B$5001,J$208,BD!$A$3:$A$5001,"&gt;="&amp;$C$7,BD!$A$3:$A$5001,"&lt;="&amp;$B219,BD!$X$3:$X$5001,"&lt;&gt;"))))</f>
        <v/>
      </c>
      <c r="K219" s="42" t="str">
        <f>IF(OR($B219="",$A219&gt;$B$9),"",IF(COUNTIFS(BD!$B$3:$B$5001,K$208,BD!$A$3:$A$5001,"&gt;="&amp;$C$7,BD!$A$3:$A$5001,"&lt;="&amp;$B219,BD!$X$3:$X$5001,"&lt;&gt;")=0,"",SUMIFS(BD!$X$3:$X$5001,BD!$B$3:$B$5001,K$208,BD!$A$3:$A$5001,_xlfn.MAXIFS(BD!$A$3:$A$5001,BD!$B$3:$B$5001,K$208,BD!$A$3:$A$5001,"&gt;="&amp;$C$7,BD!$A$3:$A$5001,"&lt;="&amp;$B219,BD!$X$3:$X$5001,"&lt;&gt;"))))</f>
        <v/>
      </c>
    </row>
    <row r="220">
      <c r="A220" s="40">
        <v>12</v>
      </c>
      <c r="B220" s="41">
        <f>$B$23</f>
        <v>46307</v>
      </c>
      <c r="C220" s="42" t="str">
        <f>IF(OR($B220="",$A220&gt;$B$9),"",IF(COUNTIFS(BD!$B$3:$B$5001,C$208,BD!$A$3:$A$5001,"&gt;="&amp;$C$7,BD!$A$3:$A$5001,"&lt;="&amp;$B220,BD!$X$3:$X$5001,"&lt;&gt;")=0,"",SUMIFS(BD!$X$3:$X$5001,BD!$B$3:$B$5001,C$208,BD!$A$3:$A$5001,_xlfn.MAXIFS(BD!$A$3:$A$5001,BD!$B$3:$B$5001,C$208,BD!$A$3:$A$5001,"&gt;="&amp;$C$7,BD!$A$3:$A$5001,"&lt;="&amp;$B220,BD!$X$3:$X$5001,"&lt;&gt;"))))</f>
        <v/>
      </c>
      <c r="D220" s="42" t="str">
        <f>IF(OR($B220="",$A220&gt;$B$9),"",IF(COUNTIFS(BD!$B$3:$B$5001,D$208,BD!$A$3:$A$5001,"&gt;="&amp;$C$7,BD!$A$3:$A$5001,"&lt;="&amp;$B220,BD!$X$3:$X$5001,"&lt;&gt;")=0,"",SUMIFS(BD!$X$3:$X$5001,BD!$B$3:$B$5001,D$208,BD!$A$3:$A$5001,_xlfn.MAXIFS(BD!$A$3:$A$5001,BD!$B$3:$B$5001,D$208,BD!$A$3:$A$5001,"&gt;="&amp;$C$7,BD!$A$3:$A$5001,"&lt;="&amp;$B220,BD!$X$3:$X$5001,"&lt;&gt;"))))</f>
        <v/>
      </c>
      <c r="E220" s="42" t="str">
        <f>IF(OR($B220="",$A220&gt;$B$9),"",IF(COUNTIFS(BD!$B$3:$B$5001,E$208,BD!$A$3:$A$5001,"&gt;="&amp;$C$7,BD!$A$3:$A$5001,"&lt;="&amp;$B220,BD!$X$3:$X$5001,"&lt;&gt;")=0,"",SUMIFS(BD!$X$3:$X$5001,BD!$B$3:$B$5001,E$208,BD!$A$3:$A$5001,_xlfn.MAXIFS(BD!$A$3:$A$5001,BD!$B$3:$B$5001,E$208,BD!$A$3:$A$5001,"&gt;="&amp;$C$7,BD!$A$3:$A$5001,"&lt;="&amp;$B220,BD!$X$3:$X$5001,"&lt;&gt;"))))</f>
        <v/>
      </c>
      <c r="F220" s="42" t="str">
        <f>IF(OR($B220="",$A220&gt;$B$9),"",IF(COUNTIFS(BD!$B$3:$B$5001,F$208,BD!$A$3:$A$5001,"&gt;="&amp;$C$7,BD!$A$3:$A$5001,"&lt;="&amp;$B220,BD!$X$3:$X$5001,"&lt;&gt;")=0,"",SUMIFS(BD!$X$3:$X$5001,BD!$B$3:$B$5001,F$208,BD!$A$3:$A$5001,_xlfn.MAXIFS(BD!$A$3:$A$5001,BD!$B$3:$B$5001,F$208,BD!$A$3:$A$5001,"&gt;="&amp;$C$7,BD!$A$3:$A$5001,"&lt;="&amp;$B220,BD!$X$3:$X$5001,"&lt;&gt;"))))</f>
        <v/>
      </c>
      <c r="G220" s="42" t="str">
        <f>IF(OR($B220="",$A220&gt;$B$9),"",IF(COUNTIFS(BD!$B$3:$B$5001,G$208,BD!$A$3:$A$5001,"&gt;="&amp;$C$7,BD!$A$3:$A$5001,"&lt;="&amp;$B220,BD!$X$3:$X$5001,"&lt;&gt;")=0,"",SUMIFS(BD!$X$3:$X$5001,BD!$B$3:$B$5001,G$208,BD!$A$3:$A$5001,_xlfn.MAXIFS(BD!$A$3:$A$5001,BD!$B$3:$B$5001,G$208,BD!$A$3:$A$5001,"&gt;="&amp;$C$7,BD!$A$3:$A$5001,"&lt;="&amp;$B220,BD!$X$3:$X$5001,"&lt;&gt;"))))</f>
        <v/>
      </c>
      <c r="H220" s="42" t="str">
        <f>IF(OR($B220="",$A220&gt;$B$9),"",IF(COUNTIFS(BD!$B$3:$B$5001,H$208,BD!$A$3:$A$5001,"&gt;="&amp;$C$7,BD!$A$3:$A$5001,"&lt;="&amp;$B220,BD!$X$3:$X$5001,"&lt;&gt;")=0,"",SUMIFS(BD!$X$3:$X$5001,BD!$B$3:$B$5001,H$208,BD!$A$3:$A$5001,_xlfn.MAXIFS(BD!$A$3:$A$5001,BD!$B$3:$B$5001,H$208,BD!$A$3:$A$5001,"&gt;="&amp;$C$7,BD!$A$3:$A$5001,"&lt;="&amp;$B220,BD!$X$3:$X$5001,"&lt;&gt;"))))</f>
        <v/>
      </c>
      <c r="I220" s="42" t="str">
        <f>IF(OR($B220="",$A220&gt;$B$9),"",IF(COUNTIFS(BD!$B$3:$B$5001,I$208,BD!$A$3:$A$5001,"&gt;="&amp;$C$7,BD!$A$3:$A$5001,"&lt;="&amp;$B220,BD!$X$3:$X$5001,"&lt;&gt;")=0,"",SUMIFS(BD!$X$3:$X$5001,BD!$B$3:$B$5001,I$208,BD!$A$3:$A$5001,_xlfn.MAXIFS(BD!$A$3:$A$5001,BD!$B$3:$B$5001,I$208,BD!$A$3:$A$5001,"&gt;="&amp;$C$7,BD!$A$3:$A$5001,"&lt;="&amp;$B220,BD!$X$3:$X$5001,"&lt;&gt;"))))</f>
        <v/>
      </c>
      <c r="J220" s="42" t="str">
        <f>IF(OR($B220="",$A220&gt;$B$9),"",IF(COUNTIFS(BD!$B$3:$B$5001,J$208,BD!$A$3:$A$5001,"&gt;="&amp;$C$7,BD!$A$3:$A$5001,"&lt;="&amp;$B220,BD!$X$3:$X$5001,"&lt;&gt;")=0,"",SUMIFS(BD!$X$3:$X$5001,BD!$B$3:$B$5001,J$208,BD!$A$3:$A$5001,_xlfn.MAXIFS(BD!$A$3:$A$5001,BD!$B$3:$B$5001,J$208,BD!$A$3:$A$5001,"&gt;="&amp;$C$7,BD!$A$3:$A$5001,"&lt;="&amp;$B220,BD!$X$3:$X$5001,"&lt;&gt;"))))</f>
        <v/>
      </c>
      <c r="K220" s="42" t="str">
        <f>IF(OR($B220="",$A220&gt;$B$9),"",IF(COUNTIFS(BD!$B$3:$B$5001,K$208,BD!$A$3:$A$5001,"&gt;="&amp;$C$7,BD!$A$3:$A$5001,"&lt;="&amp;$B220,BD!$X$3:$X$5001,"&lt;&gt;")=0,"",SUMIFS(BD!$X$3:$X$5001,BD!$B$3:$B$5001,K$208,BD!$A$3:$A$5001,_xlfn.MAXIFS(BD!$A$3:$A$5001,BD!$B$3:$B$5001,K$208,BD!$A$3:$A$5001,"&gt;="&amp;$C$7,BD!$A$3:$A$5001,"&lt;="&amp;$B220,BD!$X$3:$X$5001,"&lt;&gt;"))))</f>
        <v/>
      </c>
    </row>
    <row r="221">
      <c r="A221" s="40">
        <v>13</v>
      </c>
      <c r="B221" s="41">
        <f>$B$24</f>
        <v>46308</v>
      </c>
      <c r="C221" s="42" t="str">
        <f>IF(OR($B221="",$A221&gt;$B$9),"",IF(COUNTIFS(BD!$B$3:$B$5001,C$208,BD!$A$3:$A$5001,"&gt;="&amp;$C$7,BD!$A$3:$A$5001,"&lt;="&amp;$B221,BD!$X$3:$X$5001,"&lt;&gt;")=0,"",SUMIFS(BD!$X$3:$X$5001,BD!$B$3:$B$5001,C$208,BD!$A$3:$A$5001,_xlfn.MAXIFS(BD!$A$3:$A$5001,BD!$B$3:$B$5001,C$208,BD!$A$3:$A$5001,"&gt;="&amp;$C$7,BD!$A$3:$A$5001,"&lt;="&amp;$B221,BD!$X$3:$X$5001,"&lt;&gt;"))))</f>
        <v/>
      </c>
      <c r="D221" s="42" t="str">
        <f>IF(OR($B221="",$A221&gt;$B$9),"",IF(COUNTIFS(BD!$B$3:$B$5001,D$208,BD!$A$3:$A$5001,"&gt;="&amp;$C$7,BD!$A$3:$A$5001,"&lt;="&amp;$B221,BD!$X$3:$X$5001,"&lt;&gt;")=0,"",SUMIFS(BD!$X$3:$X$5001,BD!$B$3:$B$5001,D$208,BD!$A$3:$A$5001,_xlfn.MAXIFS(BD!$A$3:$A$5001,BD!$B$3:$B$5001,D$208,BD!$A$3:$A$5001,"&gt;="&amp;$C$7,BD!$A$3:$A$5001,"&lt;="&amp;$B221,BD!$X$3:$X$5001,"&lt;&gt;"))))</f>
        <v/>
      </c>
      <c r="E221" s="42" t="str">
        <f>IF(OR($B221="",$A221&gt;$B$9),"",IF(COUNTIFS(BD!$B$3:$B$5001,E$208,BD!$A$3:$A$5001,"&gt;="&amp;$C$7,BD!$A$3:$A$5001,"&lt;="&amp;$B221,BD!$X$3:$X$5001,"&lt;&gt;")=0,"",SUMIFS(BD!$X$3:$X$5001,BD!$B$3:$B$5001,E$208,BD!$A$3:$A$5001,_xlfn.MAXIFS(BD!$A$3:$A$5001,BD!$B$3:$B$5001,E$208,BD!$A$3:$A$5001,"&gt;="&amp;$C$7,BD!$A$3:$A$5001,"&lt;="&amp;$B221,BD!$X$3:$X$5001,"&lt;&gt;"))))</f>
        <v/>
      </c>
      <c r="F221" s="42" t="str">
        <f>IF(OR($B221="",$A221&gt;$B$9),"",IF(COUNTIFS(BD!$B$3:$B$5001,F$208,BD!$A$3:$A$5001,"&gt;="&amp;$C$7,BD!$A$3:$A$5001,"&lt;="&amp;$B221,BD!$X$3:$X$5001,"&lt;&gt;")=0,"",SUMIFS(BD!$X$3:$X$5001,BD!$B$3:$B$5001,F$208,BD!$A$3:$A$5001,_xlfn.MAXIFS(BD!$A$3:$A$5001,BD!$B$3:$B$5001,F$208,BD!$A$3:$A$5001,"&gt;="&amp;$C$7,BD!$A$3:$A$5001,"&lt;="&amp;$B221,BD!$X$3:$X$5001,"&lt;&gt;"))))</f>
        <v/>
      </c>
      <c r="G221" s="42" t="str">
        <f>IF(OR($B221="",$A221&gt;$B$9),"",IF(COUNTIFS(BD!$B$3:$B$5001,G$208,BD!$A$3:$A$5001,"&gt;="&amp;$C$7,BD!$A$3:$A$5001,"&lt;="&amp;$B221,BD!$X$3:$X$5001,"&lt;&gt;")=0,"",SUMIFS(BD!$X$3:$X$5001,BD!$B$3:$B$5001,G$208,BD!$A$3:$A$5001,_xlfn.MAXIFS(BD!$A$3:$A$5001,BD!$B$3:$B$5001,G$208,BD!$A$3:$A$5001,"&gt;="&amp;$C$7,BD!$A$3:$A$5001,"&lt;="&amp;$B221,BD!$X$3:$X$5001,"&lt;&gt;"))))</f>
        <v/>
      </c>
      <c r="H221" s="42" t="str">
        <f>IF(OR($B221="",$A221&gt;$B$9),"",IF(COUNTIFS(BD!$B$3:$B$5001,H$208,BD!$A$3:$A$5001,"&gt;="&amp;$C$7,BD!$A$3:$A$5001,"&lt;="&amp;$B221,BD!$X$3:$X$5001,"&lt;&gt;")=0,"",SUMIFS(BD!$X$3:$X$5001,BD!$B$3:$B$5001,H$208,BD!$A$3:$A$5001,_xlfn.MAXIFS(BD!$A$3:$A$5001,BD!$B$3:$B$5001,H$208,BD!$A$3:$A$5001,"&gt;="&amp;$C$7,BD!$A$3:$A$5001,"&lt;="&amp;$B221,BD!$X$3:$X$5001,"&lt;&gt;"))))</f>
        <v/>
      </c>
      <c r="I221" s="42" t="str">
        <f>IF(OR($B221="",$A221&gt;$B$9),"",IF(COUNTIFS(BD!$B$3:$B$5001,I$208,BD!$A$3:$A$5001,"&gt;="&amp;$C$7,BD!$A$3:$A$5001,"&lt;="&amp;$B221,BD!$X$3:$X$5001,"&lt;&gt;")=0,"",SUMIFS(BD!$X$3:$X$5001,BD!$B$3:$B$5001,I$208,BD!$A$3:$A$5001,_xlfn.MAXIFS(BD!$A$3:$A$5001,BD!$B$3:$B$5001,I$208,BD!$A$3:$A$5001,"&gt;="&amp;$C$7,BD!$A$3:$A$5001,"&lt;="&amp;$B221,BD!$X$3:$X$5001,"&lt;&gt;"))))</f>
        <v/>
      </c>
      <c r="J221" s="42" t="str">
        <f>IF(OR($B221="",$A221&gt;$B$9),"",IF(COUNTIFS(BD!$B$3:$B$5001,J$208,BD!$A$3:$A$5001,"&gt;="&amp;$C$7,BD!$A$3:$A$5001,"&lt;="&amp;$B221,BD!$X$3:$X$5001,"&lt;&gt;")=0,"",SUMIFS(BD!$X$3:$X$5001,BD!$B$3:$B$5001,J$208,BD!$A$3:$A$5001,_xlfn.MAXIFS(BD!$A$3:$A$5001,BD!$B$3:$B$5001,J$208,BD!$A$3:$A$5001,"&gt;="&amp;$C$7,BD!$A$3:$A$5001,"&lt;="&amp;$B221,BD!$X$3:$X$5001,"&lt;&gt;"))))</f>
        <v/>
      </c>
      <c r="K221" s="42" t="str">
        <f>IF(OR($B221="",$A221&gt;$B$9),"",IF(COUNTIFS(BD!$B$3:$B$5001,K$208,BD!$A$3:$A$5001,"&gt;="&amp;$C$7,BD!$A$3:$A$5001,"&lt;="&amp;$B221,BD!$X$3:$X$5001,"&lt;&gt;")=0,"",SUMIFS(BD!$X$3:$X$5001,BD!$B$3:$B$5001,K$208,BD!$A$3:$A$5001,_xlfn.MAXIFS(BD!$A$3:$A$5001,BD!$B$3:$B$5001,K$208,BD!$A$3:$A$5001,"&gt;="&amp;$C$7,BD!$A$3:$A$5001,"&lt;="&amp;$B221,BD!$X$3:$X$5001,"&lt;&gt;"))))</f>
        <v/>
      </c>
    </row>
    <row r="222">
      <c r="A222" s="40">
        <v>14</v>
      </c>
      <c r="B222" s="41">
        <f>$B$25</f>
        <v>46309</v>
      </c>
      <c r="C222" s="42" t="str">
        <f>IF(OR($B222="",$A222&gt;$B$9),"",IF(COUNTIFS(BD!$B$3:$B$5001,C$208,BD!$A$3:$A$5001,"&gt;="&amp;$C$7,BD!$A$3:$A$5001,"&lt;="&amp;$B222,BD!$X$3:$X$5001,"&lt;&gt;")=0,"",SUMIFS(BD!$X$3:$X$5001,BD!$B$3:$B$5001,C$208,BD!$A$3:$A$5001,_xlfn.MAXIFS(BD!$A$3:$A$5001,BD!$B$3:$B$5001,C$208,BD!$A$3:$A$5001,"&gt;="&amp;$C$7,BD!$A$3:$A$5001,"&lt;="&amp;$B222,BD!$X$3:$X$5001,"&lt;&gt;"))))</f>
        <v/>
      </c>
      <c r="D222" s="42" t="str">
        <f>IF(OR($B222="",$A222&gt;$B$9),"",IF(COUNTIFS(BD!$B$3:$B$5001,D$208,BD!$A$3:$A$5001,"&gt;="&amp;$C$7,BD!$A$3:$A$5001,"&lt;="&amp;$B222,BD!$X$3:$X$5001,"&lt;&gt;")=0,"",SUMIFS(BD!$X$3:$X$5001,BD!$B$3:$B$5001,D$208,BD!$A$3:$A$5001,_xlfn.MAXIFS(BD!$A$3:$A$5001,BD!$B$3:$B$5001,D$208,BD!$A$3:$A$5001,"&gt;="&amp;$C$7,BD!$A$3:$A$5001,"&lt;="&amp;$B222,BD!$X$3:$X$5001,"&lt;&gt;"))))</f>
        <v/>
      </c>
      <c r="E222" s="42" t="str">
        <f>IF(OR($B222="",$A222&gt;$B$9),"",IF(COUNTIFS(BD!$B$3:$B$5001,E$208,BD!$A$3:$A$5001,"&gt;="&amp;$C$7,BD!$A$3:$A$5001,"&lt;="&amp;$B222,BD!$X$3:$X$5001,"&lt;&gt;")=0,"",SUMIFS(BD!$X$3:$X$5001,BD!$B$3:$B$5001,E$208,BD!$A$3:$A$5001,_xlfn.MAXIFS(BD!$A$3:$A$5001,BD!$B$3:$B$5001,E$208,BD!$A$3:$A$5001,"&gt;="&amp;$C$7,BD!$A$3:$A$5001,"&lt;="&amp;$B222,BD!$X$3:$X$5001,"&lt;&gt;"))))</f>
        <v/>
      </c>
      <c r="F222" s="42" t="str">
        <f>IF(OR($B222="",$A222&gt;$B$9),"",IF(COUNTIFS(BD!$B$3:$B$5001,F$208,BD!$A$3:$A$5001,"&gt;="&amp;$C$7,BD!$A$3:$A$5001,"&lt;="&amp;$B222,BD!$X$3:$X$5001,"&lt;&gt;")=0,"",SUMIFS(BD!$X$3:$X$5001,BD!$B$3:$B$5001,F$208,BD!$A$3:$A$5001,_xlfn.MAXIFS(BD!$A$3:$A$5001,BD!$B$3:$B$5001,F$208,BD!$A$3:$A$5001,"&gt;="&amp;$C$7,BD!$A$3:$A$5001,"&lt;="&amp;$B222,BD!$X$3:$X$5001,"&lt;&gt;"))))</f>
        <v/>
      </c>
      <c r="G222" s="42" t="str">
        <f>IF(OR($B222="",$A222&gt;$B$9),"",IF(COUNTIFS(BD!$B$3:$B$5001,G$208,BD!$A$3:$A$5001,"&gt;="&amp;$C$7,BD!$A$3:$A$5001,"&lt;="&amp;$B222,BD!$X$3:$X$5001,"&lt;&gt;")=0,"",SUMIFS(BD!$X$3:$X$5001,BD!$B$3:$B$5001,G$208,BD!$A$3:$A$5001,_xlfn.MAXIFS(BD!$A$3:$A$5001,BD!$B$3:$B$5001,G$208,BD!$A$3:$A$5001,"&gt;="&amp;$C$7,BD!$A$3:$A$5001,"&lt;="&amp;$B222,BD!$X$3:$X$5001,"&lt;&gt;"))))</f>
        <v/>
      </c>
      <c r="H222" s="42" t="str">
        <f>IF(OR($B222="",$A222&gt;$B$9),"",IF(COUNTIFS(BD!$B$3:$B$5001,H$208,BD!$A$3:$A$5001,"&gt;="&amp;$C$7,BD!$A$3:$A$5001,"&lt;="&amp;$B222,BD!$X$3:$X$5001,"&lt;&gt;")=0,"",SUMIFS(BD!$X$3:$X$5001,BD!$B$3:$B$5001,H$208,BD!$A$3:$A$5001,_xlfn.MAXIFS(BD!$A$3:$A$5001,BD!$B$3:$B$5001,H$208,BD!$A$3:$A$5001,"&gt;="&amp;$C$7,BD!$A$3:$A$5001,"&lt;="&amp;$B222,BD!$X$3:$X$5001,"&lt;&gt;"))))</f>
        <v/>
      </c>
      <c r="I222" s="42" t="str">
        <f>IF(OR($B222="",$A222&gt;$B$9),"",IF(COUNTIFS(BD!$B$3:$B$5001,I$208,BD!$A$3:$A$5001,"&gt;="&amp;$C$7,BD!$A$3:$A$5001,"&lt;="&amp;$B222,BD!$X$3:$X$5001,"&lt;&gt;")=0,"",SUMIFS(BD!$X$3:$X$5001,BD!$B$3:$B$5001,I$208,BD!$A$3:$A$5001,_xlfn.MAXIFS(BD!$A$3:$A$5001,BD!$B$3:$B$5001,I$208,BD!$A$3:$A$5001,"&gt;="&amp;$C$7,BD!$A$3:$A$5001,"&lt;="&amp;$B222,BD!$X$3:$X$5001,"&lt;&gt;"))))</f>
        <v/>
      </c>
      <c r="J222" s="42" t="str">
        <f>IF(OR($B222="",$A222&gt;$B$9),"",IF(COUNTIFS(BD!$B$3:$B$5001,J$208,BD!$A$3:$A$5001,"&gt;="&amp;$C$7,BD!$A$3:$A$5001,"&lt;="&amp;$B222,BD!$X$3:$X$5001,"&lt;&gt;")=0,"",SUMIFS(BD!$X$3:$X$5001,BD!$B$3:$B$5001,J$208,BD!$A$3:$A$5001,_xlfn.MAXIFS(BD!$A$3:$A$5001,BD!$B$3:$B$5001,J$208,BD!$A$3:$A$5001,"&gt;="&amp;$C$7,BD!$A$3:$A$5001,"&lt;="&amp;$B222,BD!$X$3:$X$5001,"&lt;&gt;"))))</f>
        <v/>
      </c>
      <c r="K222" s="42" t="str">
        <f>IF(OR($B222="",$A222&gt;$B$9),"",IF(COUNTIFS(BD!$B$3:$B$5001,K$208,BD!$A$3:$A$5001,"&gt;="&amp;$C$7,BD!$A$3:$A$5001,"&lt;="&amp;$B222,BD!$X$3:$X$5001,"&lt;&gt;")=0,"",SUMIFS(BD!$X$3:$X$5001,BD!$B$3:$B$5001,K$208,BD!$A$3:$A$5001,_xlfn.MAXIFS(BD!$A$3:$A$5001,BD!$B$3:$B$5001,K$208,BD!$A$3:$A$5001,"&gt;="&amp;$C$7,BD!$A$3:$A$5001,"&lt;="&amp;$B222,BD!$X$3:$X$5001,"&lt;&gt;"))))</f>
        <v/>
      </c>
    </row>
    <row r="223">
      <c r="A223" s="40">
        <v>15</v>
      </c>
      <c r="B223" s="41">
        <f>$B$26</f>
        <v>46310</v>
      </c>
      <c r="C223" s="42" t="str">
        <f>IF(OR($B223="",$A223&gt;$B$9),"",IF(COUNTIFS(BD!$B$3:$B$5001,C$208,BD!$A$3:$A$5001,"&gt;="&amp;$C$7,BD!$A$3:$A$5001,"&lt;="&amp;$B223,BD!$X$3:$X$5001,"&lt;&gt;")=0,"",SUMIFS(BD!$X$3:$X$5001,BD!$B$3:$B$5001,C$208,BD!$A$3:$A$5001,_xlfn.MAXIFS(BD!$A$3:$A$5001,BD!$B$3:$B$5001,C$208,BD!$A$3:$A$5001,"&gt;="&amp;$C$7,BD!$A$3:$A$5001,"&lt;="&amp;$B223,BD!$X$3:$X$5001,"&lt;&gt;"))))</f>
        <v/>
      </c>
      <c r="D223" s="42" t="str">
        <f>IF(OR($B223="",$A223&gt;$B$9),"",IF(COUNTIFS(BD!$B$3:$B$5001,D$208,BD!$A$3:$A$5001,"&gt;="&amp;$C$7,BD!$A$3:$A$5001,"&lt;="&amp;$B223,BD!$X$3:$X$5001,"&lt;&gt;")=0,"",SUMIFS(BD!$X$3:$X$5001,BD!$B$3:$B$5001,D$208,BD!$A$3:$A$5001,_xlfn.MAXIFS(BD!$A$3:$A$5001,BD!$B$3:$B$5001,D$208,BD!$A$3:$A$5001,"&gt;="&amp;$C$7,BD!$A$3:$A$5001,"&lt;="&amp;$B223,BD!$X$3:$X$5001,"&lt;&gt;"))))</f>
        <v/>
      </c>
      <c r="E223" s="42" t="str">
        <f>IF(OR($B223="",$A223&gt;$B$9),"",IF(COUNTIFS(BD!$B$3:$B$5001,E$208,BD!$A$3:$A$5001,"&gt;="&amp;$C$7,BD!$A$3:$A$5001,"&lt;="&amp;$B223,BD!$X$3:$X$5001,"&lt;&gt;")=0,"",SUMIFS(BD!$X$3:$X$5001,BD!$B$3:$B$5001,E$208,BD!$A$3:$A$5001,_xlfn.MAXIFS(BD!$A$3:$A$5001,BD!$B$3:$B$5001,E$208,BD!$A$3:$A$5001,"&gt;="&amp;$C$7,BD!$A$3:$A$5001,"&lt;="&amp;$B223,BD!$X$3:$X$5001,"&lt;&gt;"))))</f>
        <v/>
      </c>
      <c r="F223" s="42" t="str">
        <f>IF(OR($B223="",$A223&gt;$B$9),"",IF(COUNTIFS(BD!$B$3:$B$5001,F$208,BD!$A$3:$A$5001,"&gt;="&amp;$C$7,BD!$A$3:$A$5001,"&lt;="&amp;$B223,BD!$X$3:$X$5001,"&lt;&gt;")=0,"",SUMIFS(BD!$X$3:$X$5001,BD!$B$3:$B$5001,F$208,BD!$A$3:$A$5001,_xlfn.MAXIFS(BD!$A$3:$A$5001,BD!$B$3:$B$5001,F$208,BD!$A$3:$A$5001,"&gt;="&amp;$C$7,BD!$A$3:$A$5001,"&lt;="&amp;$B223,BD!$X$3:$X$5001,"&lt;&gt;"))))</f>
        <v/>
      </c>
      <c r="G223" s="42" t="str">
        <f>IF(OR($B223="",$A223&gt;$B$9),"",IF(COUNTIFS(BD!$B$3:$B$5001,G$208,BD!$A$3:$A$5001,"&gt;="&amp;$C$7,BD!$A$3:$A$5001,"&lt;="&amp;$B223,BD!$X$3:$X$5001,"&lt;&gt;")=0,"",SUMIFS(BD!$X$3:$X$5001,BD!$B$3:$B$5001,G$208,BD!$A$3:$A$5001,_xlfn.MAXIFS(BD!$A$3:$A$5001,BD!$B$3:$B$5001,G$208,BD!$A$3:$A$5001,"&gt;="&amp;$C$7,BD!$A$3:$A$5001,"&lt;="&amp;$B223,BD!$X$3:$X$5001,"&lt;&gt;"))))</f>
        <v/>
      </c>
      <c r="H223" s="42" t="str">
        <f>IF(OR($B223="",$A223&gt;$B$9),"",IF(COUNTIFS(BD!$B$3:$B$5001,H$208,BD!$A$3:$A$5001,"&gt;="&amp;$C$7,BD!$A$3:$A$5001,"&lt;="&amp;$B223,BD!$X$3:$X$5001,"&lt;&gt;")=0,"",SUMIFS(BD!$X$3:$X$5001,BD!$B$3:$B$5001,H$208,BD!$A$3:$A$5001,_xlfn.MAXIFS(BD!$A$3:$A$5001,BD!$B$3:$B$5001,H$208,BD!$A$3:$A$5001,"&gt;="&amp;$C$7,BD!$A$3:$A$5001,"&lt;="&amp;$B223,BD!$X$3:$X$5001,"&lt;&gt;"))))</f>
        <v/>
      </c>
      <c r="I223" s="42" t="str">
        <f>IF(OR($B223="",$A223&gt;$B$9),"",IF(COUNTIFS(BD!$B$3:$B$5001,I$208,BD!$A$3:$A$5001,"&gt;="&amp;$C$7,BD!$A$3:$A$5001,"&lt;="&amp;$B223,BD!$X$3:$X$5001,"&lt;&gt;")=0,"",SUMIFS(BD!$X$3:$X$5001,BD!$B$3:$B$5001,I$208,BD!$A$3:$A$5001,_xlfn.MAXIFS(BD!$A$3:$A$5001,BD!$B$3:$B$5001,I$208,BD!$A$3:$A$5001,"&gt;="&amp;$C$7,BD!$A$3:$A$5001,"&lt;="&amp;$B223,BD!$X$3:$X$5001,"&lt;&gt;"))))</f>
        <v/>
      </c>
      <c r="J223" s="42" t="str">
        <f>IF(OR($B223="",$A223&gt;$B$9),"",IF(COUNTIFS(BD!$B$3:$B$5001,J$208,BD!$A$3:$A$5001,"&gt;="&amp;$C$7,BD!$A$3:$A$5001,"&lt;="&amp;$B223,BD!$X$3:$X$5001,"&lt;&gt;")=0,"",SUMIFS(BD!$X$3:$X$5001,BD!$B$3:$B$5001,J$208,BD!$A$3:$A$5001,_xlfn.MAXIFS(BD!$A$3:$A$5001,BD!$B$3:$B$5001,J$208,BD!$A$3:$A$5001,"&gt;="&amp;$C$7,BD!$A$3:$A$5001,"&lt;="&amp;$B223,BD!$X$3:$X$5001,"&lt;&gt;"))))</f>
        <v/>
      </c>
      <c r="K223" s="42" t="str">
        <f>IF(OR($B223="",$A223&gt;$B$9),"",IF(COUNTIFS(BD!$B$3:$B$5001,K$208,BD!$A$3:$A$5001,"&gt;="&amp;$C$7,BD!$A$3:$A$5001,"&lt;="&amp;$B223,BD!$X$3:$X$5001,"&lt;&gt;")=0,"",SUMIFS(BD!$X$3:$X$5001,BD!$B$3:$B$5001,K$208,BD!$A$3:$A$5001,_xlfn.MAXIFS(BD!$A$3:$A$5001,BD!$B$3:$B$5001,K$208,BD!$A$3:$A$5001,"&gt;="&amp;$C$7,BD!$A$3:$A$5001,"&lt;="&amp;$B223,BD!$X$3:$X$5001,"&lt;&gt;"))))</f>
        <v/>
      </c>
    </row>
    <row r="224">
      <c r="A224" s="40">
        <v>16</v>
      </c>
      <c r="B224" s="41">
        <f>$B$27</f>
        <v>46311</v>
      </c>
      <c r="C224" s="42" t="str">
        <f>IF(OR($B224="",$A224&gt;$B$9),"",IF(COUNTIFS(BD!$B$3:$B$5001,C$208,BD!$A$3:$A$5001,"&gt;="&amp;$C$7,BD!$A$3:$A$5001,"&lt;="&amp;$B224,BD!$X$3:$X$5001,"&lt;&gt;")=0,"",SUMIFS(BD!$X$3:$X$5001,BD!$B$3:$B$5001,C$208,BD!$A$3:$A$5001,_xlfn.MAXIFS(BD!$A$3:$A$5001,BD!$B$3:$B$5001,C$208,BD!$A$3:$A$5001,"&gt;="&amp;$C$7,BD!$A$3:$A$5001,"&lt;="&amp;$B224,BD!$X$3:$X$5001,"&lt;&gt;"))))</f>
        <v/>
      </c>
      <c r="D224" s="42" t="str">
        <f>IF(OR($B224="",$A224&gt;$B$9),"",IF(COUNTIFS(BD!$B$3:$B$5001,D$208,BD!$A$3:$A$5001,"&gt;="&amp;$C$7,BD!$A$3:$A$5001,"&lt;="&amp;$B224,BD!$X$3:$X$5001,"&lt;&gt;")=0,"",SUMIFS(BD!$X$3:$X$5001,BD!$B$3:$B$5001,D$208,BD!$A$3:$A$5001,_xlfn.MAXIFS(BD!$A$3:$A$5001,BD!$B$3:$B$5001,D$208,BD!$A$3:$A$5001,"&gt;="&amp;$C$7,BD!$A$3:$A$5001,"&lt;="&amp;$B224,BD!$X$3:$X$5001,"&lt;&gt;"))))</f>
        <v/>
      </c>
      <c r="E224" s="42" t="str">
        <f>IF(OR($B224="",$A224&gt;$B$9),"",IF(COUNTIFS(BD!$B$3:$B$5001,E$208,BD!$A$3:$A$5001,"&gt;="&amp;$C$7,BD!$A$3:$A$5001,"&lt;="&amp;$B224,BD!$X$3:$X$5001,"&lt;&gt;")=0,"",SUMIFS(BD!$X$3:$X$5001,BD!$B$3:$B$5001,E$208,BD!$A$3:$A$5001,_xlfn.MAXIFS(BD!$A$3:$A$5001,BD!$B$3:$B$5001,E$208,BD!$A$3:$A$5001,"&gt;="&amp;$C$7,BD!$A$3:$A$5001,"&lt;="&amp;$B224,BD!$X$3:$X$5001,"&lt;&gt;"))))</f>
        <v/>
      </c>
      <c r="F224" s="42" t="str">
        <f>IF(OR($B224="",$A224&gt;$B$9),"",IF(COUNTIFS(BD!$B$3:$B$5001,F$208,BD!$A$3:$A$5001,"&gt;="&amp;$C$7,BD!$A$3:$A$5001,"&lt;="&amp;$B224,BD!$X$3:$X$5001,"&lt;&gt;")=0,"",SUMIFS(BD!$X$3:$X$5001,BD!$B$3:$B$5001,F$208,BD!$A$3:$A$5001,_xlfn.MAXIFS(BD!$A$3:$A$5001,BD!$B$3:$B$5001,F$208,BD!$A$3:$A$5001,"&gt;="&amp;$C$7,BD!$A$3:$A$5001,"&lt;="&amp;$B224,BD!$X$3:$X$5001,"&lt;&gt;"))))</f>
        <v/>
      </c>
      <c r="G224" s="42" t="str">
        <f>IF(OR($B224="",$A224&gt;$B$9),"",IF(COUNTIFS(BD!$B$3:$B$5001,G$208,BD!$A$3:$A$5001,"&gt;="&amp;$C$7,BD!$A$3:$A$5001,"&lt;="&amp;$B224,BD!$X$3:$X$5001,"&lt;&gt;")=0,"",SUMIFS(BD!$X$3:$X$5001,BD!$B$3:$B$5001,G$208,BD!$A$3:$A$5001,_xlfn.MAXIFS(BD!$A$3:$A$5001,BD!$B$3:$B$5001,G$208,BD!$A$3:$A$5001,"&gt;="&amp;$C$7,BD!$A$3:$A$5001,"&lt;="&amp;$B224,BD!$X$3:$X$5001,"&lt;&gt;"))))</f>
        <v/>
      </c>
      <c r="H224" s="42" t="str">
        <f>IF(OR($B224="",$A224&gt;$B$9),"",IF(COUNTIFS(BD!$B$3:$B$5001,H$208,BD!$A$3:$A$5001,"&gt;="&amp;$C$7,BD!$A$3:$A$5001,"&lt;="&amp;$B224,BD!$X$3:$X$5001,"&lt;&gt;")=0,"",SUMIFS(BD!$X$3:$X$5001,BD!$B$3:$B$5001,H$208,BD!$A$3:$A$5001,_xlfn.MAXIFS(BD!$A$3:$A$5001,BD!$B$3:$B$5001,H$208,BD!$A$3:$A$5001,"&gt;="&amp;$C$7,BD!$A$3:$A$5001,"&lt;="&amp;$B224,BD!$X$3:$X$5001,"&lt;&gt;"))))</f>
        <v/>
      </c>
      <c r="I224" s="42" t="str">
        <f>IF(OR($B224="",$A224&gt;$B$9),"",IF(COUNTIFS(BD!$B$3:$B$5001,I$208,BD!$A$3:$A$5001,"&gt;="&amp;$C$7,BD!$A$3:$A$5001,"&lt;="&amp;$B224,BD!$X$3:$X$5001,"&lt;&gt;")=0,"",SUMIFS(BD!$X$3:$X$5001,BD!$B$3:$B$5001,I$208,BD!$A$3:$A$5001,_xlfn.MAXIFS(BD!$A$3:$A$5001,BD!$B$3:$B$5001,I$208,BD!$A$3:$A$5001,"&gt;="&amp;$C$7,BD!$A$3:$A$5001,"&lt;="&amp;$B224,BD!$X$3:$X$5001,"&lt;&gt;"))))</f>
        <v/>
      </c>
      <c r="J224" s="42" t="str">
        <f>IF(OR($B224="",$A224&gt;$B$9),"",IF(COUNTIFS(BD!$B$3:$B$5001,J$208,BD!$A$3:$A$5001,"&gt;="&amp;$C$7,BD!$A$3:$A$5001,"&lt;="&amp;$B224,BD!$X$3:$X$5001,"&lt;&gt;")=0,"",SUMIFS(BD!$X$3:$X$5001,BD!$B$3:$B$5001,J$208,BD!$A$3:$A$5001,_xlfn.MAXIFS(BD!$A$3:$A$5001,BD!$B$3:$B$5001,J$208,BD!$A$3:$A$5001,"&gt;="&amp;$C$7,BD!$A$3:$A$5001,"&lt;="&amp;$B224,BD!$X$3:$X$5001,"&lt;&gt;"))))</f>
        <v/>
      </c>
      <c r="K224" s="42" t="str">
        <f>IF(OR($B224="",$A224&gt;$B$9),"",IF(COUNTIFS(BD!$B$3:$B$5001,K$208,BD!$A$3:$A$5001,"&gt;="&amp;$C$7,BD!$A$3:$A$5001,"&lt;="&amp;$B224,BD!$X$3:$X$5001,"&lt;&gt;")=0,"",SUMIFS(BD!$X$3:$X$5001,BD!$B$3:$B$5001,K$208,BD!$A$3:$A$5001,_xlfn.MAXIFS(BD!$A$3:$A$5001,BD!$B$3:$B$5001,K$208,BD!$A$3:$A$5001,"&gt;="&amp;$C$7,BD!$A$3:$A$5001,"&lt;="&amp;$B224,BD!$X$3:$X$5001,"&lt;&gt;"))))</f>
        <v/>
      </c>
    </row>
    <row r="225">
      <c r="A225" s="40">
        <v>17</v>
      </c>
      <c r="B225" s="41">
        <f>$B$28</f>
        <v>46312</v>
      </c>
      <c r="C225" s="42" t="str">
        <f>IF(OR($B225="",$A225&gt;$B$9),"",IF(COUNTIFS(BD!$B$3:$B$5001,C$208,BD!$A$3:$A$5001,"&gt;="&amp;$C$7,BD!$A$3:$A$5001,"&lt;="&amp;$B225,BD!$X$3:$X$5001,"&lt;&gt;")=0,"",SUMIFS(BD!$X$3:$X$5001,BD!$B$3:$B$5001,C$208,BD!$A$3:$A$5001,_xlfn.MAXIFS(BD!$A$3:$A$5001,BD!$B$3:$B$5001,C$208,BD!$A$3:$A$5001,"&gt;="&amp;$C$7,BD!$A$3:$A$5001,"&lt;="&amp;$B225,BD!$X$3:$X$5001,"&lt;&gt;"))))</f>
        <v/>
      </c>
      <c r="D225" s="42" t="str">
        <f>IF(OR($B225="",$A225&gt;$B$9),"",IF(COUNTIFS(BD!$B$3:$B$5001,D$208,BD!$A$3:$A$5001,"&gt;="&amp;$C$7,BD!$A$3:$A$5001,"&lt;="&amp;$B225,BD!$X$3:$X$5001,"&lt;&gt;")=0,"",SUMIFS(BD!$X$3:$X$5001,BD!$B$3:$B$5001,D$208,BD!$A$3:$A$5001,_xlfn.MAXIFS(BD!$A$3:$A$5001,BD!$B$3:$B$5001,D$208,BD!$A$3:$A$5001,"&gt;="&amp;$C$7,BD!$A$3:$A$5001,"&lt;="&amp;$B225,BD!$X$3:$X$5001,"&lt;&gt;"))))</f>
        <v/>
      </c>
      <c r="E225" s="42" t="str">
        <f>IF(OR($B225="",$A225&gt;$B$9),"",IF(COUNTIFS(BD!$B$3:$B$5001,E$208,BD!$A$3:$A$5001,"&gt;="&amp;$C$7,BD!$A$3:$A$5001,"&lt;="&amp;$B225,BD!$X$3:$X$5001,"&lt;&gt;")=0,"",SUMIFS(BD!$X$3:$X$5001,BD!$B$3:$B$5001,E$208,BD!$A$3:$A$5001,_xlfn.MAXIFS(BD!$A$3:$A$5001,BD!$B$3:$B$5001,E$208,BD!$A$3:$A$5001,"&gt;="&amp;$C$7,BD!$A$3:$A$5001,"&lt;="&amp;$B225,BD!$X$3:$X$5001,"&lt;&gt;"))))</f>
        <v/>
      </c>
      <c r="F225" s="42" t="str">
        <f>IF(OR($B225="",$A225&gt;$B$9),"",IF(COUNTIFS(BD!$B$3:$B$5001,F$208,BD!$A$3:$A$5001,"&gt;="&amp;$C$7,BD!$A$3:$A$5001,"&lt;="&amp;$B225,BD!$X$3:$X$5001,"&lt;&gt;")=0,"",SUMIFS(BD!$X$3:$X$5001,BD!$B$3:$B$5001,F$208,BD!$A$3:$A$5001,_xlfn.MAXIFS(BD!$A$3:$A$5001,BD!$B$3:$B$5001,F$208,BD!$A$3:$A$5001,"&gt;="&amp;$C$7,BD!$A$3:$A$5001,"&lt;="&amp;$B225,BD!$X$3:$X$5001,"&lt;&gt;"))))</f>
        <v/>
      </c>
      <c r="G225" s="42" t="str">
        <f>IF(OR($B225="",$A225&gt;$B$9),"",IF(COUNTIFS(BD!$B$3:$B$5001,G$208,BD!$A$3:$A$5001,"&gt;="&amp;$C$7,BD!$A$3:$A$5001,"&lt;="&amp;$B225,BD!$X$3:$X$5001,"&lt;&gt;")=0,"",SUMIFS(BD!$X$3:$X$5001,BD!$B$3:$B$5001,G$208,BD!$A$3:$A$5001,_xlfn.MAXIFS(BD!$A$3:$A$5001,BD!$B$3:$B$5001,G$208,BD!$A$3:$A$5001,"&gt;="&amp;$C$7,BD!$A$3:$A$5001,"&lt;="&amp;$B225,BD!$X$3:$X$5001,"&lt;&gt;"))))</f>
        <v/>
      </c>
      <c r="H225" s="42" t="str">
        <f>IF(OR($B225="",$A225&gt;$B$9),"",IF(COUNTIFS(BD!$B$3:$B$5001,H$208,BD!$A$3:$A$5001,"&gt;="&amp;$C$7,BD!$A$3:$A$5001,"&lt;="&amp;$B225,BD!$X$3:$X$5001,"&lt;&gt;")=0,"",SUMIFS(BD!$X$3:$X$5001,BD!$B$3:$B$5001,H$208,BD!$A$3:$A$5001,_xlfn.MAXIFS(BD!$A$3:$A$5001,BD!$B$3:$B$5001,H$208,BD!$A$3:$A$5001,"&gt;="&amp;$C$7,BD!$A$3:$A$5001,"&lt;="&amp;$B225,BD!$X$3:$X$5001,"&lt;&gt;"))))</f>
        <v/>
      </c>
      <c r="I225" s="42" t="str">
        <f>IF(OR($B225="",$A225&gt;$B$9),"",IF(COUNTIFS(BD!$B$3:$B$5001,I$208,BD!$A$3:$A$5001,"&gt;="&amp;$C$7,BD!$A$3:$A$5001,"&lt;="&amp;$B225,BD!$X$3:$X$5001,"&lt;&gt;")=0,"",SUMIFS(BD!$X$3:$X$5001,BD!$B$3:$B$5001,I$208,BD!$A$3:$A$5001,_xlfn.MAXIFS(BD!$A$3:$A$5001,BD!$B$3:$B$5001,I$208,BD!$A$3:$A$5001,"&gt;="&amp;$C$7,BD!$A$3:$A$5001,"&lt;="&amp;$B225,BD!$X$3:$X$5001,"&lt;&gt;"))))</f>
        <v/>
      </c>
      <c r="J225" s="42" t="str">
        <f>IF(OR($B225="",$A225&gt;$B$9),"",IF(COUNTIFS(BD!$B$3:$B$5001,J$208,BD!$A$3:$A$5001,"&gt;="&amp;$C$7,BD!$A$3:$A$5001,"&lt;="&amp;$B225,BD!$X$3:$X$5001,"&lt;&gt;")=0,"",SUMIFS(BD!$X$3:$X$5001,BD!$B$3:$B$5001,J$208,BD!$A$3:$A$5001,_xlfn.MAXIFS(BD!$A$3:$A$5001,BD!$B$3:$B$5001,J$208,BD!$A$3:$A$5001,"&gt;="&amp;$C$7,BD!$A$3:$A$5001,"&lt;="&amp;$B225,BD!$X$3:$X$5001,"&lt;&gt;"))))</f>
        <v/>
      </c>
      <c r="K225" s="42" t="str">
        <f>IF(OR($B225="",$A225&gt;$B$9),"",IF(COUNTIFS(BD!$B$3:$B$5001,K$208,BD!$A$3:$A$5001,"&gt;="&amp;$C$7,BD!$A$3:$A$5001,"&lt;="&amp;$B225,BD!$X$3:$X$5001,"&lt;&gt;")=0,"",SUMIFS(BD!$X$3:$X$5001,BD!$B$3:$B$5001,K$208,BD!$A$3:$A$5001,_xlfn.MAXIFS(BD!$A$3:$A$5001,BD!$B$3:$B$5001,K$208,BD!$A$3:$A$5001,"&gt;="&amp;$C$7,BD!$A$3:$A$5001,"&lt;="&amp;$B225,BD!$X$3:$X$5001,"&lt;&gt;"))))</f>
        <v/>
      </c>
    </row>
    <row r="226">
      <c r="A226" s="40">
        <v>18</v>
      </c>
      <c r="B226" s="41">
        <f>$B$29</f>
        <v>46313</v>
      </c>
      <c r="C226" s="42" t="str">
        <f>IF(OR($B226="",$A226&gt;$B$9),"",IF(COUNTIFS(BD!$B$3:$B$5001,C$208,BD!$A$3:$A$5001,"&gt;="&amp;$C$7,BD!$A$3:$A$5001,"&lt;="&amp;$B226,BD!$X$3:$X$5001,"&lt;&gt;")=0,"",SUMIFS(BD!$X$3:$X$5001,BD!$B$3:$B$5001,C$208,BD!$A$3:$A$5001,_xlfn.MAXIFS(BD!$A$3:$A$5001,BD!$B$3:$B$5001,C$208,BD!$A$3:$A$5001,"&gt;="&amp;$C$7,BD!$A$3:$A$5001,"&lt;="&amp;$B226,BD!$X$3:$X$5001,"&lt;&gt;"))))</f>
        <v/>
      </c>
      <c r="D226" s="42" t="str">
        <f>IF(OR($B226="",$A226&gt;$B$9),"",IF(COUNTIFS(BD!$B$3:$B$5001,D$208,BD!$A$3:$A$5001,"&gt;="&amp;$C$7,BD!$A$3:$A$5001,"&lt;="&amp;$B226,BD!$X$3:$X$5001,"&lt;&gt;")=0,"",SUMIFS(BD!$X$3:$X$5001,BD!$B$3:$B$5001,D$208,BD!$A$3:$A$5001,_xlfn.MAXIFS(BD!$A$3:$A$5001,BD!$B$3:$B$5001,D$208,BD!$A$3:$A$5001,"&gt;="&amp;$C$7,BD!$A$3:$A$5001,"&lt;="&amp;$B226,BD!$X$3:$X$5001,"&lt;&gt;"))))</f>
        <v/>
      </c>
      <c r="E226" s="42" t="str">
        <f>IF(OR($B226="",$A226&gt;$B$9),"",IF(COUNTIFS(BD!$B$3:$B$5001,E$208,BD!$A$3:$A$5001,"&gt;="&amp;$C$7,BD!$A$3:$A$5001,"&lt;="&amp;$B226,BD!$X$3:$X$5001,"&lt;&gt;")=0,"",SUMIFS(BD!$X$3:$X$5001,BD!$B$3:$B$5001,E$208,BD!$A$3:$A$5001,_xlfn.MAXIFS(BD!$A$3:$A$5001,BD!$B$3:$B$5001,E$208,BD!$A$3:$A$5001,"&gt;="&amp;$C$7,BD!$A$3:$A$5001,"&lt;="&amp;$B226,BD!$X$3:$X$5001,"&lt;&gt;"))))</f>
        <v/>
      </c>
      <c r="F226" s="42" t="str">
        <f>IF(OR($B226="",$A226&gt;$B$9),"",IF(COUNTIFS(BD!$B$3:$B$5001,F$208,BD!$A$3:$A$5001,"&gt;="&amp;$C$7,BD!$A$3:$A$5001,"&lt;="&amp;$B226,BD!$X$3:$X$5001,"&lt;&gt;")=0,"",SUMIFS(BD!$X$3:$X$5001,BD!$B$3:$B$5001,F$208,BD!$A$3:$A$5001,_xlfn.MAXIFS(BD!$A$3:$A$5001,BD!$B$3:$B$5001,F$208,BD!$A$3:$A$5001,"&gt;="&amp;$C$7,BD!$A$3:$A$5001,"&lt;="&amp;$B226,BD!$X$3:$X$5001,"&lt;&gt;"))))</f>
        <v/>
      </c>
      <c r="G226" s="42" t="str">
        <f>IF(OR($B226="",$A226&gt;$B$9),"",IF(COUNTIFS(BD!$B$3:$B$5001,G$208,BD!$A$3:$A$5001,"&gt;="&amp;$C$7,BD!$A$3:$A$5001,"&lt;="&amp;$B226,BD!$X$3:$X$5001,"&lt;&gt;")=0,"",SUMIFS(BD!$X$3:$X$5001,BD!$B$3:$B$5001,G$208,BD!$A$3:$A$5001,_xlfn.MAXIFS(BD!$A$3:$A$5001,BD!$B$3:$B$5001,G$208,BD!$A$3:$A$5001,"&gt;="&amp;$C$7,BD!$A$3:$A$5001,"&lt;="&amp;$B226,BD!$X$3:$X$5001,"&lt;&gt;"))))</f>
        <v/>
      </c>
      <c r="H226" s="42" t="str">
        <f>IF(OR($B226="",$A226&gt;$B$9),"",IF(COUNTIFS(BD!$B$3:$B$5001,H$208,BD!$A$3:$A$5001,"&gt;="&amp;$C$7,BD!$A$3:$A$5001,"&lt;="&amp;$B226,BD!$X$3:$X$5001,"&lt;&gt;")=0,"",SUMIFS(BD!$X$3:$X$5001,BD!$B$3:$B$5001,H$208,BD!$A$3:$A$5001,_xlfn.MAXIFS(BD!$A$3:$A$5001,BD!$B$3:$B$5001,H$208,BD!$A$3:$A$5001,"&gt;="&amp;$C$7,BD!$A$3:$A$5001,"&lt;="&amp;$B226,BD!$X$3:$X$5001,"&lt;&gt;"))))</f>
        <v/>
      </c>
      <c r="I226" s="42" t="str">
        <f>IF(OR($B226="",$A226&gt;$B$9),"",IF(COUNTIFS(BD!$B$3:$B$5001,I$208,BD!$A$3:$A$5001,"&gt;="&amp;$C$7,BD!$A$3:$A$5001,"&lt;="&amp;$B226,BD!$X$3:$X$5001,"&lt;&gt;")=0,"",SUMIFS(BD!$X$3:$X$5001,BD!$B$3:$B$5001,I$208,BD!$A$3:$A$5001,_xlfn.MAXIFS(BD!$A$3:$A$5001,BD!$B$3:$B$5001,I$208,BD!$A$3:$A$5001,"&gt;="&amp;$C$7,BD!$A$3:$A$5001,"&lt;="&amp;$B226,BD!$X$3:$X$5001,"&lt;&gt;"))))</f>
        <v/>
      </c>
      <c r="J226" s="42" t="str">
        <f>IF(OR($B226="",$A226&gt;$B$9),"",IF(COUNTIFS(BD!$B$3:$B$5001,J$208,BD!$A$3:$A$5001,"&gt;="&amp;$C$7,BD!$A$3:$A$5001,"&lt;="&amp;$B226,BD!$X$3:$X$5001,"&lt;&gt;")=0,"",SUMIFS(BD!$X$3:$X$5001,BD!$B$3:$B$5001,J$208,BD!$A$3:$A$5001,_xlfn.MAXIFS(BD!$A$3:$A$5001,BD!$B$3:$B$5001,J$208,BD!$A$3:$A$5001,"&gt;="&amp;$C$7,BD!$A$3:$A$5001,"&lt;="&amp;$B226,BD!$X$3:$X$5001,"&lt;&gt;"))))</f>
        <v/>
      </c>
      <c r="K226" s="42" t="str">
        <f>IF(OR($B226="",$A226&gt;$B$9),"",IF(COUNTIFS(BD!$B$3:$B$5001,K$208,BD!$A$3:$A$5001,"&gt;="&amp;$C$7,BD!$A$3:$A$5001,"&lt;="&amp;$B226,BD!$X$3:$X$5001,"&lt;&gt;")=0,"",SUMIFS(BD!$X$3:$X$5001,BD!$B$3:$B$5001,K$208,BD!$A$3:$A$5001,_xlfn.MAXIFS(BD!$A$3:$A$5001,BD!$B$3:$B$5001,K$208,BD!$A$3:$A$5001,"&gt;="&amp;$C$7,BD!$A$3:$A$5001,"&lt;="&amp;$B226,BD!$X$3:$X$5001,"&lt;&gt;"))))</f>
        <v/>
      </c>
    </row>
    <row r="227">
      <c r="A227" s="40">
        <v>19</v>
      </c>
      <c r="B227" s="41">
        <f>$B$30</f>
        <v>46314</v>
      </c>
      <c r="C227" s="42" t="str">
        <f>IF(OR($B227="",$A227&gt;$B$9),"",IF(COUNTIFS(BD!$B$3:$B$5001,C$208,BD!$A$3:$A$5001,"&gt;="&amp;$C$7,BD!$A$3:$A$5001,"&lt;="&amp;$B227,BD!$X$3:$X$5001,"&lt;&gt;")=0,"",SUMIFS(BD!$X$3:$X$5001,BD!$B$3:$B$5001,C$208,BD!$A$3:$A$5001,_xlfn.MAXIFS(BD!$A$3:$A$5001,BD!$B$3:$B$5001,C$208,BD!$A$3:$A$5001,"&gt;="&amp;$C$7,BD!$A$3:$A$5001,"&lt;="&amp;$B227,BD!$X$3:$X$5001,"&lt;&gt;"))))</f>
        <v/>
      </c>
      <c r="D227" s="42" t="str">
        <f>IF(OR($B227="",$A227&gt;$B$9),"",IF(COUNTIFS(BD!$B$3:$B$5001,D$208,BD!$A$3:$A$5001,"&gt;="&amp;$C$7,BD!$A$3:$A$5001,"&lt;="&amp;$B227,BD!$X$3:$X$5001,"&lt;&gt;")=0,"",SUMIFS(BD!$X$3:$X$5001,BD!$B$3:$B$5001,D$208,BD!$A$3:$A$5001,_xlfn.MAXIFS(BD!$A$3:$A$5001,BD!$B$3:$B$5001,D$208,BD!$A$3:$A$5001,"&gt;="&amp;$C$7,BD!$A$3:$A$5001,"&lt;="&amp;$B227,BD!$X$3:$X$5001,"&lt;&gt;"))))</f>
        <v/>
      </c>
      <c r="E227" s="42" t="str">
        <f>IF(OR($B227="",$A227&gt;$B$9),"",IF(COUNTIFS(BD!$B$3:$B$5001,E$208,BD!$A$3:$A$5001,"&gt;="&amp;$C$7,BD!$A$3:$A$5001,"&lt;="&amp;$B227,BD!$X$3:$X$5001,"&lt;&gt;")=0,"",SUMIFS(BD!$X$3:$X$5001,BD!$B$3:$B$5001,E$208,BD!$A$3:$A$5001,_xlfn.MAXIFS(BD!$A$3:$A$5001,BD!$B$3:$B$5001,E$208,BD!$A$3:$A$5001,"&gt;="&amp;$C$7,BD!$A$3:$A$5001,"&lt;="&amp;$B227,BD!$X$3:$X$5001,"&lt;&gt;"))))</f>
        <v/>
      </c>
      <c r="F227" s="42" t="str">
        <f>IF(OR($B227="",$A227&gt;$B$9),"",IF(COUNTIFS(BD!$B$3:$B$5001,F$208,BD!$A$3:$A$5001,"&gt;="&amp;$C$7,BD!$A$3:$A$5001,"&lt;="&amp;$B227,BD!$X$3:$X$5001,"&lt;&gt;")=0,"",SUMIFS(BD!$X$3:$X$5001,BD!$B$3:$B$5001,F$208,BD!$A$3:$A$5001,_xlfn.MAXIFS(BD!$A$3:$A$5001,BD!$B$3:$B$5001,F$208,BD!$A$3:$A$5001,"&gt;="&amp;$C$7,BD!$A$3:$A$5001,"&lt;="&amp;$B227,BD!$X$3:$X$5001,"&lt;&gt;"))))</f>
        <v/>
      </c>
      <c r="G227" s="42" t="str">
        <f>IF(OR($B227="",$A227&gt;$B$9),"",IF(COUNTIFS(BD!$B$3:$B$5001,G$208,BD!$A$3:$A$5001,"&gt;="&amp;$C$7,BD!$A$3:$A$5001,"&lt;="&amp;$B227,BD!$X$3:$X$5001,"&lt;&gt;")=0,"",SUMIFS(BD!$X$3:$X$5001,BD!$B$3:$B$5001,G$208,BD!$A$3:$A$5001,_xlfn.MAXIFS(BD!$A$3:$A$5001,BD!$B$3:$B$5001,G$208,BD!$A$3:$A$5001,"&gt;="&amp;$C$7,BD!$A$3:$A$5001,"&lt;="&amp;$B227,BD!$X$3:$X$5001,"&lt;&gt;"))))</f>
        <v/>
      </c>
      <c r="H227" s="42" t="str">
        <f>IF(OR($B227="",$A227&gt;$B$9),"",IF(COUNTIFS(BD!$B$3:$B$5001,H$208,BD!$A$3:$A$5001,"&gt;="&amp;$C$7,BD!$A$3:$A$5001,"&lt;="&amp;$B227,BD!$X$3:$X$5001,"&lt;&gt;")=0,"",SUMIFS(BD!$X$3:$X$5001,BD!$B$3:$B$5001,H$208,BD!$A$3:$A$5001,_xlfn.MAXIFS(BD!$A$3:$A$5001,BD!$B$3:$B$5001,H$208,BD!$A$3:$A$5001,"&gt;="&amp;$C$7,BD!$A$3:$A$5001,"&lt;="&amp;$B227,BD!$X$3:$X$5001,"&lt;&gt;"))))</f>
        <v/>
      </c>
      <c r="I227" s="42" t="str">
        <f>IF(OR($B227="",$A227&gt;$B$9),"",IF(COUNTIFS(BD!$B$3:$B$5001,I$208,BD!$A$3:$A$5001,"&gt;="&amp;$C$7,BD!$A$3:$A$5001,"&lt;="&amp;$B227,BD!$X$3:$X$5001,"&lt;&gt;")=0,"",SUMIFS(BD!$X$3:$X$5001,BD!$B$3:$B$5001,I$208,BD!$A$3:$A$5001,_xlfn.MAXIFS(BD!$A$3:$A$5001,BD!$B$3:$B$5001,I$208,BD!$A$3:$A$5001,"&gt;="&amp;$C$7,BD!$A$3:$A$5001,"&lt;="&amp;$B227,BD!$X$3:$X$5001,"&lt;&gt;"))))</f>
        <v/>
      </c>
      <c r="J227" s="42" t="str">
        <f>IF(OR($B227="",$A227&gt;$B$9),"",IF(COUNTIFS(BD!$B$3:$B$5001,J$208,BD!$A$3:$A$5001,"&gt;="&amp;$C$7,BD!$A$3:$A$5001,"&lt;="&amp;$B227,BD!$X$3:$X$5001,"&lt;&gt;")=0,"",SUMIFS(BD!$X$3:$X$5001,BD!$B$3:$B$5001,J$208,BD!$A$3:$A$5001,_xlfn.MAXIFS(BD!$A$3:$A$5001,BD!$B$3:$B$5001,J$208,BD!$A$3:$A$5001,"&gt;="&amp;$C$7,BD!$A$3:$A$5001,"&lt;="&amp;$B227,BD!$X$3:$X$5001,"&lt;&gt;"))))</f>
        <v/>
      </c>
      <c r="K227" s="42" t="str">
        <f>IF(OR($B227="",$A227&gt;$B$9),"",IF(COUNTIFS(BD!$B$3:$B$5001,K$208,BD!$A$3:$A$5001,"&gt;="&amp;$C$7,BD!$A$3:$A$5001,"&lt;="&amp;$B227,BD!$X$3:$X$5001,"&lt;&gt;")=0,"",SUMIFS(BD!$X$3:$X$5001,BD!$B$3:$B$5001,K$208,BD!$A$3:$A$5001,_xlfn.MAXIFS(BD!$A$3:$A$5001,BD!$B$3:$B$5001,K$208,BD!$A$3:$A$5001,"&gt;="&amp;$C$7,BD!$A$3:$A$5001,"&lt;="&amp;$B227,BD!$X$3:$X$5001,"&lt;&gt;"))))</f>
        <v/>
      </c>
    </row>
    <row r="228">
      <c r="A228" s="40">
        <v>20</v>
      </c>
      <c r="B228" s="41">
        <f>$B$31</f>
        <v>46315</v>
      </c>
      <c r="C228" s="42" t="str">
        <f>IF(OR($B228="",$A228&gt;$B$9),"",IF(COUNTIFS(BD!$B$3:$B$5001,C$208,BD!$A$3:$A$5001,"&gt;="&amp;$C$7,BD!$A$3:$A$5001,"&lt;="&amp;$B228,BD!$X$3:$X$5001,"&lt;&gt;")=0,"",SUMIFS(BD!$X$3:$X$5001,BD!$B$3:$B$5001,C$208,BD!$A$3:$A$5001,_xlfn.MAXIFS(BD!$A$3:$A$5001,BD!$B$3:$B$5001,C$208,BD!$A$3:$A$5001,"&gt;="&amp;$C$7,BD!$A$3:$A$5001,"&lt;="&amp;$B228,BD!$X$3:$X$5001,"&lt;&gt;"))))</f>
        <v/>
      </c>
      <c r="D228" s="42" t="str">
        <f>IF(OR($B228="",$A228&gt;$B$9),"",IF(COUNTIFS(BD!$B$3:$B$5001,D$208,BD!$A$3:$A$5001,"&gt;="&amp;$C$7,BD!$A$3:$A$5001,"&lt;="&amp;$B228,BD!$X$3:$X$5001,"&lt;&gt;")=0,"",SUMIFS(BD!$X$3:$X$5001,BD!$B$3:$B$5001,D$208,BD!$A$3:$A$5001,_xlfn.MAXIFS(BD!$A$3:$A$5001,BD!$B$3:$B$5001,D$208,BD!$A$3:$A$5001,"&gt;="&amp;$C$7,BD!$A$3:$A$5001,"&lt;="&amp;$B228,BD!$X$3:$X$5001,"&lt;&gt;"))))</f>
        <v/>
      </c>
      <c r="E228" s="42" t="str">
        <f>IF(OR($B228="",$A228&gt;$B$9),"",IF(COUNTIFS(BD!$B$3:$B$5001,E$208,BD!$A$3:$A$5001,"&gt;="&amp;$C$7,BD!$A$3:$A$5001,"&lt;="&amp;$B228,BD!$X$3:$X$5001,"&lt;&gt;")=0,"",SUMIFS(BD!$X$3:$X$5001,BD!$B$3:$B$5001,E$208,BD!$A$3:$A$5001,_xlfn.MAXIFS(BD!$A$3:$A$5001,BD!$B$3:$B$5001,E$208,BD!$A$3:$A$5001,"&gt;="&amp;$C$7,BD!$A$3:$A$5001,"&lt;="&amp;$B228,BD!$X$3:$X$5001,"&lt;&gt;"))))</f>
        <v/>
      </c>
      <c r="F228" s="42" t="str">
        <f>IF(OR($B228="",$A228&gt;$B$9),"",IF(COUNTIFS(BD!$B$3:$B$5001,F$208,BD!$A$3:$A$5001,"&gt;="&amp;$C$7,BD!$A$3:$A$5001,"&lt;="&amp;$B228,BD!$X$3:$X$5001,"&lt;&gt;")=0,"",SUMIFS(BD!$X$3:$X$5001,BD!$B$3:$B$5001,F$208,BD!$A$3:$A$5001,_xlfn.MAXIFS(BD!$A$3:$A$5001,BD!$B$3:$B$5001,F$208,BD!$A$3:$A$5001,"&gt;="&amp;$C$7,BD!$A$3:$A$5001,"&lt;="&amp;$B228,BD!$X$3:$X$5001,"&lt;&gt;"))))</f>
        <v/>
      </c>
      <c r="G228" s="42" t="str">
        <f>IF(OR($B228="",$A228&gt;$B$9),"",IF(COUNTIFS(BD!$B$3:$B$5001,G$208,BD!$A$3:$A$5001,"&gt;="&amp;$C$7,BD!$A$3:$A$5001,"&lt;="&amp;$B228,BD!$X$3:$X$5001,"&lt;&gt;")=0,"",SUMIFS(BD!$X$3:$X$5001,BD!$B$3:$B$5001,G$208,BD!$A$3:$A$5001,_xlfn.MAXIFS(BD!$A$3:$A$5001,BD!$B$3:$B$5001,G$208,BD!$A$3:$A$5001,"&gt;="&amp;$C$7,BD!$A$3:$A$5001,"&lt;="&amp;$B228,BD!$X$3:$X$5001,"&lt;&gt;"))))</f>
        <v/>
      </c>
      <c r="H228" s="42" t="str">
        <f>IF(OR($B228="",$A228&gt;$B$9),"",IF(COUNTIFS(BD!$B$3:$B$5001,H$208,BD!$A$3:$A$5001,"&gt;="&amp;$C$7,BD!$A$3:$A$5001,"&lt;="&amp;$B228,BD!$X$3:$X$5001,"&lt;&gt;")=0,"",SUMIFS(BD!$X$3:$X$5001,BD!$B$3:$B$5001,H$208,BD!$A$3:$A$5001,_xlfn.MAXIFS(BD!$A$3:$A$5001,BD!$B$3:$B$5001,H$208,BD!$A$3:$A$5001,"&gt;="&amp;$C$7,BD!$A$3:$A$5001,"&lt;="&amp;$B228,BD!$X$3:$X$5001,"&lt;&gt;"))))</f>
        <v/>
      </c>
      <c r="I228" s="42" t="str">
        <f>IF(OR($B228="",$A228&gt;$B$9),"",IF(COUNTIFS(BD!$B$3:$B$5001,I$208,BD!$A$3:$A$5001,"&gt;="&amp;$C$7,BD!$A$3:$A$5001,"&lt;="&amp;$B228,BD!$X$3:$X$5001,"&lt;&gt;")=0,"",SUMIFS(BD!$X$3:$X$5001,BD!$B$3:$B$5001,I$208,BD!$A$3:$A$5001,_xlfn.MAXIFS(BD!$A$3:$A$5001,BD!$B$3:$B$5001,I$208,BD!$A$3:$A$5001,"&gt;="&amp;$C$7,BD!$A$3:$A$5001,"&lt;="&amp;$B228,BD!$X$3:$X$5001,"&lt;&gt;"))))</f>
        <v/>
      </c>
      <c r="J228" s="42" t="str">
        <f>IF(OR($B228="",$A228&gt;$B$9),"",IF(COUNTIFS(BD!$B$3:$B$5001,J$208,BD!$A$3:$A$5001,"&gt;="&amp;$C$7,BD!$A$3:$A$5001,"&lt;="&amp;$B228,BD!$X$3:$X$5001,"&lt;&gt;")=0,"",SUMIFS(BD!$X$3:$X$5001,BD!$B$3:$B$5001,J$208,BD!$A$3:$A$5001,_xlfn.MAXIFS(BD!$A$3:$A$5001,BD!$B$3:$B$5001,J$208,BD!$A$3:$A$5001,"&gt;="&amp;$C$7,BD!$A$3:$A$5001,"&lt;="&amp;$B228,BD!$X$3:$X$5001,"&lt;&gt;"))))</f>
        <v/>
      </c>
      <c r="K228" s="42" t="str">
        <f>IF(OR($B228="",$A228&gt;$B$9),"",IF(COUNTIFS(BD!$B$3:$B$5001,K$208,BD!$A$3:$A$5001,"&gt;="&amp;$C$7,BD!$A$3:$A$5001,"&lt;="&amp;$B228,BD!$X$3:$X$5001,"&lt;&gt;")=0,"",SUMIFS(BD!$X$3:$X$5001,BD!$B$3:$B$5001,K$208,BD!$A$3:$A$5001,_xlfn.MAXIFS(BD!$A$3:$A$5001,BD!$B$3:$B$5001,K$208,BD!$A$3:$A$5001,"&gt;="&amp;$C$7,BD!$A$3:$A$5001,"&lt;="&amp;$B228,BD!$X$3:$X$5001,"&lt;&gt;"))))</f>
        <v/>
      </c>
    </row>
    <row r="229">
      <c r="A229" s="40">
        <v>21</v>
      </c>
      <c r="B229" s="41">
        <f>$B$32</f>
        <v>46316</v>
      </c>
      <c r="C229" s="42" t="str">
        <f>IF(OR($B229="",$A229&gt;$B$9),"",IF(COUNTIFS(BD!$B$3:$B$5001,C$208,BD!$A$3:$A$5001,"&gt;="&amp;$C$7,BD!$A$3:$A$5001,"&lt;="&amp;$B229,BD!$X$3:$X$5001,"&lt;&gt;")=0,"",SUMIFS(BD!$X$3:$X$5001,BD!$B$3:$B$5001,C$208,BD!$A$3:$A$5001,_xlfn.MAXIFS(BD!$A$3:$A$5001,BD!$B$3:$B$5001,C$208,BD!$A$3:$A$5001,"&gt;="&amp;$C$7,BD!$A$3:$A$5001,"&lt;="&amp;$B229,BD!$X$3:$X$5001,"&lt;&gt;"))))</f>
        <v/>
      </c>
      <c r="D229" s="42" t="str">
        <f>IF(OR($B229="",$A229&gt;$B$9),"",IF(COUNTIFS(BD!$B$3:$B$5001,D$208,BD!$A$3:$A$5001,"&gt;="&amp;$C$7,BD!$A$3:$A$5001,"&lt;="&amp;$B229,BD!$X$3:$X$5001,"&lt;&gt;")=0,"",SUMIFS(BD!$X$3:$X$5001,BD!$B$3:$B$5001,D$208,BD!$A$3:$A$5001,_xlfn.MAXIFS(BD!$A$3:$A$5001,BD!$B$3:$B$5001,D$208,BD!$A$3:$A$5001,"&gt;="&amp;$C$7,BD!$A$3:$A$5001,"&lt;="&amp;$B229,BD!$X$3:$X$5001,"&lt;&gt;"))))</f>
        <v/>
      </c>
      <c r="E229" s="42" t="str">
        <f>IF(OR($B229="",$A229&gt;$B$9),"",IF(COUNTIFS(BD!$B$3:$B$5001,E$208,BD!$A$3:$A$5001,"&gt;="&amp;$C$7,BD!$A$3:$A$5001,"&lt;="&amp;$B229,BD!$X$3:$X$5001,"&lt;&gt;")=0,"",SUMIFS(BD!$X$3:$X$5001,BD!$B$3:$B$5001,E$208,BD!$A$3:$A$5001,_xlfn.MAXIFS(BD!$A$3:$A$5001,BD!$B$3:$B$5001,E$208,BD!$A$3:$A$5001,"&gt;="&amp;$C$7,BD!$A$3:$A$5001,"&lt;="&amp;$B229,BD!$X$3:$X$5001,"&lt;&gt;"))))</f>
        <v/>
      </c>
      <c r="F229" s="42" t="str">
        <f>IF(OR($B229="",$A229&gt;$B$9),"",IF(COUNTIFS(BD!$B$3:$B$5001,F$208,BD!$A$3:$A$5001,"&gt;="&amp;$C$7,BD!$A$3:$A$5001,"&lt;="&amp;$B229,BD!$X$3:$X$5001,"&lt;&gt;")=0,"",SUMIFS(BD!$X$3:$X$5001,BD!$B$3:$B$5001,F$208,BD!$A$3:$A$5001,_xlfn.MAXIFS(BD!$A$3:$A$5001,BD!$B$3:$B$5001,F$208,BD!$A$3:$A$5001,"&gt;="&amp;$C$7,BD!$A$3:$A$5001,"&lt;="&amp;$B229,BD!$X$3:$X$5001,"&lt;&gt;"))))</f>
        <v/>
      </c>
      <c r="G229" s="42" t="str">
        <f>IF(OR($B229="",$A229&gt;$B$9),"",IF(COUNTIFS(BD!$B$3:$B$5001,G$208,BD!$A$3:$A$5001,"&gt;="&amp;$C$7,BD!$A$3:$A$5001,"&lt;="&amp;$B229,BD!$X$3:$X$5001,"&lt;&gt;")=0,"",SUMIFS(BD!$X$3:$X$5001,BD!$B$3:$B$5001,G$208,BD!$A$3:$A$5001,_xlfn.MAXIFS(BD!$A$3:$A$5001,BD!$B$3:$B$5001,G$208,BD!$A$3:$A$5001,"&gt;="&amp;$C$7,BD!$A$3:$A$5001,"&lt;="&amp;$B229,BD!$X$3:$X$5001,"&lt;&gt;"))))</f>
        <v/>
      </c>
      <c r="H229" s="42" t="str">
        <f>IF(OR($B229="",$A229&gt;$B$9),"",IF(COUNTIFS(BD!$B$3:$B$5001,H$208,BD!$A$3:$A$5001,"&gt;="&amp;$C$7,BD!$A$3:$A$5001,"&lt;="&amp;$B229,BD!$X$3:$X$5001,"&lt;&gt;")=0,"",SUMIFS(BD!$X$3:$X$5001,BD!$B$3:$B$5001,H$208,BD!$A$3:$A$5001,_xlfn.MAXIFS(BD!$A$3:$A$5001,BD!$B$3:$B$5001,H$208,BD!$A$3:$A$5001,"&gt;="&amp;$C$7,BD!$A$3:$A$5001,"&lt;="&amp;$B229,BD!$X$3:$X$5001,"&lt;&gt;"))))</f>
        <v/>
      </c>
      <c r="I229" s="42" t="str">
        <f>IF(OR($B229="",$A229&gt;$B$9),"",IF(COUNTIFS(BD!$B$3:$B$5001,I$208,BD!$A$3:$A$5001,"&gt;="&amp;$C$7,BD!$A$3:$A$5001,"&lt;="&amp;$B229,BD!$X$3:$X$5001,"&lt;&gt;")=0,"",SUMIFS(BD!$X$3:$X$5001,BD!$B$3:$B$5001,I$208,BD!$A$3:$A$5001,_xlfn.MAXIFS(BD!$A$3:$A$5001,BD!$B$3:$B$5001,I$208,BD!$A$3:$A$5001,"&gt;="&amp;$C$7,BD!$A$3:$A$5001,"&lt;="&amp;$B229,BD!$X$3:$X$5001,"&lt;&gt;"))))</f>
        <v/>
      </c>
      <c r="J229" s="42" t="str">
        <f>IF(OR($B229="",$A229&gt;$B$9),"",IF(COUNTIFS(BD!$B$3:$B$5001,J$208,BD!$A$3:$A$5001,"&gt;="&amp;$C$7,BD!$A$3:$A$5001,"&lt;="&amp;$B229,BD!$X$3:$X$5001,"&lt;&gt;")=0,"",SUMIFS(BD!$X$3:$X$5001,BD!$B$3:$B$5001,J$208,BD!$A$3:$A$5001,_xlfn.MAXIFS(BD!$A$3:$A$5001,BD!$B$3:$B$5001,J$208,BD!$A$3:$A$5001,"&gt;="&amp;$C$7,BD!$A$3:$A$5001,"&lt;="&amp;$B229,BD!$X$3:$X$5001,"&lt;&gt;"))))</f>
        <v/>
      </c>
      <c r="K229" s="42" t="str">
        <f>IF(OR($B229="",$A229&gt;$B$9),"",IF(COUNTIFS(BD!$B$3:$B$5001,K$208,BD!$A$3:$A$5001,"&gt;="&amp;$C$7,BD!$A$3:$A$5001,"&lt;="&amp;$B229,BD!$X$3:$X$5001,"&lt;&gt;")=0,"",SUMIFS(BD!$X$3:$X$5001,BD!$B$3:$B$5001,K$208,BD!$A$3:$A$5001,_xlfn.MAXIFS(BD!$A$3:$A$5001,BD!$B$3:$B$5001,K$208,BD!$A$3:$A$5001,"&gt;="&amp;$C$7,BD!$A$3:$A$5001,"&lt;="&amp;$B229,BD!$X$3:$X$5001,"&lt;&gt;"))))</f>
        <v/>
      </c>
    </row>
    <row r="230">
      <c r="A230" s="40">
        <v>22</v>
      </c>
      <c r="B230" s="41">
        <f>$B$33</f>
        <v>46317</v>
      </c>
      <c r="C230" s="42" t="str">
        <f>IF(OR($B230="",$A230&gt;$B$9),"",IF(COUNTIFS(BD!$B$3:$B$5001,C$208,BD!$A$3:$A$5001,"&gt;="&amp;$C$7,BD!$A$3:$A$5001,"&lt;="&amp;$B230,BD!$X$3:$X$5001,"&lt;&gt;")=0,"",SUMIFS(BD!$X$3:$X$5001,BD!$B$3:$B$5001,C$208,BD!$A$3:$A$5001,_xlfn.MAXIFS(BD!$A$3:$A$5001,BD!$B$3:$B$5001,C$208,BD!$A$3:$A$5001,"&gt;="&amp;$C$7,BD!$A$3:$A$5001,"&lt;="&amp;$B230,BD!$X$3:$X$5001,"&lt;&gt;"))))</f>
        <v/>
      </c>
      <c r="D230" s="42" t="str">
        <f>IF(OR($B230="",$A230&gt;$B$9),"",IF(COUNTIFS(BD!$B$3:$B$5001,D$208,BD!$A$3:$A$5001,"&gt;="&amp;$C$7,BD!$A$3:$A$5001,"&lt;="&amp;$B230,BD!$X$3:$X$5001,"&lt;&gt;")=0,"",SUMIFS(BD!$X$3:$X$5001,BD!$B$3:$B$5001,D$208,BD!$A$3:$A$5001,_xlfn.MAXIFS(BD!$A$3:$A$5001,BD!$B$3:$B$5001,D$208,BD!$A$3:$A$5001,"&gt;="&amp;$C$7,BD!$A$3:$A$5001,"&lt;="&amp;$B230,BD!$X$3:$X$5001,"&lt;&gt;"))))</f>
        <v/>
      </c>
      <c r="E230" s="42" t="str">
        <f>IF(OR($B230="",$A230&gt;$B$9),"",IF(COUNTIFS(BD!$B$3:$B$5001,E$208,BD!$A$3:$A$5001,"&gt;="&amp;$C$7,BD!$A$3:$A$5001,"&lt;="&amp;$B230,BD!$X$3:$X$5001,"&lt;&gt;")=0,"",SUMIFS(BD!$X$3:$X$5001,BD!$B$3:$B$5001,E$208,BD!$A$3:$A$5001,_xlfn.MAXIFS(BD!$A$3:$A$5001,BD!$B$3:$B$5001,E$208,BD!$A$3:$A$5001,"&gt;="&amp;$C$7,BD!$A$3:$A$5001,"&lt;="&amp;$B230,BD!$X$3:$X$5001,"&lt;&gt;"))))</f>
        <v/>
      </c>
      <c r="F230" s="42" t="str">
        <f>IF(OR($B230="",$A230&gt;$B$9),"",IF(COUNTIFS(BD!$B$3:$B$5001,F$208,BD!$A$3:$A$5001,"&gt;="&amp;$C$7,BD!$A$3:$A$5001,"&lt;="&amp;$B230,BD!$X$3:$X$5001,"&lt;&gt;")=0,"",SUMIFS(BD!$X$3:$X$5001,BD!$B$3:$B$5001,F$208,BD!$A$3:$A$5001,_xlfn.MAXIFS(BD!$A$3:$A$5001,BD!$B$3:$B$5001,F$208,BD!$A$3:$A$5001,"&gt;="&amp;$C$7,BD!$A$3:$A$5001,"&lt;="&amp;$B230,BD!$X$3:$X$5001,"&lt;&gt;"))))</f>
        <v/>
      </c>
      <c r="G230" s="42" t="str">
        <f>IF(OR($B230="",$A230&gt;$B$9),"",IF(COUNTIFS(BD!$B$3:$B$5001,G$208,BD!$A$3:$A$5001,"&gt;="&amp;$C$7,BD!$A$3:$A$5001,"&lt;="&amp;$B230,BD!$X$3:$X$5001,"&lt;&gt;")=0,"",SUMIFS(BD!$X$3:$X$5001,BD!$B$3:$B$5001,G$208,BD!$A$3:$A$5001,_xlfn.MAXIFS(BD!$A$3:$A$5001,BD!$B$3:$B$5001,G$208,BD!$A$3:$A$5001,"&gt;="&amp;$C$7,BD!$A$3:$A$5001,"&lt;="&amp;$B230,BD!$X$3:$X$5001,"&lt;&gt;"))))</f>
        <v/>
      </c>
      <c r="H230" s="42" t="str">
        <f>IF(OR($B230="",$A230&gt;$B$9),"",IF(COUNTIFS(BD!$B$3:$B$5001,H$208,BD!$A$3:$A$5001,"&gt;="&amp;$C$7,BD!$A$3:$A$5001,"&lt;="&amp;$B230,BD!$X$3:$X$5001,"&lt;&gt;")=0,"",SUMIFS(BD!$X$3:$X$5001,BD!$B$3:$B$5001,H$208,BD!$A$3:$A$5001,_xlfn.MAXIFS(BD!$A$3:$A$5001,BD!$B$3:$B$5001,H$208,BD!$A$3:$A$5001,"&gt;="&amp;$C$7,BD!$A$3:$A$5001,"&lt;="&amp;$B230,BD!$X$3:$X$5001,"&lt;&gt;"))))</f>
        <v/>
      </c>
      <c r="I230" s="42" t="str">
        <f>IF(OR($B230="",$A230&gt;$B$9),"",IF(COUNTIFS(BD!$B$3:$B$5001,I$208,BD!$A$3:$A$5001,"&gt;="&amp;$C$7,BD!$A$3:$A$5001,"&lt;="&amp;$B230,BD!$X$3:$X$5001,"&lt;&gt;")=0,"",SUMIFS(BD!$X$3:$X$5001,BD!$B$3:$B$5001,I$208,BD!$A$3:$A$5001,_xlfn.MAXIFS(BD!$A$3:$A$5001,BD!$B$3:$B$5001,I$208,BD!$A$3:$A$5001,"&gt;="&amp;$C$7,BD!$A$3:$A$5001,"&lt;="&amp;$B230,BD!$X$3:$X$5001,"&lt;&gt;"))))</f>
        <v/>
      </c>
      <c r="J230" s="42" t="str">
        <f>IF(OR($B230="",$A230&gt;$B$9),"",IF(COUNTIFS(BD!$B$3:$B$5001,J$208,BD!$A$3:$A$5001,"&gt;="&amp;$C$7,BD!$A$3:$A$5001,"&lt;="&amp;$B230,BD!$X$3:$X$5001,"&lt;&gt;")=0,"",SUMIFS(BD!$X$3:$X$5001,BD!$B$3:$B$5001,J$208,BD!$A$3:$A$5001,_xlfn.MAXIFS(BD!$A$3:$A$5001,BD!$B$3:$B$5001,J$208,BD!$A$3:$A$5001,"&gt;="&amp;$C$7,BD!$A$3:$A$5001,"&lt;="&amp;$B230,BD!$X$3:$X$5001,"&lt;&gt;"))))</f>
        <v/>
      </c>
      <c r="K230" s="42" t="str">
        <f>IF(OR($B230="",$A230&gt;$B$9),"",IF(COUNTIFS(BD!$B$3:$B$5001,K$208,BD!$A$3:$A$5001,"&gt;="&amp;$C$7,BD!$A$3:$A$5001,"&lt;="&amp;$B230,BD!$X$3:$X$5001,"&lt;&gt;")=0,"",SUMIFS(BD!$X$3:$X$5001,BD!$B$3:$B$5001,K$208,BD!$A$3:$A$5001,_xlfn.MAXIFS(BD!$A$3:$A$5001,BD!$B$3:$B$5001,K$208,BD!$A$3:$A$5001,"&gt;="&amp;$C$7,BD!$A$3:$A$5001,"&lt;="&amp;$B230,BD!$X$3:$X$5001,"&lt;&gt;"))))</f>
        <v/>
      </c>
    </row>
    <row r="231">
      <c r="A231" s="40">
        <v>23</v>
      </c>
      <c r="B231" s="41">
        <f>$B$34</f>
        <v>46318</v>
      </c>
      <c r="C231" s="42" t="str">
        <f>IF(OR($B231="",$A231&gt;$B$9),"",IF(COUNTIFS(BD!$B$3:$B$5001,C$208,BD!$A$3:$A$5001,"&gt;="&amp;$C$7,BD!$A$3:$A$5001,"&lt;="&amp;$B231,BD!$X$3:$X$5001,"&lt;&gt;")=0,"",SUMIFS(BD!$X$3:$X$5001,BD!$B$3:$B$5001,C$208,BD!$A$3:$A$5001,_xlfn.MAXIFS(BD!$A$3:$A$5001,BD!$B$3:$B$5001,C$208,BD!$A$3:$A$5001,"&gt;="&amp;$C$7,BD!$A$3:$A$5001,"&lt;="&amp;$B231,BD!$X$3:$X$5001,"&lt;&gt;"))))</f>
        <v/>
      </c>
      <c r="D231" s="42" t="str">
        <f>IF(OR($B231="",$A231&gt;$B$9),"",IF(COUNTIFS(BD!$B$3:$B$5001,D$208,BD!$A$3:$A$5001,"&gt;="&amp;$C$7,BD!$A$3:$A$5001,"&lt;="&amp;$B231,BD!$X$3:$X$5001,"&lt;&gt;")=0,"",SUMIFS(BD!$X$3:$X$5001,BD!$B$3:$B$5001,D$208,BD!$A$3:$A$5001,_xlfn.MAXIFS(BD!$A$3:$A$5001,BD!$B$3:$B$5001,D$208,BD!$A$3:$A$5001,"&gt;="&amp;$C$7,BD!$A$3:$A$5001,"&lt;="&amp;$B231,BD!$X$3:$X$5001,"&lt;&gt;"))))</f>
        <v/>
      </c>
      <c r="E231" s="42" t="str">
        <f>IF(OR($B231="",$A231&gt;$B$9),"",IF(COUNTIFS(BD!$B$3:$B$5001,E$208,BD!$A$3:$A$5001,"&gt;="&amp;$C$7,BD!$A$3:$A$5001,"&lt;="&amp;$B231,BD!$X$3:$X$5001,"&lt;&gt;")=0,"",SUMIFS(BD!$X$3:$X$5001,BD!$B$3:$B$5001,E$208,BD!$A$3:$A$5001,_xlfn.MAXIFS(BD!$A$3:$A$5001,BD!$B$3:$B$5001,E$208,BD!$A$3:$A$5001,"&gt;="&amp;$C$7,BD!$A$3:$A$5001,"&lt;="&amp;$B231,BD!$X$3:$X$5001,"&lt;&gt;"))))</f>
        <v/>
      </c>
      <c r="F231" s="42" t="str">
        <f>IF(OR($B231="",$A231&gt;$B$9),"",IF(COUNTIFS(BD!$B$3:$B$5001,F$208,BD!$A$3:$A$5001,"&gt;="&amp;$C$7,BD!$A$3:$A$5001,"&lt;="&amp;$B231,BD!$X$3:$X$5001,"&lt;&gt;")=0,"",SUMIFS(BD!$X$3:$X$5001,BD!$B$3:$B$5001,F$208,BD!$A$3:$A$5001,_xlfn.MAXIFS(BD!$A$3:$A$5001,BD!$B$3:$B$5001,F$208,BD!$A$3:$A$5001,"&gt;="&amp;$C$7,BD!$A$3:$A$5001,"&lt;="&amp;$B231,BD!$X$3:$X$5001,"&lt;&gt;"))))</f>
        <v/>
      </c>
      <c r="G231" s="42" t="str">
        <f>IF(OR($B231="",$A231&gt;$B$9),"",IF(COUNTIFS(BD!$B$3:$B$5001,G$208,BD!$A$3:$A$5001,"&gt;="&amp;$C$7,BD!$A$3:$A$5001,"&lt;="&amp;$B231,BD!$X$3:$X$5001,"&lt;&gt;")=0,"",SUMIFS(BD!$X$3:$X$5001,BD!$B$3:$B$5001,G$208,BD!$A$3:$A$5001,_xlfn.MAXIFS(BD!$A$3:$A$5001,BD!$B$3:$B$5001,G$208,BD!$A$3:$A$5001,"&gt;="&amp;$C$7,BD!$A$3:$A$5001,"&lt;="&amp;$B231,BD!$X$3:$X$5001,"&lt;&gt;"))))</f>
        <v/>
      </c>
      <c r="H231" s="42" t="str">
        <f>IF(OR($B231="",$A231&gt;$B$9),"",IF(COUNTIFS(BD!$B$3:$B$5001,H$208,BD!$A$3:$A$5001,"&gt;="&amp;$C$7,BD!$A$3:$A$5001,"&lt;="&amp;$B231,BD!$X$3:$X$5001,"&lt;&gt;")=0,"",SUMIFS(BD!$X$3:$X$5001,BD!$B$3:$B$5001,H$208,BD!$A$3:$A$5001,_xlfn.MAXIFS(BD!$A$3:$A$5001,BD!$B$3:$B$5001,H$208,BD!$A$3:$A$5001,"&gt;="&amp;$C$7,BD!$A$3:$A$5001,"&lt;="&amp;$B231,BD!$X$3:$X$5001,"&lt;&gt;"))))</f>
        <v/>
      </c>
      <c r="I231" s="42" t="str">
        <f>IF(OR($B231="",$A231&gt;$B$9),"",IF(COUNTIFS(BD!$B$3:$B$5001,I$208,BD!$A$3:$A$5001,"&gt;="&amp;$C$7,BD!$A$3:$A$5001,"&lt;="&amp;$B231,BD!$X$3:$X$5001,"&lt;&gt;")=0,"",SUMIFS(BD!$X$3:$X$5001,BD!$B$3:$B$5001,I$208,BD!$A$3:$A$5001,_xlfn.MAXIFS(BD!$A$3:$A$5001,BD!$B$3:$B$5001,I$208,BD!$A$3:$A$5001,"&gt;="&amp;$C$7,BD!$A$3:$A$5001,"&lt;="&amp;$B231,BD!$X$3:$X$5001,"&lt;&gt;"))))</f>
        <v/>
      </c>
      <c r="J231" s="42" t="str">
        <f>IF(OR($B231="",$A231&gt;$B$9),"",IF(COUNTIFS(BD!$B$3:$B$5001,J$208,BD!$A$3:$A$5001,"&gt;="&amp;$C$7,BD!$A$3:$A$5001,"&lt;="&amp;$B231,BD!$X$3:$X$5001,"&lt;&gt;")=0,"",SUMIFS(BD!$X$3:$X$5001,BD!$B$3:$B$5001,J$208,BD!$A$3:$A$5001,_xlfn.MAXIFS(BD!$A$3:$A$5001,BD!$B$3:$B$5001,J$208,BD!$A$3:$A$5001,"&gt;="&amp;$C$7,BD!$A$3:$A$5001,"&lt;="&amp;$B231,BD!$X$3:$X$5001,"&lt;&gt;"))))</f>
        <v/>
      </c>
      <c r="K231" s="42" t="str">
        <f>IF(OR($B231="",$A231&gt;$B$9),"",IF(COUNTIFS(BD!$B$3:$B$5001,K$208,BD!$A$3:$A$5001,"&gt;="&amp;$C$7,BD!$A$3:$A$5001,"&lt;="&amp;$B231,BD!$X$3:$X$5001,"&lt;&gt;")=0,"",SUMIFS(BD!$X$3:$X$5001,BD!$B$3:$B$5001,K$208,BD!$A$3:$A$5001,_xlfn.MAXIFS(BD!$A$3:$A$5001,BD!$B$3:$B$5001,K$208,BD!$A$3:$A$5001,"&gt;="&amp;$C$7,BD!$A$3:$A$5001,"&lt;="&amp;$B231,BD!$X$3:$X$5001,"&lt;&gt;"))))</f>
        <v/>
      </c>
    </row>
    <row r="232">
      <c r="A232" s="40">
        <v>24</v>
      </c>
      <c r="B232" s="41">
        <f>$B$35</f>
        <v>46319</v>
      </c>
      <c r="C232" s="42" t="str">
        <f>IF(OR($B232="",$A232&gt;$B$9),"",IF(COUNTIFS(BD!$B$3:$B$5001,C$208,BD!$A$3:$A$5001,"&gt;="&amp;$C$7,BD!$A$3:$A$5001,"&lt;="&amp;$B232,BD!$X$3:$X$5001,"&lt;&gt;")=0,"",SUMIFS(BD!$X$3:$X$5001,BD!$B$3:$B$5001,C$208,BD!$A$3:$A$5001,_xlfn.MAXIFS(BD!$A$3:$A$5001,BD!$B$3:$B$5001,C$208,BD!$A$3:$A$5001,"&gt;="&amp;$C$7,BD!$A$3:$A$5001,"&lt;="&amp;$B232,BD!$X$3:$X$5001,"&lt;&gt;"))))</f>
        <v/>
      </c>
      <c r="D232" s="42" t="str">
        <f>IF(OR($B232="",$A232&gt;$B$9),"",IF(COUNTIFS(BD!$B$3:$B$5001,D$208,BD!$A$3:$A$5001,"&gt;="&amp;$C$7,BD!$A$3:$A$5001,"&lt;="&amp;$B232,BD!$X$3:$X$5001,"&lt;&gt;")=0,"",SUMIFS(BD!$X$3:$X$5001,BD!$B$3:$B$5001,D$208,BD!$A$3:$A$5001,_xlfn.MAXIFS(BD!$A$3:$A$5001,BD!$B$3:$B$5001,D$208,BD!$A$3:$A$5001,"&gt;="&amp;$C$7,BD!$A$3:$A$5001,"&lt;="&amp;$B232,BD!$X$3:$X$5001,"&lt;&gt;"))))</f>
        <v/>
      </c>
      <c r="E232" s="42" t="str">
        <f>IF(OR($B232="",$A232&gt;$B$9),"",IF(COUNTIFS(BD!$B$3:$B$5001,E$208,BD!$A$3:$A$5001,"&gt;="&amp;$C$7,BD!$A$3:$A$5001,"&lt;="&amp;$B232,BD!$X$3:$X$5001,"&lt;&gt;")=0,"",SUMIFS(BD!$X$3:$X$5001,BD!$B$3:$B$5001,E$208,BD!$A$3:$A$5001,_xlfn.MAXIFS(BD!$A$3:$A$5001,BD!$B$3:$B$5001,E$208,BD!$A$3:$A$5001,"&gt;="&amp;$C$7,BD!$A$3:$A$5001,"&lt;="&amp;$B232,BD!$X$3:$X$5001,"&lt;&gt;"))))</f>
        <v/>
      </c>
      <c r="F232" s="42" t="str">
        <f>IF(OR($B232="",$A232&gt;$B$9),"",IF(COUNTIFS(BD!$B$3:$B$5001,F$208,BD!$A$3:$A$5001,"&gt;="&amp;$C$7,BD!$A$3:$A$5001,"&lt;="&amp;$B232,BD!$X$3:$X$5001,"&lt;&gt;")=0,"",SUMIFS(BD!$X$3:$X$5001,BD!$B$3:$B$5001,F$208,BD!$A$3:$A$5001,_xlfn.MAXIFS(BD!$A$3:$A$5001,BD!$B$3:$B$5001,F$208,BD!$A$3:$A$5001,"&gt;="&amp;$C$7,BD!$A$3:$A$5001,"&lt;="&amp;$B232,BD!$X$3:$X$5001,"&lt;&gt;"))))</f>
        <v/>
      </c>
      <c r="G232" s="42" t="str">
        <f>IF(OR($B232="",$A232&gt;$B$9),"",IF(COUNTIFS(BD!$B$3:$B$5001,G$208,BD!$A$3:$A$5001,"&gt;="&amp;$C$7,BD!$A$3:$A$5001,"&lt;="&amp;$B232,BD!$X$3:$X$5001,"&lt;&gt;")=0,"",SUMIFS(BD!$X$3:$X$5001,BD!$B$3:$B$5001,G$208,BD!$A$3:$A$5001,_xlfn.MAXIFS(BD!$A$3:$A$5001,BD!$B$3:$B$5001,G$208,BD!$A$3:$A$5001,"&gt;="&amp;$C$7,BD!$A$3:$A$5001,"&lt;="&amp;$B232,BD!$X$3:$X$5001,"&lt;&gt;"))))</f>
        <v/>
      </c>
      <c r="H232" s="42" t="str">
        <f>IF(OR($B232="",$A232&gt;$B$9),"",IF(COUNTIFS(BD!$B$3:$B$5001,H$208,BD!$A$3:$A$5001,"&gt;="&amp;$C$7,BD!$A$3:$A$5001,"&lt;="&amp;$B232,BD!$X$3:$X$5001,"&lt;&gt;")=0,"",SUMIFS(BD!$X$3:$X$5001,BD!$B$3:$B$5001,H$208,BD!$A$3:$A$5001,_xlfn.MAXIFS(BD!$A$3:$A$5001,BD!$B$3:$B$5001,H$208,BD!$A$3:$A$5001,"&gt;="&amp;$C$7,BD!$A$3:$A$5001,"&lt;="&amp;$B232,BD!$X$3:$X$5001,"&lt;&gt;"))))</f>
        <v/>
      </c>
      <c r="I232" s="42" t="str">
        <f>IF(OR($B232="",$A232&gt;$B$9),"",IF(COUNTIFS(BD!$B$3:$B$5001,I$208,BD!$A$3:$A$5001,"&gt;="&amp;$C$7,BD!$A$3:$A$5001,"&lt;="&amp;$B232,BD!$X$3:$X$5001,"&lt;&gt;")=0,"",SUMIFS(BD!$X$3:$X$5001,BD!$B$3:$B$5001,I$208,BD!$A$3:$A$5001,_xlfn.MAXIFS(BD!$A$3:$A$5001,BD!$B$3:$B$5001,I$208,BD!$A$3:$A$5001,"&gt;="&amp;$C$7,BD!$A$3:$A$5001,"&lt;="&amp;$B232,BD!$X$3:$X$5001,"&lt;&gt;"))))</f>
        <v/>
      </c>
      <c r="J232" s="42" t="str">
        <f>IF(OR($B232="",$A232&gt;$B$9),"",IF(COUNTIFS(BD!$B$3:$B$5001,J$208,BD!$A$3:$A$5001,"&gt;="&amp;$C$7,BD!$A$3:$A$5001,"&lt;="&amp;$B232,BD!$X$3:$X$5001,"&lt;&gt;")=0,"",SUMIFS(BD!$X$3:$X$5001,BD!$B$3:$B$5001,J$208,BD!$A$3:$A$5001,_xlfn.MAXIFS(BD!$A$3:$A$5001,BD!$B$3:$B$5001,J$208,BD!$A$3:$A$5001,"&gt;="&amp;$C$7,BD!$A$3:$A$5001,"&lt;="&amp;$B232,BD!$X$3:$X$5001,"&lt;&gt;"))))</f>
        <v/>
      </c>
      <c r="K232" s="42" t="str">
        <f>IF(OR($B232="",$A232&gt;$B$9),"",IF(COUNTIFS(BD!$B$3:$B$5001,K$208,BD!$A$3:$A$5001,"&gt;="&amp;$C$7,BD!$A$3:$A$5001,"&lt;="&amp;$B232,BD!$X$3:$X$5001,"&lt;&gt;")=0,"",SUMIFS(BD!$X$3:$X$5001,BD!$B$3:$B$5001,K$208,BD!$A$3:$A$5001,_xlfn.MAXIFS(BD!$A$3:$A$5001,BD!$B$3:$B$5001,K$208,BD!$A$3:$A$5001,"&gt;="&amp;$C$7,BD!$A$3:$A$5001,"&lt;="&amp;$B232,BD!$X$3:$X$5001,"&lt;&gt;"))))</f>
        <v/>
      </c>
    </row>
    <row r="233">
      <c r="A233" s="40">
        <v>25</v>
      </c>
      <c r="B233" s="41">
        <f>$B$36</f>
        <v>46320</v>
      </c>
      <c r="C233" s="42" t="str">
        <f>IF(OR($B233="",$A233&gt;$B$9),"",IF(COUNTIFS(BD!$B$3:$B$5001,C$208,BD!$A$3:$A$5001,"&gt;="&amp;$C$7,BD!$A$3:$A$5001,"&lt;="&amp;$B233,BD!$X$3:$X$5001,"&lt;&gt;")=0,"",SUMIFS(BD!$X$3:$X$5001,BD!$B$3:$B$5001,C$208,BD!$A$3:$A$5001,_xlfn.MAXIFS(BD!$A$3:$A$5001,BD!$B$3:$B$5001,C$208,BD!$A$3:$A$5001,"&gt;="&amp;$C$7,BD!$A$3:$A$5001,"&lt;="&amp;$B233,BD!$X$3:$X$5001,"&lt;&gt;"))))</f>
        <v/>
      </c>
      <c r="D233" s="42" t="str">
        <f>IF(OR($B233="",$A233&gt;$B$9),"",IF(COUNTIFS(BD!$B$3:$B$5001,D$208,BD!$A$3:$A$5001,"&gt;="&amp;$C$7,BD!$A$3:$A$5001,"&lt;="&amp;$B233,BD!$X$3:$X$5001,"&lt;&gt;")=0,"",SUMIFS(BD!$X$3:$X$5001,BD!$B$3:$B$5001,D$208,BD!$A$3:$A$5001,_xlfn.MAXIFS(BD!$A$3:$A$5001,BD!$B$3:$B$5001,D$208,BD!$A$3:$A$5001,"&gt;="&amp;$C$7,BD!$A$3:$A$5001,"&lt;="&amp;$B233,BD!$X$3:$X$5001,"&lt;&gt;"))))</f>
        <v/>
      </c>
      <c r="E233" s="42" t="str">
        <f>IF(OR($B233="",$A233&gt;$B$9),"",IF(COUNTIFS(BD!$B$3:$B$5001,E$208,BD!$A$3:$A$5001,"&gt;="&amp;$C$7,BD!$A$3:$A$5001,"&lt;="&amp;$B233,BD!$X$3:$X$5001,"&lt;&gt;")=0,"",SUMIFS(BD!$X$3:$X$5001,BD!$B$3:$B$5001,E$208,BD!$A$3:$A$5001,_xlfn.MAXIFS(BD!$A$3:$A$5001,BD!$B$3:$B$5001,E$208,BD!$A$3:$A$5001,"&gt;="&amp;$C$7,BD!$A$3:$A$5001,"&lt;="&amp;$B233,BD!$X$3:$X$5001,"&lt;&gt;"))))</f>
        <v/>
      </c>
      <c r="F233" s="42" t="str">
        <f>IF(OR($B233="",$A233&gt;$B$9),"",IF(COUNTIFS(BD!$B$3:$B$5001,F$208,BD!$A$3:$A$5001,"&gt;="&amp;$C$7,BD!$A$3:$A$5001,"&lt;="&amp;$B233,BD!$X$3:$X$5001,"&lt;&gt;")=0,"",SUMIFS(BD!$X$3:$X$5001,BD!$B$3:$B$5001,F$208,BD!$A$3:$A$5001,_xlfn.MAXIFS(BD!$A$3:$A$5001,BD!$B$3:$B$5001,F$208,BD!$A$3:$A$5001,"&gt;="&amp;$C$7,BD!$A$3:$A$5001,"&lt;="&amp;$B233,BD!$X$3:$X$5001,"&lt;&gt;"))))</f>
        <v/>
      </c>
      <c r="G233" s="42" t="str">
        <f>IF(OR($B233="",$A233&gt;$B$9),"",IF(COUNTIFS(BD!$B$3:$B$5001,G$208,BD!$A$3:$A$5001,"&gt;="&amp;$C$7,BD!$A$3:$A$5001,"&lt;="&amp;$B233,BD!$X$3:$X$5001,"&lt;&gt;")=0,"",SUMIFS(BD!$X$3:$X$5001,BD!$B$3:$B$5001,G$208,BD!$A$3:$A$5001,_xlfn.MAXIFS(BD!$A$3:$A$5001,BD!$B$3:$B$5001,G$208,BD!$A$3:$A$5001,"&gt;="&amp;$C$7,BD!$A$3:$A$5001,"&lt;="&amp;$B233,BD!$X$3:$X$5001,"&lt;&gt;"))))</f>
        <v/>
      </c>
      <c r="H233" s="42" t="str">
        <f>IF(OR($B233="",$A233&gt;$B$9),"",IF(COUNTIFS(BD!$B$3:$B$5001,H$208,BD!$A$3:$A$5001,"&gt;="&amp;$C$7,BD!$A$3:$A$5001,"&lt;="&amp;$B233,BD!$X$3:$X$5001,"&lt;&gt;")=0,"",SUMIFS(BD!$X$3:$X$5001,BD!$B$3:$B$5001,H$208,BD!$A$3:$A$5001,_xlfn.MAXIFS(BD!$A$3:$A$5001,BD!$B$3:$B$5001,H$208,BD!$A$3:$A$5001,"&gt;="&amp;$C$7,BD!$A$3:$A$5001,"&lt;="&amp;$B233,BD!$X$3:$X$5001,"&lt;&gt;"))))</f>
        <v/>
      </c>
      <c r="I233" s="42" t="str">
        <f>IF(OR($B233="",$A233&gt;$B$9),"",IF(COUNTIFS(BD!$B$3:$B$5001,I$208,BD!$A$3:$A$5001,"&gt;="&amp;$C$7,BD!$A$3:$A$5001,"&lt;="&amp;$B233,BD!$X$3:$X$5001,"&lt;&gt;")=0,"",SUMIFS(BD!$X$3:$X$5001,BD!$B$3:$B$5001,I$208,BD!$A$3:$A$5001,_xlfn.MAXIFS(BD!$A$3:$A$5001,BD!$B$3:$B$5001,I$208,BD!$A$3:$A$5001,"&gt;="&amp;$C$7,BD!$A$3:$A$5001,"&lt;="&amp;$B233,BD!$X$3:$X$5001,"&lt;&gt;"))))</f>
        <v/>
      </c>
      <c r="J233" s="42" t="str">
        <f>IF(OR($B233="",$A233&gt;$B$9),"",IF(COUNTIFS(BD!$B$3:$B$5001,J$208,BD!$A$3:$A$5001,"&gt;="&amp;$C$7,BD!$A$3:$A$5001,"&lt;="&amp;$B233,BD!$X$3:$X$5001,"&lt;&gt;")=0,"",SUMIFS(BD!$X$3:$X$5001,BD!$B$3:$B$5001,J$208,BD!$A$3:$A$5001,_xlfn.MAXIFS(BD!$A$3:$A$5001,BD!$B$3:$B$5001,J$208,BD!$A$3:$A$5001,"&gt;="&amp;$C$7,BD!$A$3:$A$5001,"&lt;="&amp;$B233,BD!$X$3:$X$5001,"&lt;&gt;"))))</f>
        <v/>
      </c>
      <c r="K233" s="42" t="str">
        <f>IF(OR($B233="",$A233&gt;$B$9),"",IF(COUNTIFS(BD!$B$3:$B$5001,K$208,BD!$A$3:$A$5001,"&gt;="&amp;$C$7,BD!$A$3:$A$5001,"&lt;="&amp;$B233,BD!$X$3:$X$5001,"&lt;&gt;")=0,"",SUMIFS(BD!$X$3:$X$5001,BD!$B$3:$B$5001,K$208,BD!$A$3:$A$5001,_xlfn.MAXIFS(BD!$A$3:$A$5001,BD!$B$3:$B$5001,K$208,BD!$A$3:$A$5001,"&gt;="&amp;$C$7,BD!$A$3:$A$5001,"&lt;="&amp;$B233,BD!$X$3:$X$5001,"&lt;&gt;"))))</f>
        <v/>
      </c>
    </row>
    <row r="234">
      <c r="A234" s="40">
        <v>26</v>
      </c>
      <c r="B234" s="41">
        <f>$B$37</f>
        <v>46321</v>
      </c>
      <c r="C234" s="42" t="str">
        <f>IF(OR($B234="",$A234&gt;$B$9),"",IF(COUNTIFS(BD!$B$3:$B$5001,C$208,BD!$A$3:$A$5001,"&gt;="&amp;$C$7,BD!$A$3:$A$5001,"&lt;="&amp;$B234,BD!$X$3:$X$5001,"&lt;&gt;")=0,"",SUMIFS(BD!$X$3:$X$5001,BD!$B$3:$B$5001,C$208,BD!$A$3:$A$5001,_xlfn.MAXIFS(BD!$A$3:$A$5001,BD!$B$3:$B$5001,C$208,BD!$A$3:$A$5001,"&gt;="&amp;$C$7,BD!$A$3:$A$5001,"&lt;="&amp;$B234,BD!$X$3:$X$5001,"&lt;&gt;"))))</f>
        <v/>
      </c>
      <c r="D234" s="42" t="str">
        <f>IF(OR($B234="",$A234&gt;$B$9),"",IF(COUNTIFS(BD!$B$3:$B$5001,D$208,BD!$A$3:$A$5001,"&gt;="&amp;$C$7,BD!$A$3:$A$5001,"&lt;="&amp;$B234,BD!$X$3:$X$5001,"&lt;&gt;")=0,"",SUMIFS(BD!$X$3:$X$5001,BD!$B$3:$B$5001,D$208,BD!$A$3:$A$5001,_xlfn.MAXIFS(BD!$A$3:$A$5001,BD!$B$3:$B$5001,D$208,BD!$A$3:$A$5001,"&gt;="&amp;$C$7,BD!$A$3:$A$5001,"&lt;="&amp;$B234,BD!$X$3:$X$5001,"&lt;&gt;"))))</f>
        <v/>
      </c>
      <c r="E234" s="42" t="str">
        <f>IF(OR($B234="",$A234&gt;$B$9),"",IF(COUNTIFS(BD!$B$3:$B$5001,E$208,BD!$A$3:$A$5001,"&gt;="&amp;$C$7,BD!$A$3:$A$5001,"&lt;="&amp;$B234,BD!$X$3:$X$5001,"&lt;&gt;")=0,"",SUMIFS(BD!$X$3:$X$5001,BD!$B$3:$B$5001,E$208,BD!$A$3:$A$5001,_xlfn.MAXIFS(BD!$A$3:$A$5001,BD!$B$3:$B$5001,E$208,BD!$A$3:$A$5001,"&gt;="&amp;$C$7,BD!$A$3:$A$5001,"&lt;="&amp;$B234,BD!$X$3:$X$5001,"&lt;&gt;"))))</f>
        <v/>
      </c>
      <c r="F234" s="42" t="str">
        <f>IF(OR($B234="",$A234&gt;$B$9),"",IF(COUNTIFS(BD!$B$3:$B$5001,F$208,BD!$A$3:$A$5001,"&gt;="&amp;$C$7,BD!$A$3:$A$5001,"&lt;="&amp;$B234,BD!$X$3:$X$5001,"&lt;&gt;")=0,"",SUMIFS(BD!$X$3:$X$5001,BD!$B$3:$B$5001,F$208,BD!$A$3:$A$5001,_xlfn.MAXIFS(BD!$A$3:$A$5001,BD!$B$3:$B$5001,F$208,BD!$A$3:$A$5001,"&gt;="&amp;$C$7,BD!$A$3:$A$5001,"&lt;="&amp;$B234,BD!$X$3:$X$5001,"&lt;&gt;"))))</f>
        <v/>
      </c>
      <c r="G234" s="42" t="str">
        <f>IF(OR($B234="",$A234&gt;$B$9),"",IF(COUNTIFS(BD!$B$3:$B$5001,G$208,BD!$A$3:$A$5001,"&gt;="&amp;$C$7,BD!$A$3:$A$5001,"&lt;="&amp;$B234,BD!$X$3:$X$5001,"&lt;&gt;")=0,"",SUMIFS(BD!$X$3:$X$5001,BD!$B$3:$B$5001,G$208,BD!$A$3:$A$5001,_xlfn.MAXIFS(BD!$A$3:$A$5001,BD!$B$3:$B$5001,G$208,BD!$A$3:$A$5001,"&gt;="&amp;$C$7,BD!$A$3:$A$5001,"&lt;="&amp;$B234,BD!$X$3:$X$5001,"&lt;&gt;"))))</f>
        <v/>
      </c>
      <c r="H234" s="42" t="str">
        <f>IF(OR($B234="",$A234&gt;$B$9),"",IF(COUNTIFS(BD!$B$3:$B$5001,H$208,BD!$A$3:$A$5001,"&gt;="&amp;$C$7,BD!$A$3:$A$5001,"&lt;="&amp;$B234,BD!$X$3:$X$5001,"&lt;&gt;")=0,"",SUMIFS(BD!$X$3:$X$5001,BD!$B$3:$B$5001,H$208,BD!$A$3:$A$5001,_xlfn.MAXIFS(BD!$A$3:$A$5001,BD!$B$3:$B$5001,H$208,BD!$A$3:$A$5001,"&gt;="&amp;$C$7,BD!$A$3:$A$5001,"&lt;="&amp;$B234,BD!$X$3:$X$5001,"&lt;&gt;"))))</f>
        <v/>
      </c>
      <c r="I234" s="42" t="str">
        <f>IF(OR($B234="",$A234&gt;$B$9),"",IF(COUNTIFS(BD!$B$3:$B$5001,I$208,BD!$A$3:$A$5001,"&gt;="&amp;$C$7,BD!$A$3:$A$5001,"&lt;="&amp;$B234,BD!$X$3:$X$5001,"&lt;&gt;")=0,"",SUMIFS(BD!$X$3:$X$5001,BD!$B$3:$B$5001,I$208,BD!$A$3:$A$5001,_xlfn.MAXIFS(BD!$A$3:$A$5001,BD!$B$3:$B$5001,I$208,BD!$A$3:$A$5001,"&gt;="&amp;$C$7,BD!$A$3:$A$5001,"&lt;="&amp;$B234,BD!$X$3:$X$5001,"&lt;&gt;"))))</f>
        <v/>
      </c>
      <c r="J234" s="42" t="str">
        <f>IF(OR($B234="",$A234&gt;$B$9),"",IF(COUNTIFS(BD!$B$3:$B$5001,J$208,BD!$A$3:$A$5001,"&gt;="&amp;$C$7,BD!$A$3:$A$5001,"&lt;="&amp;$B234,BD!$X$3:$X$5001,"&lt;&gt;")=0,"",SUMIFS(BD!$X$3:$X$5001,BD!$B$3:$B$5001,J$208,BD!$A$3:$A$5001,_xlfn.MAXIFS(BD!$A$3:$A$5001,BD!$B$3:$B$5001,J$208,BD!$A$3:$A$5001,"&gt;="&amp;$C$7,BD!$A$3:$A$5001,"&lt;="&amp;$B234,BD!$X$3:$X$5001,"&lt;&gt;"))))</f>
        <v/>
      </c>
      <c r="K234" s="42" t="str">
        <f>IF(OR($B234="",$A234&gt;$B$9),"",IF(COUNTIFS(BD!$B$3:$B$5001,K$208,BD!$A$3:$A$5001,"&gt;="&amp;$C$7,BD!$A$3:$A$5001,"&lt;="&amp;$B234,BD!$X$3:$X$5001,"&lt;&gt;")=0,"",SUMIFS(BD!$X$3:$X$5001,BD!$B$3:$B$5001,K$208,BD!$A$3:$A$5001,_xlfn.MAXIFS(BD!$A$3:$A$5001,BD!$B$3:$B$5001,K$208,BD!$A$3:$A$5001,"&gt;="&amp;$C$7,BD!$A$3:$A$5001,"&lt;="&amp;$B234,BD!$X$3:$X$5001,"&lt;&gt;"))))</f>
        <v/>
      </c>
    </row>
    <row r="235">
      <c r="A235" s="40">
        <v>27</v>
      </c>
      <c r="B235" s="41">
        <f>$B$38</f>
        <v>46322</v>
      </c>
      <c r="C235" s="42" t="str">
        <f>IF(OR($B235="",$A235&gt;$B$9),"",IF(COUNTIFS(BD!$B$3:$B$5001,C$208,BD!$A$3:$A$5001,"&gt;="&amp;$C$7,BD!$A$3:$A$5001,"&lt;="&amp;$B235,BD!$X$3:$X$5001,"&lt;&gt;")=0,"",SUMIFS(BD!$X$3:$X$5001,BD!$B$3:$B$5001,C$208,BD!$A$3:$A$5001,_xlfn.MAXIFS(BD!$A$3:$A$5001,BD!$B$3:$B$5001,C$208,BD!$A$3:$A$5001,"&gt;="&amp;$C$7,BD!$A$3:$A$5001,"&lt;="&amp;$B235,BD!$X$3:$X$5001,"&lt;&gt;"))))</f>
        <v/>
      </c>
      <c r="D235" s="42" t="str">
        <f>IF(OR($B235="",$A235&gt;$B$9),"",IF(COUNTIFS(BD!$B$3:$B$5001,D$208,BD!$A$3:$A$5001,"&gt;="&amp;$C$7,BD!$A$3:$A$5001,"&lt;="&amp;$B235,BD!$X$3:$X$5001,"&lt;&gt;")=0,"",SUMIFS(BD!$X$3:$X$5001,BD!$B$3:$B$5001,D$208,BD!$A$3:$A$5001,_xlfn.MAXIFS(BD!$A$3:$A$5001,BD!$B$3:$B$5001,D$208,BD!$A$3:$A$5001,"&gt;="&amp;$C$7,BD!$A$3:$A$5001,"&lt;="&amp;$B235,BD!$X$3:$X$5001,"&lt;&gt;"))))</f>
        <v/>
      </c>
      <c r="E235" s="42" t="str">
        <f>IF(OR($B235="",$A235&gt;$B$9),"",IF(COUNTIFS(BD!$B$3:$B$5001,E$208,BD!$A$3:$A$5001,"&gt;="&amp;$C$7,BD!$A$3:$A$5001,"&lt;="&amp;$B235,BD!$X$3:$X$5001,"&lt;&gt;")=0,"",SUMIFS(BD!$X$3:$X$5001,BD!$B$3:$B$5001,E$208,BD!$A$3:$A$5001,_xlfn.MAXIFS(BD!$A$3:$A$5001,BD!$B$3:$B$5001,E$208,BD!$A$3:$A$5001,"&gt;="&amp;$C$7,BD!$A$3:$A$5001,"&lt;="&amp;$B235,BD!$X$3:$X$5001,"&lt;&gt;"))))</f>
        <v/>
      </c>
      <c r="F235" s="42" t="str">
        <f>IF(OR($B235="",$A235&gt;$B$9),"",IF(COUNTIFS(BD!$B$3:$B$5001,F$208,BD!$A$3:$A$5001,"&gt;="&amp;$C$7,BD!$A$3:$A$5001,"&lt;="&amp;$B235,BD!$X$3:$X$5001,"&lt;&gt;")=0,"",SUMIFS(BD!$X$3:$X$5001,BD!$B$3:$B$5001,F$208,BD!$A$3:$A$5001,_xlfn.MAXIFS(BD!$A$3:$A$5001,BD!$B$3:$B$5001,F$208,BD!$A$3:$A$5001,"&gt;="&amp;$C$7,BD!$A$3:$A$5001,"&lt;="&amp;$B235,BD!$X$3:$X$5001,"&lt;&gt;"))))</f>
        <v/>
      </c>
      <c r="G235" s="42" t="str">
        <f>IF(OR($B235="",$A235&gt;$B$9),"",IF(COUNTIFS(BD!$B$3:$B$5001,G$208,BD!$A$3:$A$5001,"&gt;="&amp;$C$7,BD!$A$3:$A$5001,"&lt;="&amp;$B235,BD!$X$3:$X$5001,"&lt;&gt;")=0,"",SUMIFS(BD!$X$3:$X$5001,BD!$B$3:$B$5001,G$208,BD!$A$3:$A$5001,_xlfn.MAXIFS(BD!$A$3:$A$5001,BD!$B$3:$B$5001,G$208,BD!$A$3:$A$5001,"&gt;="&amp;$C$7,BD!$A$3:$A$5001,"&lt;="&amp;$B235,BD!$X$3:$X$5001,"&lt;&gt;"))))</f>
        <v/>
      </c>
      <c r="H235" s="42" t="str">
        <f>IF(OR($B235="",$A235&gt;$B$9),"",IF(COUNTIFS(BD!$B$3:$B$5001,H$208,BD!$A$3:$A$5001,"&gt;="&amp;$C$7,BD!$A$3:$A$5001,"&lt;="&amp;$B235,BD!$X$3:$X$5001,"&lt;&gt;")=0,"",SUMIFS(BD!$X$3:$X$5001,BD!$B$3:$B$5001,H$208,BD!$A$3:$A$5001,_xlfn.MAXIFS(BD!$A$3:$A$5001,BD!$B$3:$B$5001,H$208,BD!$A$3:$A$5001,"&gt;="&amp;$C$7,BD!$A$3:$A$5001,"&lt;="&amp;$B235,BD!$X$3:$X$5001,"&lt;&gt;"))))</f>
        <v/>
      </c>
      <c r="I235" s="42" t="str">
        <f>IF(OR($B235="",$A235&gt;$B$9),"",IF(COUNTIFS(BD!$B$3:$B$5001,I$208,BD!$A$3:$A$5001,"&gt;="&amp;$C$7,BD!$A$3:$A$5001,"&lt;="&amp;$B235,BD!$X$3:$X$5001,"&lt;&gt;")=0,"",SUMIFS(BD!$X$3:$X$5001,BD!$B$3:$B$5001,I$208,BD!$A$3:$A$5001,_xlfn.MAXIFS(BD!$A$3:$A$5001,BD!$B$3:$B$5001,I$208,BD!$A$3:$A$5001,"&gt;="&amp;$C$7,BD!$A$3:$A$5001,"&lt;="&amp;$B235,BD!$X$3:$X$5001,"&lt;&gt;"))))</f>
        <v/>
      </c>
      <c r="J235" s="42" t="str">
        <f>IF(OR($B235="",$A235&gt;$B$9),"",IF(COUNTIFS(BD!$B$3:$B$5001,J$208,BD!$A$3:$A$5001,"&gt;="&amp;$C$7,BD!$A$3:$A$5001,"&lt;="&amp;$B235,BD!$X$3:$X$5001,"&lt;&gt;")=0,"",SUMIFS(BD!$X$3:$X$5001,BD!$B$3:$B$5001,J$208,BD!$A$3:$A$5001,_xlfn.MAXIFS(BD!$A$3:$A$5001,BD!$B$3:$B$5001,J$208,BD!$A$3:$A$5001,"&gt;="&amp;$C$7,BD!$A$3:$A$5001,"&lt;="&amp;$B235,BD!$X$3:$X$5001,"&lt;&gt;"))))</f>
        <v/>
      </c>
      <c r="K235" s="42" t="str">
        <f>IF(OR($B235="",$A235&gt;$B$9),"",IF(COUNTIFS(BD!$B$3:$B$5001,K$208,BD!$A$3:$A$5001,"&gt;="&amp;$C$7,BD!$A$3:$A$5001,"&lt;="&amp;$B235,BD!$X$3:$X$5001,"&lt;&gt;")=0,"",SUMIFS(BD!$X$3:$X$5001,BD!$B$3:$B$5001,K$208,BD!$A$3:$A$5001,_xlfn.MAXIFS(BD!$A$3:$A$5001,BD!$B$3:$B$5001,K$208,BD!$A$3:$A$5001,"&gt;="&amp;$C$7,BD!$A$3:$A$5001,"&lt;="&amp;$B235,BD!$X$3:$X$5001,"&lt;&gt;"))))</f>
        <v/>
      </c>
    </row>
    <row r="236">
      <c r="A236" s="40">
        <v>28</v>
      </c>
      <c r="B236" s="41">
        <f>$B$39</f>
        <v>46323</v>
      </c>
      <c r="C236" s="42" t="str">
        <f>IF(OR($B236="",$A236&gt;$B$9),"",IF(COUNTIFS(BD!$B$3:$B$5001,C$208,BD!$A$3:$A$5001,"&gt;="&amp;$C$7,BD!$A$3:$A$5001,"&lt;="&amp;$B236,BD!$X$3:$X$5001,"&lt;&gt;")=0,"",SUMIFS(BD!$X$3:$X$5001,BD!$B$3:$B$5001,C$208,BD!$A$3:$A$5001,_xlfn.MAXIFS(BD!$A$3:$A$5001,BD!$B$3:$B$5001,C$208,BD!$A$3:$A$5001,"&gt;="&amp;$C$7,BD!$A$3:$A$5001,"&lt;="&amp;$B236,BD!$X$3:$X$5001,"&lt;&gt;"))))</f>
        <v/>
      </c>
      <c r="D236" s="42" t="str">
        <f>IF(OR($B236="",$A236&gt;$B$9),"",IF(COUNTIFS(BD!$B$3:$B$5001,D$208,BD!$A$3:$A$5001,"&gt;="&amp;$C$7,BD!$A$3:$A$5001,"&lt;="&amp;$B236,BD!$X$3:$X$5001,"&lt;&gt;")=0,"",SUMIFS(BD!$X$3:$X$5001,BD!$B$3:$B$5001,D$208,BD!$A$3:$A$5001,_xlfn.MAXIFS(BD!$A$3:$A$5001,BD!$B$3:$B$5001,D$208,BD!$A$3:$A$5001,"&gt;="&amp;$C$7,BD!$A$3:$A$5001,"&lt;="&amp;$B236,BD!$X$3:$X$5001,"&lt;&gt;"))))</f>
        <v/>
      </c>
      <c r="E236" s="42" t="str">
        <f>IF(OR($B236="",$A236&gt;$B$9),"",IF(COUNTIFS(BD!$B$3:$B$5001,E$208,BD!$A$3:$A$5001,"&gt;="&amp;$C$7,BD!$A$3:$A$5001,"&lt;="&amp;$B236,BD!$X$3:$X$5001,"&lt;&gt;")=0,"",SUMIFS(BD!$X$3:$X$5001,BD!$B$3:$B$5001,E$208,BD!$A$3:$A$5001,_xlfn.MAXIFS(BD!$A$3:$A$5001,BD!$B$3:$B$5001,E$208,BD!$A$3:$A$5001,"&gt;="&amp;$C$7,BD!$A$3:$A$5001,"&lt;="&amp;$B236,BD!$X$3:$X$5001,"&lt;&gt;"))))</f>
        <v/>
      </c>
      <c r="F236" s="42" t="str">
        <f>IF(OR($B236="",$A236&gt;$B$9),"",IF(COUNTIFS(BD!$B$3:$B$5001,F$208,BD!$A$3:$A$5001,"&gt;="&amp;$C$7,BD!$A$3:$A$5001,"&lt;="&amp;$B236,BD!$X$3:$X$5001,"&lt;&gt;")=0,"",SUMIFS(BD!$X$3:$X$5001,BD!$B$3:$B$5001,F$208,BD!$A$3:$A$5001,_xlfn.MAXIFS(BD!$A$3:$A$5001,BD!$B$3:$B$5001,F$208,BD!$A$3:$A$5001,"&gt;="&amp;$C$7,BD!$A$3:$A$5001,"&lt;="&amp;$B236,BD!$X$3:$X$5001,"&lt;&gt;"))))</f>
        <v/>
      </c>
      <c r="G236" s="42" t="str">
        <f>IF(OR($B236="",$A236&gt;$B$9),"",IF(COUNTIFS(BD!$B$3:$B$5001,G$208,BD!$A$3:$A$5001,"&gt;="&amp;$C$7,BD!$A$3:$A$5001,"&lt;="&amp;$B236,BD!$X$3:$X$5001,"&lt;&gt;")=0,"",SUMIFS(BD!$X$3:$X$5001,BD!$B$3:$B$5001,G$208,BD!$A$3:$A$5001,_xlfn.MAXIFS(BD!$A$3:$A$5001,BD!$B$3:$B$5001,G$208,BD!$A$3:$A$5001,"&gt;="&amp;$C$7,BD!$A$3:$A$5001,"&lt;="&amp;$B236,BD!$X$3:$X$5001,"&lt;&gt;"))))</f>
        <v/>
      </c>
      <c r="H236" s="42" t="str">
        <f>IF(OR($B236="",$A236&gt;$B$9),"",IF(COUNTIFS(BD!$B$3:$B$5001,H$208,BD!$A$3:$A$5001,"&gt;="&amp;$C$7,BD!$A$3:$A$5001,"&lt;="&amp;$B236,BD!$X$3:$X$5001,"&lt;&gt;")=0,"",SUMIFS(BD!$X$3:$X$5001,BD!$B$3:$B$5001,H$208,BD!$A$3:$A$5001,_xlfn.MAXIFS(BD!$A$3:$A$5001,BD!$B$3:$B$5001,H$208,BD!$A$3:$A$5001,"&gt;="&amp;$C$7,BD!$A$3:$A$5001,"&lt;="&amp;$B236,BD!$X$3:$X$5001,"&lt;&gt;"))))</f>
        <v/>
      </c>
      <c r="I236" s="42" t="str">
        <f>IF(OR($B236="",$A236&gt;$B$9),"",IF(COUNTIFS(BD!$B$3:$B$5001,I$208,BD!$A$3:$A$5001,"&gt;="&amp;$C$7,BD!$A$3:$A$5001,"&lt;="&amp;$B236,BD!$X$3:$X$5001,"&lt;&gt;")=0,"",SUMIFS(BD!$X$3:$X$5001,BD!$B$3:$B$5001,I$208,BD!$A$3:$A$5001,_xlfn.MAXIFS(BD!$A$3:$A$5001,BD!$B$3:$B$5001,I$208,BD!$A$3:$A$5001,"&gt;="&amp;$C$7,BD!$A$3:$A$5001,"&lt;="&amp;$B236,BD!$X$3:$X$5001,"&lt;&gt;"))))</f>
        <v/>
      </c>
      <c r="J236" s="42" t="str">
        <f>IF(OR($B236="",$A236&gt;$B$9),"",IF(COUNTIFS(BD!$B$3:$B$5001,J$208,BD!$A$3:$A$5001,"&gt;="&amp;$C$7,BD!$A$3:$A$5001,"&lt;="&amp;$B236,BD!$X$3:$X$5001,"&lt;&gt;")=0,"",SUMIFS(BD!$X$3:$X$5001,BD!$B$3:$B$5001,J$208,BD!$A$3:$A$5001,_xlfn.MAXIFS(BD!$A$3:$A$5001,BD!$B$3:$B$5001,J$208,BD!$A$3:$A$5001,"&gt;="&amp;$C$7,BD!$A$3:$A$5001,"&lt;="&amp;$B236,BD!$X$3:$X$5001,"&lt;&gt;"))))</f>
        <v/>
      </c>
      <c r="K236" s="42" t="str">
        <f>IF(OR($B236="",$A236&gt;$B$9),"",IF(COUNTIFS(BD!$B$3:$B$5001,K$208,BD!$A$3:$A$5001,"&gt;="&amp;$C$7,BD!$A$3:$A$5001,"&lt;="&amp;$B236,BD!$X$3:$X$5001,"&lt;&gt;")=0,"",SUMIFS(BD!$X$3:$X$5001,BD!$B$3:$B$5001,K$208,BD!$A$3:$A$5001,_xlfn.MAXIFS(BD!$A$3:$A$5001,BD!$B$3:$B$5001,K$208,BD!$A$3:$A$5001,"&gt;="&amp;$C$7,BD!$A$3:$A$5001,"&lt;="&amp;$B236,BD!$X$3:$X$5001,"&lt;&gt;"))))</f>
        <v/>
      </c>
    </row>
    <row r="237">
      <c r="A237" s="40">
        <v>29</v>
      </c>
      <c r="B237" s="41">
        <f>$B$40</f>
        <v>46324</v>
      </c>
      <c r="C237" s="42" t="str">
        <f>IF(OR($B237="",$A237&gt;$B$9),"",IF(COUNTIFS(BD!$B$3:$B$5001,C$208,BD!$A$3:$A$5001,"&gt;="&amp;$C$7,BD!$A$3:$A$5001,"&lt;="&amp;$B237,BD!$X$3:$X$5001,"&lt;&gt;")=0,"",SUMIFS(BD!$X$3:$X$5001,BD!$B$3:$B$5001,C$208,BD!$A$3:$A$5001,_xlfn.MAXIFS(BD!$A$3:$A$5001,BD!$B$3:$B$5001,C$208,BD!$A$3:$A$5001,"&gt;="&amp;$C$7,BD!$A$3:$A$5001,"&lt;="&amp;$B237,BD!$X$3:$X$5001,"&lt;&gt;"))))</f>
        <v/>
      </c>
      <c r="D237" s="42" t="str">
        <f>IF(OR($B237="",$A237&gt;$B$9),"",IF(COUNTIFS(BD!$B$3:$B$5001,D$208,BD!$A$3:$A$5001,"&gt;="&amp;$C$7,BD!$A$3:$A$5001,"&lt;="&amp;$B237,BD!$X$3:$X$5001,"&lt;&gt;")=0,"",SUMIFS(BD!$X$3:$X$5001,BD!$B$3:$B$5001,D$208,BD!$A$3:$A$5001,_xlfn.MAXIFS(BD!$A$3:$A$5001,BD!$B$3:$B$5001,D$208,BD!$A$3:$A$5001,"&gt;="&amp;$C$7,BD!$A$3:$A$5001,"&lt;="&amp;$B237,BD!$X$3:$X$5001,"&lt;&gt;"))))</f>
        <v/>
      </c>
      <c r="E237" s="42" t="str">
        <f>IF(OR($B237="",$A237&gt;$B$9),"",IF(COUNTIFS(BD!$B$3:$B$5001,E$208,BD!$A$3:$A$5001,"&gt;="&amp;$C$7,BD!$A$3:$A$5001,"&lt;="&amp;$B237,BD!$X$3:$X$5001,"&lt;&gt;")=0,"",SUMIFS(BD!$X$3:$X$5001,BD!$B$3:$B$5001,E$208,BD!$A$3:$A$5001,_xlfn.MAXIFS(BD!$A$3:$A$5001,BD!$B$3:$B$5001,E$208,BD!$A$3:$A$5001,"&gt;="&amp;$C$7,BD!$A$3:$A$5001,"&lt;="&amp;$B237,BD!$X$3:$X$5001,"&lt;&gt;"))))</f>
        <v/>
      </c>
      <c r="F237" s="42" t="str">
        <f>IF(OR($B237="",$A237&gt;$B$9),"",IF(COUNTIFS(BD!$B$3:$B$5001,F$208,BD!$A$3:$A$5001,"&gt;="&amp;$C$7,BD!$A$3:$A$5001,"&lt;="&amp;$B237,BD!$X$3:$X$5001,"&lt;&gt;")=0,"",SUMIFS(BD!$X$3:$X$5001,BD!$B$3:$B$5001,F$208,BD!$A$3:$A$5001,_xlfn.MAXIFS(BD!$A$3:$A$5001,BD!$B$3:$B$5001,F$208,BD!$A$3:$A$5001,"&gt;="&amp;$C$7,BD!$A$3:$A$5001,"&lt;="&amp;$B237,BD!$X$3:$X$5001,"&lt;&gt;"))))</f>
        <v/>
      </c>
      <c r="G237" s="42" t="str">
        <f>IF(OR($B237="",$A237&gt;$B$9),"",IF(COUNTIFS(BD!$B$3:$B$5001,G$208,BD!$A$3:$A$5001,"&gt;="&amp;$C$7,BD!$A$3:$A$5001,"&lt;="&amp;$B237,BD!$X$3:$X$5001,"&lt;&gt;")=0,"",SUMIFS(BD!$X$3:$X$5001,BD!$B$3:$B$5001,G$208,BD!$A$3:$A$5001,_xlfn.MAXIFS(BD!$A$3:$A$5001,BD!$B$3:$B$5001,G$208,BD!$A$3:$A$5001,"&gt;="&amp;$C$7,BD!$A$3:$A$5001,"&lt;="&amp;$B237,BD!$X$3:$X$5001,"&lt;&gt;"))))</f>
        <v/>
      </c>
      <c r="H237" s="42" t="str">
        <f>IF(OR($B237="",$A237&gt;$B$9),"",IF(COUNTIFS(BD!$B$3:$B$5001,H$208,BD!$A$3:$A$5001,"&gt;="&amp;$C$7,BD!$A$3:$A$5001,"&lt;="&amp;$B237,BD!$X$3:$X$5001,"&lt;&gt;")=0,"",SUMIFS(BD!$X$3:$X$5001,BD!$B$3:$B$5001,H$208,BD!$A$3:$A$5001,_xlfn.MAXIFS(BD!$A$3:$A$5001,BD!$B$3:$B$5001,H$208,BD!$A$3:$A$5001,"&gt;="&amp;$C$7,BD!$A$3:$A$5001,"&lt;="&amp;$B237,BD!$X$3:$X$5001,"&lt;&gt;"))))</f>
        <v/>
      </c>
      <c r="I237" s="42" t="str">
        <f>IF(OR($B237="",$A237&gt;$B$9),"",IF(COUNTIFS(BD!$B$3:$B$5001,I$208,BD!$A$3:$A$5001,"&gt;="&amp;$C$7,BD!$A$3:$A$5001,"&lt;="&amp;$B237,BD!$X$3:$X$5001,"&lt;&gt;")=0,"",SUMIFS(BD!$X$3:$X$5001,BD!$B$3:$B$5001,I$208,BD!$A$3:$A$5001,_xlfn.MAXIFS(BD!$A$3:$A$5001,BD!$B$3:$B$5001,I$208,BD!$A$3:$A$5001,"&gt;="&amp;$C$7,BD!$A$3:$A$5001,"&lt;="&amp;$B237,BD!$X$3:$X$5001,"&lt;&gt;"))))</f>
        <v/>
      </c>
      <c r="J237" s="42" t="str">
        <f>IF(OR($B237="",$A237&gt;$B$9),"",IF(COUNTIFS(BD!$B$3:$B$5001,J$208,BD!$A$3:$A$5001,"&gt;="&amp;$C$7,BD!$A$3:$A$5001,"&lt;="&amp;$B237,BD!$X$3:$X$5001,"&lt;&gt;")=0,"",SUMIFS(BD!$X$3:$X$5001,BD!$B$3:$B$5001,J$208,BD!$A$3:$A$5001,_xlfn.MAXIFS(BD!$A$3:$A$5001,BD!$B$3:$B$5001,J$208,BD!$A$3:$A$5001,"&gt;="&amp;$C$7,BD!$A$3:$A$5001,"&lt;="&amp;$B237,BD!$X$3:$X$5001,"&lt;&gt;"))))</f>
        <v/>
      </c>
      <c r="K237" s="42" t="str">
        <f>IF(OR($B237="",$A237&gt;$B$9),"",IF(COUNTIFS(BD!$B$3:$B$5001,K$208,BD!$A$3:$A$5001,"&gt;="&amp;$C$7,BD!$A$3:$A$5001,"&lt;="&amp;$B237,BD!$X$3:$X$5001,"&lt;&gt;")=0,"",SUMIFS(BD!$X$3:$X$5001,BD!$B$3:$B$5001,K$208,BD!$A$3:$A$5001,_xlfn.MAXIFS(BD!$A$3:$A$5001,BD!$B$3:$B$5001,K$208,BD!$A$3:$A$5001,"&gt;="&amp;$C$7,BD!$A$3:$A$5001,"&lt;="&amp;$B237,BD!$X$3:$X$5001,"&lt;&gt;"))))</f>
        <v/>
      </c>
    </row>
    <row r="238">
      <c r="A238" s="40">
        <v>30</v>
      </c>
      <c r="B238" s="41">
        <f>$B$41</f>
        <v>46325</v>
      </c>
      <c r="C238" s="42" t="str">
        <f>IF(OR($B238="",$A238&gt;$B$9),"",IF(COUNTIFS(BD!$B$3:$B$5001,C$208,BD!$A$3:$A$5001,"&gt;="&amp;$C$7,BD!$A$3:$A$5001,"&lt;="&amp;$B238,BD!$X$3:$X$5001,"&lt;&gt;")=0,"",SUMIFS(BD!$X$3:$X$5001,BD!$B$3:$B$5001,C$208,BD!$A$3:$A$5001,_xlfn.MAXIFS(BD!$A$3:$A$5001,BD!$B$3:$B$5001,C$208,BD!$A$3:$A$5001,"&gt;="&amp;$C$7,BD!$A$3:$A$5001,"&lt;="&amp;$B238,BD!$X$3:$X$5001,"&lt;&gt;"))))</f>
        <v/>
      </c>
      <c r="D238" s="42" t="str">
        <f>IF(OR($B238="",$A238&gt;$B$9),"",IF(COUNTIFS(BD!$B$3:$B$5001,D$208,BD!$A$3:$A$5001,"&gt;="&amp;$C$7,BD!$A$3:$A$5001,"&lt;="&amp;$B238,BD!$X$3:$X$5001,"&lt;&gt;")=0,"",SUMIFS(BD!$X$3:$X$5001,BD!$B$3:$B$5001,D$208,BD!$A$3:$A$5001,_xlfn.MAXIFS(BD!$A$3:$A$5001,BD!$B$3:$B$5001,D$208,BD!$A$3:$A$5001,"&gt;="&amp;$C$7,BD!$A$3:$A$5001,"&lt;="&amp;$B238,BD!$X$3:$X$5001,"&lt;&gt;"))))</f>
        <v/>
      </c>
      <c r="E238" s="42" t="str">
        <f>IF(OR($B238="",$A238&gt;$B$9),"",IF(COUNTIFS(BD!$B$3:$B$5001,E$208,BD!$A$3:$A$5001,"&gt;="&amp;$C$7,BD!$A$3:$A$5001,"&lt;="&amp;$B238,BD!$X$3:$X$5001,"&lt;&gt;")=0,"",SUMIFS(BD!$X$3:$X$5001,BD!$B$3:$B$5001,E$208,BD!$A$3:$A$5001,_xlfn.MAXIFS(BD!$A$3:$A$5001,BD!$B$3:$B$5001,E$208,BD!$A$3:$A$5001,"&gt;="&amp;$C$7,BD!$A$3:$A$5001,"&lt;="&amp;$B238,BD!$X$3:$X$5001,"&lt;&gt;"))))</f>
        <v/>
      </c>
      <c r="F238" s="42" t="str">
        <f>IF(OR($B238="",$A238&gt;$B$9),"",IF(COUNTIFS(BD!$B$3:$B$5001,F$208,BD!$A$3:$A$5001,"&gt;="&amp;$C$7,BD!$A$3:$A$5001,"&lt;="&amp;$B238,BD!$X$3:$X$5001,"&lt;&gt;")=0,"",SUMIFS(BD!$X$3:$X$5001,BD!$B$3:$B$5001,F$208,BD!$A$3:$A$5001,_xlfn.MAXIFS(BD!$A$3:$A$5001,BD!$B$3:$B$5001,F$208,BD!$A$3:$A$5001,"&gt;="&amp;$C$7,BD!$A$3:$A$5001,"&lt;="&amp;$B238,BD!$X$3:$X$5001,"&lt;&gt;"))))</f>
        <v/>
      </c>
      <c r="G238" s="42" t="str">
        <f>IF(OR($B238="",$A238&gt;$B$9),"",IF(COUNTIFS(BD!$B$3:$B$5001,G$208,BD!$A$3:$A$5001,"&gt;="&amp;$C$7,BD!$A$3:$A$5001,"&lt;="&amp;$B238,BD!$X$3:$X$5001,"&lt;&gt;")=0,"",SUMIFS(BD!$X$3:$X$5001,BD!$B$3:$B$5001,G$208,BD!$A$3:$A$5001,_xlfn.MAXIFS(BD!$A$3:$A$5001,BD!$B$3:$B$5001,G$208,BD!$A$3:$A$5001,"&gt;="&amp;$C$7,BD!$A$3:$A$5001,"&lt;="&amp;$B238,BD!$X$3:$X$5001,"&lt;&gt;"))))</f>
        <v/>
      </c>
      <c r="H238" s="42" t="str">
        <f>IF(OR($B238="",$A238&gt;$B$9),"",IF(COUNTIFS(BD!$B$3:$B$5001,H$208,BD!$A$3:$A$5001,"&gt;="&amp;$C$7,BD!$A$3:$A$5001,"&lt;="&amp;$B238,BD!$X$3:$X$5001,"&lt;&gt;")=0,"",SUMIFS(BD!$X$3:$X$5001,BD!$B$3:$B$5001,H$208,BD!$A$3:$A$5001,_xlfn.MAXIFS(BD!$A$3:$A$5001,BD!$B$3:$B$5001,H$208,BD!$A$3:$A$5001,"&gt;="&amp;$C$7,BD!$A$3:$A$5001,"&lt;="&amp;$B238,BD!$X$3:$X$5001,"&lt;&gt;"))))</f>
        <v/>
      </c>
      <c r="I238" s="42" t="str">
        <f>IF(OR($B238="",$A238&gt;$B$9),"",IF(COUNTIFS(BD!$B$3:$B$5001,I$208,BD!$A$3:$A$5001,"&gt;="&amp;$C$7,BD!$A$3:$A$5001,"&lt;="&amp;$B238,BD!$X$3:$X$5001,"&lt;&gt;")=0,"",SUMIFS(BD!$X$3:$X$5001,BD!$B$3:$B$5001,I$208,BD!$A$3:$A$5001,_xlfn.MAXIFS(BD!$A$3:$A$5001,BD!$B$3:$B$5001,I$208,BD!$A$3:$A$5001,"&gt;="&amp;$C$7,BD!$A$3:$A$5001,"&lt;="&amp;$B238,BD!$X$3:$X$5001,"&lt;&gt;"))))</f>
        <v/>
      </c>
      <c r="J238" s="42" t="str">
        <f>IF(OR($B238="",$A238&gt;$B$9),"",IF(COUNTIFS(BD!$B$3:$B$5001,J$208,BD!$A$3:$A$5001,"&gt;="&amp;$C$7,BD!$A$3:$A$5001,"&lt;="&amp;$B238,BD!$X$3:$X$5001,"&lt;&gt;")=0,"",SUMIFS(BD!$X$3:$X$5001,BD!$B$3:$B$5001,J$208,BD!$A$3:$A$5001,_xlfn.MAXIFS(BD!$A$3:$A$5001,BD!$B$3:$B$5001,J$208,BD!$A$3:$A$5001,"&gt;="&amp;$C$7,BD!$A$3:$A$5001,"&lt;="&amp;$B238,BD!$X$3:$X$5001,"&lt;&gt;"))))</f>
        <v/>
      </c>
      <c r="K238" s="42" t="str">
        <f>IF(OR($B238="",$A238&gt;$B$9),"",IF(COUNTIFS(BD!$B$3:$B$5001,K$208,BD!$A$3:$A$5001,"&gt;="&amp;$C$7,BD!$A$3:$A$5001,"&lt;="&amp;$B238,BD!$X$3:$X$5001,"&lt;&gt;")=0,"",SUMIFS(BD!$X$3:$X$5001,BD!$B$3:$B$5001,K$208,BD!$A$3:$A$5001,_xlfn.MAXIFS(BD!$A$3:$A$5001,BD!$B$3:$B$5001,K$208,BD!$A$3:$A$5001,"&gt;="&amp;$C$7,BD!$A$3:$A$5001,"&lt;="&amp;$B238,BD!$X$3:$X$5001,"&lt;&gt;"))))</f>
        <v/>
      </c>
    </row>
    <row r="239">
      <c r="A239" s="40">
        <v>31</v>
      </c>
      <c r="B239" s="41">
        <f>$B$42</f>
        <v>46326</v>
      </c>
      <c r="C239" s="42" t="str">
        <f>IF(OR($B239="",$A239&gt;$B$9),"",IF(COUNTIFS(BD!$B$3:$B$5001,C$208,BD!$A$3:$A$5001,"&gt;="&amp;$C$7,BD!$A$3:$A$5001,"&lt;="&amp;$B239,BD!$X$3:$X$5001,"&lt;&gt;")=0,"",SUMIFS(BD!$X$3:$X$5001,BD!$B$3:$B$5001,C$208,BD!$A$3:$A$5001,_xlfn.MAXIFS(BD!$A$3:$A$5001,BD!$B$3:$B$5001,C$208,BD!$A$3:$A$5001,"&gt;="&amp;$C$7,BD!$A$3:$A$5001,"&lt;="&amp;$B239,BD!$X$3:$X$5001,"&lt;&gt;"))))</f>
        <v/>
      </c>
      <c r="D239" s="42" t="str">
        <f>IF(OR($B239="",$A239&gt;$B$9),"",IF(COUNTIFS(BD!$B$3:$B$5001,D$208,BD!$A$3:$A$5001,"&gt;="&amp;$C$7,BD!$A$3:$A$5001,"&lt;="&amp;$B239,BD!$X$3:$X$5001,"&lt;&gt;")=0,"",SUMIFS(BD!$X$3:$X$5001,BD!$B$3:$B$5001,D$208,BD!$A$3:$A$5001,_xlfn.MAXIFS(BD!$A$3:$A$5001,BD!$B$3:$B$5001,D$208,BD!$A$3:$A$5001,"&gt;="&amp;$C$7,BD!$A$3:$A$5001,"&lt;="&amp;$B239,BD!$X$3:$X$5001,"&lt;&gt;"))))</f>
        <v/>
      </c>
      <c r="E239" s="42" t="str">
        <f>IF(OR($B239="",$A239&gt;$B$9),"",IF(COUNTIFS(BD!$B$3:$B$5001,E$208,BD!$A$3:$A$5001,"&gt;="&amp;$C$7,BD!$A$3:$A$5001,"&lt;="&amp;$B239,BD!$X$3:$X$5001,"&lt;&gt;")=0,"",SUMIFS(BD!$X$3:$X$5001,BD!$B$3:$B$5001,E$208,BD!$A$3:$A$5001,_xlfn.MAXIFS(BD!$A$3:$A$5001,BD!$B$3:$B$5001,E$208,BD!$A$3:$A$5001,"&gt;="&amp;$C$7,BD!$A$3:$A$5001,"&lt;="&amp;$B239,BD!$X$3:$X$5001,"&lt;&gt;"))))</f>
        <v/>
      </c>
      <c r="F239" s="42" t="str">
        <f>IF(OR($B239="",$A239&gt;$B$9),"",IF(COUNTIFS(BD!$B$3:$B$5001,F$208,BD!$A$3:$A$5001,"&gt;="&amp;$C$7,BD!$A$3:$A$5001,"&lt;="&amp;$B239,BD!$X$3:$X$5001,"&lt;&gt;")=0,"",SUMIFS(BD!$X$3:$X$5001,BD!$B$3:$B$5001,F$208,BD!$A$3:$A$5001,_xlfn.MAXIFS(BD!$A$3:$A$5001,BD!$B$3:$B$5001,F$208,BD!$A$3:$A$5001,"&gt;="&amp;$C$7,BD!$A$3:$A$5001,"&lt;="&amp;$B239,BD!$X$3:$X$5001,"&lt;&gt;"))))</f>
        <v/>
      </c>
      <c r="G239" s="42" t="str">
        <f>IF(OR($B239="",$A239&gt;$B$9),"",IF(COUNTIFS(BD!$B$3:$B$5001,G$208,BD!$A$3:$A$5001,"&gt;="&amp;$C$7,BD!$A$3:$A$5001,"&lt;="&amp;$B239,BD!$X$3:$X$5001,"&lt;&gt;")=0,"",SUMIFS(BD!$X$3:$X$5001,BD!$B$3:$B$5001,G$208,BD!$A$3:$A$5001,_xlfn.MAXIFS(BD!$A$3:$A$5001,BD!$B$3:$B$5001,G$208,BD!$A$3:$A$5001,"&gt;="&amp;$C$7,BD!$A$3:$A$5001,"&lt;="&amp;$B239,BD!$X$3:$X$5001,"&lt;&gt;"))))</f>
        <v/>
      </c>
      <c r="H239" s="42" t="str">
        <f>IF(OR($B239="",$A239&gt;$B$9),"",IF(COUNTIFS(BD!$B$3:$B$5001,H$208,BD!$A$3:$A$5001,"&gt;="&amp;$C$7,BD!$A$3:$A$5001,"&lt;="&amp;$B239,BD!$X$3:$X$5001,"&lt;&gt;")=0,"",SUMIFS(BD!$X$3:$X$5001,BD!$B$3:$B$5001,H$208,BD!$A$3:$A$5001,_xlfn.MAXIFS(BD!$A$3:$A$5001,BD!$B$3:$B$5001,H$208,BD!$A$3:$A$5001,"&gt;="&amp;$C$7,BD!$A$3:$A$5001,"&lt;="&amp;$B239,BD!$X$3:$X$5001,"&lt;&gt;"))))</f>
        <v/>
      </c>
      <c r="I239" s="42" t="str">
        <f>IF(OR($B239="",$A239&gt;$B$9),"",IF(COUNTIFS(BD!$B$3:$B$5001,I$208,BD!$A$3:$A$5001,"&gt;="&amp;$C$7,BD!$A$3:$A$5001,"&lt;="&amp;$B239,BD!$X$3:$X$5001,"&lt;&gt;")=0,"",SUMIFS(BD!$X$3:$X$5001,BD!$B$3:$B$5001,I$208,BD!$A$3:$A$5001,_xlfn.MAXIFS(BD!$A$3:$A$5001,BD!$B$3:$B$5001,I$208,BD!$A$3:$A$5001,"&gt;="&amp;$C$7,BD!$A$3:$A$5001,"&lt;="&amp;$B239,BD!$X$3:$X$5001,"&lt;&gt;"))))</f>
        <v/>
      </c>
      <c r="J239" s="42" t="str">
        <f>IF(OR($B239="",$A239&gt;$B$9),"",IF(COUNTIFS(BD!$B$3:$B$5001,J$208,BD!$A$3:$A$5001,"&gt;="&amp;$C$7,BD!$A$3:$A$5001,"&lt;="&amp;$B239,BD!$X$3:$X$5001,"&lt;&gt;")=0,"",SUMIFS(BD!$X$3:$X$5001,BD!$B$3:$B$5001,J$208,BD!$A$3:$A$5001,_xlfn.MAXIFS(BD!$A$3:$A$5001,BD!$B$3:$B$5001,J$208,BD!$A$3:$A$5001,"&gt;="&amp;$C$7,BD!$A$3:$A$5001,"&lt;="&amp;$B239,BD!$X$3:$X$5001,"&lt;&gt;"))))</f>
        <v/>
      </c>
      <c r="K239" s="42" t="str">
        <f>IF(OR($B239="",$A239&gt;$B$9),"",IF(COUNTIFS(BD!$B$3:$B$5001,K$208,BD!$A$3:$A$5001,"&gt;="&amp;$C$7,BD!$A$3:$A$5001,"&lt;="&amp;$B239,BD!$X$3:$X$5001,"&lt;&gt;")=0,"",SUMIFS(BD!$X$3:$X$5001,BD!$B$3:$B$5001,K$208,BD!$A$3:$A$5001,_xlfn.MAXIFS(BD!$A$3:$A$5001,BD!$B$3:$B$5001,K$208,BD!$A$3:$A$5001,"&gt;="&amp;$C$7,BD!$A$3:$A$5001,"&lt;="&amp;$B239,BD!$X$3:$X$5001,"&lt;&gt;"))))</f>
        <v/>
      </c>
    </row>
    <row r="240">
      <c r="A240" s="43" t="inlineStr">
        <is>
          <t xml:space="preserve">Mês anterior (último)</t>
        </is>
      </c>
      <c r="C240" s="44" t="str">
        <f>IF(COUNTIFS(BD!$B$3:$B$5001,C$208,BD!$A$3:$A$5001,"&gt;="&amp;$C$8,BD!$A$3:$A$5001,"&lt;="&amp;$D$8,BD!$X$3:$X$5001,"&lt;&gt;")=0,"",SUMIFS(BD!$X$3:$X$5001,BD!$B$3:$B$5001,C$208,BD!$A$3:$A$5001,_xlfn.MAXIFS(BD!$A$3:$A$5001,BD!$B$3:$B$5001,C$208,BD!$A$3:$A$5001,"&gt;="&amp;$C$8,BD!$A$3:$A$5001,"&lt;="&amp;$D$8,BD!$X$3:$X$5001,"&lt;&gt;")))</f>
        <v/>
      </c>
      <c r="D240" s="44" t="str">
        <f>IF(COUNTIFS(BD!$B$3:$B$5001,D$208,BD!$A$3:$A$5001,"&gt;="&amp;$C$8,BD!$A$3:$A$5001,"&lt;="&amp;$D$8,BD!$X$3:$X$5001,"&lt;&gt;")=0,"",SUMIFS(BD!$X$3:$X$5001,BD!$B$3:$B$5001,D$208,BD!$A$3:$A$5001,_xlfn.MAXIFS(BD!$A$3:$A$5001,BD!$B$3:$B$5001,D$208,BD!$A$3:$A$5001,"&gt;="&amp;$C$8,BD!$A$3:$A$5001,"&lt;="&amp;$D$8,BD!$X$3:$X$5001,"&lt;&gt;")))</f>
        <v/>
      </c>
      <c r="E240" s="44" t="str">
        <f>IF(COUNTIFS(BD!$B$3:$B$5001,E$208,BD!$A$3:$A$5001,"&gt;="&amp;$C$8,BD!$A$3:$A$5001,"&lt;="&amp;$D$8,BD!$X$3:$X$5001,"&lt;&gt;")=0,"",SUMIFS(BD!$X$3:$X$5001,BD!$B$3:$B$5001,E$208,BD!$A$3:$A$5001,_xlfn.MAXIFS(BD!$A$3:$A$5001,BD!$B$3:$B$5001,E$208,BD!$A$3:$A$5001,"&gt;="&amp;$C$8,BD!$A$3:$A$5001,"&lt;="&amp;$D$8,BD!$X$3:$X$5001,"&lt;&gt;")))</f>
        <v/>
      </c>
      <c r="F240" s="44" t="str">
        <f>IF(COUNTIFS(BD!$B$3:$B$5001,F$208,BD!$A$3:$A$5001,"&gt;="&amp;$C$8,BD!$A$3:$A$5001,"&lt;="&amp;$D$8,BD!$X$3:$X$5001,"&lt;&gt;")=0,"",SUMIFS(BD!$X$3:$X$5001,BD!$B$3:$B$5001,F$208,BD!$A$3:$A$5001,_xlfn.MAXIFS(BD!$A$3:$A$5001,BD!$B$3:$B$5001,F$208,BD!$A$3:$A$5001,"&gt;="&amp;$C$8,BD!$A$3:$A$5001,"&lt;="&amp;$D$8,BD!$X$3:$X$5001,"&lt;&gt;")))</f>
        <v/>
      </c>
      <c r="G240" s="44" t="str">
        <f>IF(COUNTIFS(BD!$B$3:$B$5001,G$208,BD!$A$3:$A$5001,"&gt;="&amp;$C$8,BD!$A$3:$A$5001,"&lt;="&amp;$D$8,BD!$X$3:$X$5001,"&lt;&gt;")=0,"",SUMIFS(BD!$X$3:$X$5001,BD!$B$3:$B$5001,G$208,BD!$A$3:$A$5001,_xlfn.MAXIFS(BD!$A$3:$A$5001,BD!$B$3:$B$5001,G$208,BD!$A$3:$A$5001,"&gt;="&amp;$C$8,BD!$A$3:$A$5001,"&lt;="&amp;$D$8,BD!$X$3:$X$5001,"&lt;&gt;")))</f>
        <v/>
      </c>
      <c r="H240" s="44" t="str">
        <f>IF(COUNTIFS(BD!$B$3:$B$5001,H$208,BD!$A$3:$A$5001,"&gt;="&amp;$C$8,BD!$A$3:$A$5001,"&lt;="&amp;$D$8,BD!$X$3:$X$5001,"&lt;&gt;")=0,"",SUMIFS(BD!$X$3:$X$5001,BD!$B$3:$B$5001,H$208,BD!$A$3:$A$5001,_xlfn.MAXIFS(BD!$A$3:$A$5001,BD!$B$3:$B$5001,H$208,BD!$A$3:$A$5001,"&gt;="&amp;$C$8,BD!$A$3:$A$5001,"&lt;="&amp;$D$8,BD!$X$3:$X$5001,"&lt;&gt;")))</f>
        <v/>
      </c>
      <c r="I240" s="44" t="str">
        <f>IF(COUNTIFS(BD!$B$3:$B$5001,I$208,BD!$A$3:$A$5001,"&gt;="&amp;$C$8,BD!$A$3:$A$5001,"&lt;="&amp;$D$8,BD!$X$3:$X$5001,"&lt;&gt;")=0,"",SUMIFS(BD!$X$3:$X$5001,BD!$B$3:$B$5001,I$208,BD!$A$3:$A$5001,_xlfn.MAXIFS(BD!$A$3:$A$5001,BD!$B$3:$B$5001,I$208,BD!$A$3:$A$5001,"&gt;="&amp;$C$8,BD!$A$3:$A$5001,"&lt;="&amp;$D$8,BD!$X$3:$X$5001,"&lt;&gt;")))</f>
        <v/>
      </c>
      <c r="J240" s="44" t="str">
        <f>IF(COUNTIFS(BD!$B$3:$B$5001,J$208,BD!$A$3:$A$5001,"&gt;="&amp;$C$8,BD!$A$3:$A$5001,"&lt;="&amp;$D$8,BD!$X$3:$X$5001,"&lt;&gt;")=0,"",SUMIFS(BD!$X$3:$X$5001,BD!$B$3:$B$5001,J$208,BD!$A$3:$A$5001,_xlfn.MAXIFS(BD!$A$3:$A$5001,BD!$B$3:$B$5001,J$208,BD!$A$3:$A$5001,"&gt;="&amp;$C$8,BD!$A$3:$A$5001,"&lt;="&amp;$D$8,BD!$X$3:$X$5001,"&lt;&gt;")))</f>
        <v/>
      </c>
      <c r="K240" s="44" t="str">
        <f>IF(COUNTIFS(BD!$B$3:$B$5001,K$208,BD!$A$3:$A$5001,"&gt;="&amp;$C$8,BD!$A$3:$A$5001,"&lt;="&amp;$D$8,BD!$X$3:$X$5001,"&lt;&gt;")=0,"",SUMIFS(BD!$X$3:$X$5001,BD!$B$3:$B$5001,K$208,BD!$A$3:$A$5001,_xlfn.MAXIFS(BD!$A$3:$A$5001,BD!$B$3:$B$5001,K$208,BD!$A$3:$A$5001,"&gt;="&amp;$C$8,BD!$A$3:$A$5001,"&lt;="&amp;$D$8,BD!$X$3:$X$5001,"&lt;&gt;")))</f>
        <v/>
      </c>
    </row>
    <row r="241">
      <c r="A241" s="43" t="inlineStr">
        <is>
          <t xml:space="preserve">Depósito</t>
        </is>
      </c>
      <c r="C241" s="40" t="inlineStr">
        <is>
          <t xml:space="preserve">TPC</t>
        </is>
      </c>
      <c r="D241" s="40" t="inlineStr">
        <is>
          <t xml:space="preserve">TPC</t>
        </is>
      </c>
      <c r="E241" s="40" t="inlineStr">
        <is>
          <t xml:space="preserve">TPC</t>
        </is>
      </c>
      <c r="F241" s="40" t="inlineStr">
        <is>
          <t xml:space="preserve">TPC</t>
        </is>
      </c>
      <c r="G241" s="40" t="inlineStr">
        <is>
          <t xml:space="preserve">TPC</t>
        </is>
      </c>
      <c r="H241" s="40" t="inlineStr">
        <is>
          <t xml:space="preserve">TPC</t>
        </is>
      </c>
      <c r="I241" s="40" t="inlineStr">
        <is>
          <t xml:space="preserve">TPC</t>
        </is>
      </c>
      <c r="J241" s="40" t="inlineStr">
        <is>
          <t xml:space="preserve">TPC</t>
        </is>
      </c>
      <c r="K241" s="40" t="inlineStr">
        <is>
          <t xml:space="preserve">TPC</t>
        </is>
      </c>
    </row>
    <row r="243">
      <c r="A243" s="37" t="inlineStr">
        <is>
          <t xml:space="preserve">Efetivo Op.</t>
        </is>
      </c>
      <c r="B243" s="37" t="inlineStr">
        <is>
          <t xml:space="preserve">Data</t>
        </is>
      </c>
      <c r="C243" s="37" t="inlineStr">
        <is>
          <t xml:space="preserve">Alpargatas</t>
        </is>
      </c>
      <c r="D243" s="37" t="inlineStr">
        <is>
          <t xml:space="preserve">Basf</t>
        </is>
      </c>
      <c r="E243" s="37" t="inlineStr">
        <is>
          <t xml:space="preserve">Beautybiz</t>
        </is>
      </c>
      <c r="F243" s="37" t="inlineStr">
        <is>
          <t xml:space="preserve">Boticário</t>
        </is>
      </c>
      <c r="G243" s="37" t="inlineStr">
        <is>
          <t xml:space="preserve">GE Vernova</t>
        </is>
      </c>
      <c r="H243" s="37" t="inlineStr">
        <is>
          <t xml:space="preserve">Omnilife</t>
        </is>
      </c>
      <c r="I243" s="37" t="inlineStr">
        <is>
          <t xml:space="preserve">Supply</t>
        </is>
      </c>
      <c r="J243" s="37" t="inlineStr">
        <is>
          <t xml:space="preserve">Vedacit</t>
        </is>
      </c>
      <c r="K243" s="37" t="inlineStr">
        <is>
          <t xml:space="preserve">Vestas</t>
        </is>
      </c>
    </row>
    <row r="244">
      <c r="A244" s="40">
        <v>1</v>
      </c>
      <c r="B244" s="41">
        <f>$B$12</f>
        <v>46296</v>
      </c>
      <c r="C244" s="42" t="str">
        <f>IF(OR($B244="",$A244&gt;$B$9),"",IF(COUNTIFS(BD!$B$3:$B$5001,C$243,BD!$A$3:$A$5001,"&gt;="&amp;$C$7,BD!$A$3:$A$5001,"&lt;="&amp;$B244,BD!$Z$3:$Z$5001,"&lt;&gt;")=0,"",SUMIFS(BD!$Z$3:$Z$5001,BD!$B$3:$B$5001,C$243,BD!$A$3:$A$5001,_xlfn.MAXIFS(BD!$A$3:$A$5001,BD!$B$3:$B$5001,C$243,BD!$A$3:$A$5001,"&gt;="&amp;$C$7,BD!$A$3:$A$5001,"&lt;="&amp;$B244,BD!$Z$3:$Z$5001,"&lt;&gt;"))))</f>
        <v/>
      </c>
      <c r="D244" s="42" t="str">
        <f>IF(OR($B244="",$A244&gt;$B$9),"",IF(COUNTIFS(BD!$B$3:$B$5001,D$243,BD!$A$3:$A$5001,"&gt;="&amp;$C$7,BD!$A$3:$A$5001,"&lt;="&amp;$B244,BD!$Z$3:$Z$5001,"&lt;&gt;")=0,"",SUMIFS(BD!$Z$3:$Z$5001,BD!$B$3:$B$5001,D$243,BD!$A$3:$A$5001,_xlfn.MAXIFS(BD!$A$3:$A$5001,BD!$B$3:$B$5001,D$243,BD!$A$3:$A$5001,"&gt;="&amp;$C$7,BD!$A$3:$A$5001,"&lt;="&amp;$B244,BD!$Z$3:$Z$5001,"&lt;&gt;"))))</f>
        <v/>
      </c>
      <c r="E244" s="42" t="str">
        <f>IF(OR($B244="",$A244&gt;$B$9),"",IF(COUNTIFS(BD!$B$3:$B$5001,E$243,BD!$A$3:$A$5001,"&gt;="&amp;$C$7,BD!$A$3:$A$5001,"&lt;="&amp;$B244,BD!$Z$3:$Z$5001,"&lt;&gt;")=0,"",SUMIFS(BD!$Z$3:$Z$5001,BD!$B$3:$B$5001,E$243,BD!$A$3:$A$5001,_xlfn.MAXIFS(BD!$A$3:$A$5001,BD!$B$3:$B$5001,E$243,BD!$A$3:$A$5001,"&gt;="&amp;$C$7,BD!$A$3:$A$5001,"&lt;="&amp;$B244,BD!$Z$3:$Z$5001,"&lt;&gt;"))))</f>
        <v/>
      </c>
      <c r="F244" s="42" t="str">
        <f>IF(OR($B244="",$A244&gt;$B$9),"",IF(COUNTIFS(BD!$B$3:$B$5001,F$243,BD!$A$3:$A$5001,"&gt;="&amp;$C$7,BD!$A$3:$A$5001,"&lt;="&amp;$B244,BD!$Z$3:$Z$5001,"&lt;&gt;")=0,"",SUMIFS(BD!$Z$3:$Z$5001,BD!$B$3:$B$5001,F$243,BD!$A$3:$A$5001,_xlfn.MAXIFS(BD!$A$3:$A$5001,BD!$B$3:$B$5001,F$243,BD!$A$3:$A$5001,"&gt;="&amp;$C$7,BD!$A$3:$A$5001,"&lt;="&amp;$B244,BD!$Z$3:$Z$5001,"&lt;&gt;"))))</f>
        <v/>
      </c>
      <c r="G244" s="42" t="str">
        <f>IF(OR($B244="",$A244&gt;$B$9),"",IF(COUNTIFS(BD!$B$3:$B$5001,G$243,BD!$A$3:$A$5001,"&gt;="&amp;$C$7,BD!$A$3:$A$5001,"&lt;="&amp;$B244,BD!$Z$3:$Z$5001,"&lt;&gt;")=0,"",SUMIFS(BD!$Z$3:$Z$5001,BD!$B$3:$B$5001,G$243,BD!$A$3:$A$5001,_xlfn.MAXIFS(BD!$A$3:$A$5001,BD!$B$3:$B$5001,G$243,BD!$A$3:$A$5001,"&gt;="&amp;$C$7,BD!$A$3:$A$5001,"&lt;="&amp;$B244,BD!$Z$3:$Z$5001,"&lt;&gt;"))))</f>
        <v/>
      </c>
      <c r="H244" s="42" t="str">
        <f>IF(OR($B244="",$A244&gt;$B$9),"",IF(COUNTIFS(BD!$B$3:$B$5001,H$243,BD!$A$3:$A$5001,"&gt;="&amp;$C$7,BD!$A$3:$A$5001,"&lt;="&amp;$B244,BD!$Z$3:$Z$5001,"&lt;&gt;")=0,"",SUMIFS(BD!$Z$3:$Z$5001,BD!$B$3:$B$5001,H$243,BD!$A$3:$A$5001,_xlfn.MAXIFS(BD!$A$3:$A$5001,BD!$B$3:$B$5001,H$243,BD!$A$3:$A$5001,"&gt;="&amp;$C$7,BD!$A$3:$A$5001,"&lt;="&amp;$B244,BD!$Z$3:$Z$5001,"&lt;&gt;"))))</f>
        <v/>
      </c>
      <c r="I244" s="42" t="str">
        <f>IF(OR($B244="",$A244&gt;$B$9),"",IF(COUNTIFS(BD!$B$3:$B$5001,I$243,BD!$A$3:$A$5001,"&gt;="&amp;$C$7,BD!$A$3:$A$5001,"&lt;="&amp;$B244,BD!$Z$3:$Z$5001,"&lt;&gt;")=0,"",SUMIFS(BD!$Z$3:$Z$5001,BD!$B$3:$B$5001,I$243,BD!$A$3:$A$5001,_xlfn.MAXIFS(BD!$A$3:$A$5001,BD!$B$3:$B$5001,I$243,BD!$A$3:$A$5001,"&gt;="&amp;$C$7,BD!$A$3:$A$5001,"&lt;="&amp;$B244,BD!$Z$3:$Z$5001,"&lt;&gt;"))))</f>
        <v/>
      </c>
      <c r="J244" s="42" t="str">
        <f>IF(OR($B244="",$A244&gt;$B$9),"",IF(COUNTIFS(BD!$B$3:$B$5001,J$243,BD!$A$3:$A$5001,"&gt;="&amp;$C$7,BD!$A$3:$A$5001,"&lt;="&amp;$B244,BD!$Z$3:$Z$5001,"&lt;&gt;")=0,"",SUMIFS(BD!$Z$3:$Z$5001,BD!$B$3:$B$5001,J$243,BD!$A$3:$A$5001,_xlfn.MAXIFS(BD!$A$3:$A$5001,BD!$B$3:$B$5001,J$243,BD!$A$3:$A$5001,"&gt;="&amp;$C$7,BD!$A$3:$A$5001,"&lt;="&amp;$B244,BD!$Z$3:$Z$5001,"&lt;&gt;"))))</f>
        <v/>
      </c>
      <c r="K244" s="42" t="str">
        <f>IF(OR($B244="",$A244&gt;$B$9),"",IF(COUNTIFS(BD!$B$3:$B$5001,K$243,BD!$A$3:$A$5001,"&gt;="&amp;$C$7,BD!$A$3:$A$5001,"&lt;="&amp;$B244,BD!$Z$3:$Z$5001,"&lt;&gt;")=0,"",SUMIFS(BD!$Z$3:$Z$5001,BD!$B$3:$B$5001,K$243,BD!$A$3:$A$5001,_xlfn.MAXIFS(BD!$A$3:$A$5001,BD!$B$3:$B$5001,K$243,BD!$A$3:$A$5001,"&gt;="&amp;$C$7,BD!$A$3:$A$5001,"&lt;="&amp;$B244,BD!$Z$3:$Z$5001,"&lt;&gt;"))))</f>
        <v/>
      </c>
    </row>
    <row r="245">
      <c r="A245" s="40">
        <v>2</v>
      </c>
      <c r="B245" s="41">
        <f>$B$13</f>
        <v>46297</v>
      </c>
      <c r="C245" s="42" t="str">
        <f>IF(OR($B245="",$A245&gt;$B$9),"",IF(COUNTIFS(BD!$B$3:$B$5001,C$243,BD!$A$3:$A$5001,"&gt;="&amp;$C$7,BD!$A$3:$A$5001,"&lt;="&amp;$B245,BD!$Z$3:$Z$5001,"&lt;&gt;")=0,"",SUMIFS(BD!$Z$3:$Z$5001,BD!$B$3:$B$5001,C$243,BD!$A$3:$A$5001,_xlfn.MAXIFS(BD!$A$3:$A$5001,BD!$B$3:$B$5001,C$243,BD!$A$3:$A$5001,"&gt;="&amp;$C$7,BD!$A$3:$A$5001,"&lt;="&amp;$B245,BD!$Z$3:$Z$5001,"&lt;&gt;"))))</f>
        <v/>
      </c>
      <c r="D245" s="42" t="str">
        <f>IF(OR($B245="",$A245&gt;$B$9),"",IF(COUNTIFS(BD!$B$3:$B$5001,D$243,BD!$A$3:$A$5001,"&gt;="&amp;$C$7,BD!$A$3:$A$5001,"&lt;="&amp;$B245,BD!$Z$3:$Z$5001,"&lt;&gt;")=0,"",SUMIFS(BD!$Z$3:$Z$5001,BD!$B$3:$B$5001,D$243,BD!$A$3:$A$5001,_xlfn.MAXIFS(BD!$A$3:$A$5001,BD!$B$3:$B$5001,D$243,BD!$A$3:$A$5001,"&gt;="&amp;$C$7,BD!$A$3:$A$5001,"&lt;="&amp;$B245,BD!$Z$3:$Z$5001,"&lt;&gt;"))))</f>
        <v/>
      </c>
      <c r="E245" s="42" t="str">
        <f>IF(OR($B245="",$A245&gt;$B$9),"",IF(COUNTIFS(BD!$B$3:$B$5001,E$243,BD!$A$3:$A$5001,"&gt;="&amp;$C$7,BD!$A$3:$A$5001,"&lt;="&amp;$B245,BD!$Z$3:$Z$5001,"&lt;&gt;")=0,"",SUMIFS(BD!$Z$3:$Z$5001,BD!$B$3:$B$5001,E$243,BD!$A$3:$A$5001,_xlfn.MAXIFS(BD!$A$3:$A$5001,BD!$B$3:$B$5001,E$243,BD!$A$3:$A$5001,"&gt;="&amp;$C$7,BD!$A$3:$A$5001,"&lt;="&amp;$B245,BD!$Z$3:$Z$5001,"&lt;&gt;"))))</f>
        <v/>
      </c>
      <c r="F245" s="42" t="str">
        <f>IF(OR($B245="",$A245&gt;$B$9),"",IF(COUNTIFS(BD!$B$3:$B$5001,F$243,BD!$A$3:$A$5001,"&gt;="&amp;$C$7,BD!$A$3:$A$5001,"&lt;="&amp;$B245,BD!$Z$3:$Z$5001,"&lt;&gt;")=0,"",SUMIFS(BD!$Z$3:$Z$5001,BD!$B$3:$B$5001,F$243,BD!$A$3:$A$5001,_xlfn.MAXIFS(BD!$A$3:$A$5001,BD!$B$3:$B$5001,F$243,BD!$A$3:$A$5001,"&gt;="&amp;$C$7,BD!$A$3:$A$5001,"&lt;="&amp;$B245,BD!$Z$3:$Z$5001,"&lt;&gt;"))))</f>
        <v/>
      </c>
      <c r="G245" s="42" t="str">
        <f>IF(OR($B245="",$A245&gt;$B$9),"",IF(COUNTIFS(BD!$B$3:$B$5001,G$243,BD!$A$3:$A$5001,"&gt;="&amp;$C$7,BD!$A$3:$A$5001,"&lt;="&amp;$B245,BD!$Z$3:$Z$5001,"&lt;&gt;")=0,"",SUMIFS(BD!$Z$3:$Z$5001,BD!$B$3:$B$5001,G$243,BD!$A$3:$A$5001,_xlfn.MAXIFS(BD!$A$3:$A$5001,BD!$B$3:$B$5001,G$243,BD!$A$3:$A$5001,"&gt;="&amp;$C$7,BD!$A$3:$A$5001,"&lt;="&amp;$B245,BD!$Z$3:$Z$5001,"&lt;&gt;"))))</f>
        <v/>
      </c>
      <c r="H245" s="42" t="str">
        <f>IF(OR($B245="",$A245&gt;$B$9),"",IF(COUNTIFS(BD!$B$3:$B$5001,H$243,BD!$A$3:$A$5001,"&gt;="&amp;$C$7,BD!$A$3:$A$5001,"&lt;="&amp;$B245,BD!$Z$3:$Z$5001,"&lt;&gt;")=0,"",SUMIFS(BD!$Z$3:$Z$5001,BD!$B$3:$B$5001,H$243,BD!$A$3:$A$5001,_xlfn.MAXIFS(BD!$A$3:$A$5001,BD!$B$3:$B$5001,H$243,BD!$A$3:$A$5001,"&gt;="&amp;$C$7,BD!$A$3:$A$5001,"&lt;="&amp;$B245,BD!$Z$3:$Z$5001,"&lt;&gt;"))))</f>
        <v/>
      </c>
      <c r="I245" s="42" t="str">
        <f>IF(OR($B245="",$A245&gt;$B$9),"",IF(COUNTIFS(BD!$B$3:$B$5001,I$243,BD!$A$3:$A$5001,"&gt;="&amp;$C$7,BD!$A$3:$A$5001,"&lt;="&amp;$B245,BD!$Z$3:$Z$5001,"&lt;&gt;")=0,"",SUMIFS(BD!$Z$3:$Z$5001,BD!$B$3:$B$5001,I$243,BD!$A$3:$A$5001,_xlfn.MAXIFS(BD!$A$3:$A$5001,BD!$B$3:$B$5001,I$243,BD!$A$3:$A$5001,"&gt;="&amp;$C$7,BD!$A$3:$A$5001,"&lt;="&amp;$B245,BD!$Z$3:$Z$5001,"&lt;&gt;"))))</f>
        <v/>
      </c>
      <c r="J245" s="42" t="str">
        <f>IF(OR($B245="",$A245&gt;$B$9),"",IF(COUNTIFS(BD!$B$3:$B$5001,J$243,BD!$A$3:$A$5001,"&gt;="&amp;$C$7,BD!$A$3:$A$5001,"&lt;="&amp;$B245,BD!$Z$3:$Z$5001,"&lt;&gt;")=0,"",SUMIFS(BD!$Z$3:$Z$5001,BD!$B$3:$B$5001,J$243,BD!$A$3:$A$5001,_xlfn.MAXIFS(BD!$A$3:$A$5001,BD!$B$3:$B$5001,J$243,BD!$A$3:$A$5001,"&gt;="&amp;$C$7,BD!$A$3:$A$5001,"&lt;="&amp;$B245,BD!$Z$3:$Z$5001,"&lt;&gt;"))))</f>
        <v/>
      </c>
      <c r="K245" s="42" t="str">
        <f>IF(OR($B245="",$A245&gt;$B$9),"",IF(COUNTIFS(BD!$B$3:$B$5001,K$243,BD!$A$3:$A$5001,"&gt;="&amp;$C$7,BD!$A$3:$A$5001,"&lt;="&amp;$B245,BD!$Z$3:$Z$5001,"&lt;&gt;")=0,"",SUMIFS(BD!$Z$3:$Z$5001,BD!$B$3:$B$5001,K$243,BD!$A$3:$A$5001,_xlfn.MAXIFS(BD!$A$3:$A$5001,BD!$B$3:$B$5001,K$243,BD!$A$3:$A$5001,"&gt;="&amp;$C$7,BD!$A$3:$A$5001,"&lt;="&amp;$B245,BD!$Z$3:$Z$5001,"&lt;&gt;"))))</f>
        <v/>
      </c>
    </row>
    <row r="246">
      <c r="A246" s="40">
        <v>3</v>
      </c>
      <c r="B246" s="41">
        <f>$B$14</f>
        <v>46298</v>
      </c>
      <c r="C246" s="42" t="str">
        <f>IF(OR($B246="",$A246&gt;$B$9),"",IF(COUNTIFS(BD!$B$3:$B$5001,C$243,BD!$A$3:$A$5001,"&gt;="&amp;$C$7,BD!$A$3:$A$5001,"&lt;="&amp;$B246,BD!$Z$3:$Z$5001,"&lt;&gt;")=0,"",SUMIFS(BD!$Z$3:$Z$5001,BD!$B$3:$B$5001,C$243,BD!$A$3:$A$5001,_xlfn.MAXIFS(BD!$A$3:$A$5001,BD!$B$3:$B$5001,C$243,BD!$A$3:$A$5001,"&gt;="&amp;$C$7,BD!$A$3:$A$5001,"&lt;="&amp;$B246,BD!$Z$3:$Z$5001,"&lt;&gt;"))))</f>
        <v/>
      </c>
      <c r="D246" s="42" t="str">
        <f>IF(OR($B246="",$A246&gt;$B$9),"",IF(COUNTIFS(BD!$B$3:$B$5001,D$243,BD!$A$3:$A$5001,"&gt;="&amp;$C$7,BD!$A$3:$A$5001,"&lt;="&amp;$B246,BD!$Z$3:$Z$5001,"&lt;&gt;")=0,"",SUMIFS(BD!$Z$3:$Z$5001,BD!$B$3:$B$5001,D$243,BD!$A$3:$A$5001,_xlfn.MAXIFS(BD!$A$3:$A$5001,BD!$B$3:$B$5001,D$243,BD!$A$3:$A$5001,"&gt;="&amp;$C$7,BD!$A$3:$A$5001,"&lt;="&amp;$B246,BD!$Z$3:$Z$5001,"&lt;&gt;"))))</f>
        <v/>
      </c>
      <c r="E246" s="42" t="str">
        <f>IF(OR($B246="",$A246&gt;$B$9),"",IF(COUNTIFS(BD!$B$3:$B$5001,E$243,BD!$A$3:$A$5001,"&gt;="&amp;$C$7,BD!$A$3:$A$5001,"&lt;="&amp;$B246,BD!$Z$3:$Z$5001,"&lt;&gt;")=0,"",SUMIFS(BD!$Z$3:$Z$5001,BD!$B$3:$B$5001,E$243,BD!$A$3:$A$5001,_xlfn.MAXIFS(BD!$A$3:$A$5001,BD!$B$3:$B$5001,E$243,BD!$A$3:$A$5001,"&gt;="&amp;$C$7,BD!$A$3:$A$5001,"&lt;="&amp;$B246,BD!$Z$3:$Z$5001,"&lt;&gt;"))))</f>
        <v/>
      </c>
      <c r="F246" s="42" t="str">
        <f>IF(OR($B246="",$A246&gt;$B$9),"",IF(COUNTIFS(BD!$B$3:$B$5001,F$243,BD!$A$3:$A$5001,"&gt;="&amp;$C$7,BD!$A$3:$A$5001,"&lt;="&amp;$B246,BD!$Z$3:$Z$5001,"&lt;&gt;")=0,"",SUMIFS(BD!$Z$3:$Z$5001,BD!$B$3:$B$5001,F$243,BD!$A$3:$A$5001,_xlfn.MAXIFS(BD!$A$3:$A$5001,BD!$B$3:$B$5001,F$243,BD!$A$3:$A$5001,"&gt;="&amp;$C$7,BD!$A$3:$A$5001,"&lt;="&amp;$B246,BD!$Z$3:$Z$5001,"&lt;&gt;"))))</f>
        <v/>
      </c>
      <c r="G246" s="42" t="str">
        <f>IF(OR($B246="",$A246&gt;$B$9),"",IF(COUNTIFS(BD!$B$3:$B$5001,G$243,BD!$A$3:$A$5001,"&gt;="&amp;$C$7,BD!$A$3:$A$5001,"&lt;="&amp;$B246,BD!$Z$3:$Z$5001,"&lt;&gt;")=0,"",SUMIFS(BD!$Z$3:$Z$5001,BD!$B$3:$B$5001,G$243,BD!$A$3:$A$5001,_xlfn.MAXIFS(BD!$A$3:$A$5001,BD!$B$3:$B$5001,G$243,BD!$A$3:$A$5001,"&gt;="&amp;$C$7,BD!$A$3:$A$5001,"&lt;="&amp;$B246,BD!$Z$3:$Z$5001,"&lt;&gt;"))))</f>
        <v/>
      </c>
      <c r="H246" s="42" t="str">
        <f>IF(OR($B246="",$A246&gt;$B$9),"",IF(COUNTIFS(BD!$B$3:$B$5001,H$243,BD!$A$3:$A$5001,"&gt;="&amp;$C$7,BD!$A$3:$A$5001,"&lt;="&amp;$B246,BD!$Z$3:$Z$5001,"&lt;&gt;")=0,"",SUMIFS(BD!$Z$3:$Z$5001,BD!$B$3:$B$5001,H$243,BD!$A$3:$A$5001,_xlfn.MAXIFS(BD!$A$3:$A$5001,BD!$B$3:$B$5001,H$243,BD!$A$3:$A$5001,"&gt;="&amp;$C$7,BD!$A$3:$A$5001,"&lt;="&amp;$B246,BD!$Z$3:$Z$5001,"&lt;&gt;"))))</f>
        <v/>
      </c>
      <c r="I246" s="42" t="str">
        <f>IF(OR($B246="",$A246&gt;$B$9),"",IF(COUNTIFS(BD!$B$3:$B$5001,I$243,BD!$A$3:$A$5001,"&gt;="&amp;$C$7,BD!$A$3:$A$5001,"&lt;="&amp;$B246,BD!$Z$3:$Z$5001,"&lt;&gt;")=0,"",SUMIFS(BD!$Z$3:$Z$5001,BD!$B$3:$B$5001,I$243,BD!$A$3:$A$5001,_xlfn.MAXIFS(BD!$A$3:$A$5001,BD!$B$3:$B$5001,I$243,BD!$A$3:$A$5001,"&gt;="&amp;$C$7,BD!$A$3:$A$5001,"&lt;="&amp;$B246,BD!$Z$3:$Z$5001,"&lt;&gt;"))))</f>
        <v/>
      </c>
      <c r="J246" s="42" t="str">
        <f>IF(OR($B246="",$A246&gt;$B$9),"",IF(COUNTIFS(BD!$B$3:$B$5001,J$243,BD!$A$3:$A$5001,"&gt;="&amp;$C$7,BD!$A$3:$A$5001,"&lt;="&amp;$B246,BD!$Z$3:$Z$5001,"&lt;&gt;")=0,"",SUMIFS(BD!$Z$3:$Z$5001,BD!$B$3:$B$5001,J$243,BD!$A$3:$A$5001,_xlfn.MAXIFS(BD!$A$3:$A$5001,BD!$B$3:$B$5001,J$243,BD!$A$3:$A$5001,"&gt;="&amp;$C$7,BD!$A$3:$A$5001,"&lt;="&amp;$B246,BD!$Z$3:$Z$5001,"&lt;&gt;"))))</f>
        <v/>
      </c>
      <c r="K246" s="42" t="str">
        <f>IF(OR($B246="",$A246&gt;$B$9),"",IF(COUNTIFS(BD!$B$3:$B$5001,K$243,BD!$A$3:$A$5001,"&gt;="&amp;$C$7,BD!$A$3:$A$5001,"&lt;="&amp;$B246,BD!$Z$3:$Z$5001,"&lt;&gt;")=0,"",SUMIFS(BD!$Z$3:$Z$5001,BD!$B$3:$B$5001,K$243,BD!$A$3:$A$5001,_xlfn.MAXIFS(BD!$A$3:$A$5001,BD!$B$3:$B$5001,K$243,BD!$A$3:$A$5001,"&gt;="&amp;$C$7,BD!$A$3:$A$5001,"&lt;="&amp;$B246,BD!$Z$3:$Z$5001,"&lt;&gt;"))))</f>
        <v/>
      </c>
    </row>
    <row r="247">
      <c r="A247" s="40">
        <v>4</v>
      </c>
      <c r="B247" s="41">
        <f>$B$15</f>
        <v>46299</v>
      </c>
      <c r="C247" s="42" t="str">
        <f>IF(OR($B247="",$A247&gt;$B$9),"",IF(COUNTIFS(BD!$B$3:$B$5001,C$243,BD!$A$3:$A$5001,"&gt;="&amp;$C$7,BD!$A$3:$A$5001,"&lt;="&amp;$B247,BD!$Z$3:$Z$5001,"&lt;&gt;")=0,"",SUMIFS(BD!$Z$3:$Z$5001,BD!$B$3:$B$5001,C$243,BD!$A$3:$A$5001,_xlfn.MAXIFS(BD!$A$3:$A$5001,BD!$B$3:$B$5001,C$243,BD!$A$3:$A$5001,"&gt;="&amp;$C$7,BD!$A$3:$A$5001,"&lt;="&amp;$B247,BD!$Z$3:$Z$5001,"&lt;&gt;"))))</f>
        <v/>
      </c>
      <c r="D247" s="42" t="str">
        <f>IF(OR($B247="",$A247&gt;$B$9),"",IF(COUNTIFS(BD!$B$3:$B$5001,D$243,BD!$A$3:$A$5001,"&gt;="&amp;$C$7,BD!$A$3:$A$5001,"&lt;="&amp;$B247,BD!$Z$3:$Z$5001,"&lt;&gt;")=0,"",SUMIFS(BD!$Z$3:$Z$5001,BD!$B$3:$B$5001,D$243,BD!$A$3:$A$5001,_xlfn.MAXIFS(BD!$A$3:$A$5001,BD!$B$3:$B$5001,D$243,BD!$A$3:$A$5001,"&gt;="&amp;$C$7,BD!$A$3:$A$5001,"&lt;="&amp;$B247,BD!$Z$3:$Z$5001,"&lt;&gt;"))))</f>
        <v/>
      </c>
      <c r="E247" s="42" t="str">
        <f>IF(OR($B247="",$A247&gt;$B$9),"",IF(COUNTIFS(BD!$B$3:$B$5001,E$243,BD!$A$3:$A$5001,"&gt;="&amp;$C$7,BD!$A$3:$A$5001,"&lt;="&amp;$B247,BD!$Z$3:$Z$5001,"&lt;&gt;")=0,"",SUMIFS(BD!$Z$3:$Z$5001,BD!$B$3:$B$5001,E$243,BD!$A$3:$A$5001,_xlfn.MAXIFS(BD!$A$3:$A$5001,BD!$B$3:$B$5001,E$243,BD!$A$3:$A$5001,"&gt;="&amp;$C$7,BD!$A$3:$A$5001,"&lt;="&amp;$B247,BD!$Z$3:$Z$5001,"&lt;&gt;"))))</f>
        <v/>
      </c>
      <c r="F247" s="42" t="str">
        <f>IF(OR($B247="",$A247&gt;$B$9),"",IF(COUNTIFS(BD!$B$3:$B$5001,F$243,BD!$A$3:$A$5001,"&gt;="&amp;$C$7,BD!$A$3:$A$5001,"&lt;="&amp;$B247,BD!$Z$3:$Z$5001,"&lt;&gt;")=0,"",SUMIFS(BD!$Z$3:$Z$5001,BD!$B$3:$B$5001,F$243,BD!$A$3:$A$5001,_xlfn.MAXIFS(BD!$A$3:$A$5001,BD!$B$3:$B$5001,F$243,BD!$A$3:$A$5001,"&gt;="&amp;$C$7,BD!$A$3:$A$5001,"&lt;="&amp;$B247,BD!$Z$3:$Z$5001,"&lt;&gt;"))))</f>
        <v/>
      </c>
      <c r="G247" s="42" t="str">
        <f>IF(OR($B247="",$A247&gt;$B$9),"",IF(COUNTIFS(BD!$B$3:$B$5001,G$243,BD!$A$3:$A$5001,"&gt;="&amp;$C$7,BD!$A$3:$A$5001,"&lt;="&amp;$B247,BD!$Z$3:$Z$5001,"&lt;&gt;")=0,"",SUMIFS(BD!$Z$3:$Z$5001,BD!$B$3:$B$5001,G$243,BD!$A$3:$A$5001,_xlfn.MAXIFS(BD!$A$3:$A$5001,BD!$B$3:$B$5001,G$243,BD!$A$3:$A$5001,"&gt;="&amp;$C$7,BD!$A$3:$A$5001,"&lt;="&amp;$B247,BD!$Z$3:$Z$5001,"&lt;&gt;"))))</f>
        <v/>
      </c>
      <c r="H247" s="42" t="str">
        <f>IF(OR($B247="",$A247&gt;$B$9),"",IF(COUNTIFS(BD!$B$3:$B$5001,H$243,BD!$A$3:$A$5001,"&gt;="&amp;$C$7,BD!$A$3:$A$5001,"&lt;="&amp;$B247,BD!$Z$3:$Z$5001,"&lt;&gt;")=0,"",SUMIFS(BD!$Z$3:$Z$5001,BD!$B$3:$B$5001,H$243,BD!$A$3:$A$5001,_xlfn.MAXIFS(BD!$A$3:$A$5001,BD!$B$3:$B$5001,H$243,BD!$A$3:$A$5001,"&gt;="&amp;$C$7,BD!$A$3:$A$5001,"&lt;="&amp;$B247,BD!$Z$3:$Z$5001,"&lt;&gt;"))))</f>
        <v/>
      </c>
      <c r="I247" s="42" t="str">
        <f>IF(OR($B247="",$A247&gt;$B$9),"",IF(COUNTIFS(BD!$B$3:$B$5001,I$243,BD!$A$3:$A$5001,"&gt;="&amp;$C$7,BD!$A$3:$A$5001,"&lt;="&amp;$B247,BD!$Z$3:$Z$5001,"&lt;&gt;")=0,"",SUMIFS(BD!$Z$3:$Z$5001,BD!$B$3:$B$5001,I$243,BD!$A$3:$A$5001,_xlfn.MAXIFS(BD!$A$3:$A$5001,BD!$B$3:$B$5001,I$243,BD!$A$3:$A$5001,"&gt;="&amp;$C$7,BD!$A$3:$A$5001,"&lt;="&amp;$B247,BD!$Z$3:$Z$5001,"&lt;&gt;"))))</f>
        <v/>
      </c>
      <c r="J247" s="42" t="str">
        <f>IF(OR($B247="",$A247&gt;$B$9),"",IF(COUNTIFS(BD!$B$3:$B$5001,J$243,BD!$A$3:$A$5001,"&gt;="&amp;$C$7,BD!$A$3:$A$5001,"&lt;="&amp;$B247,BD!$Z$3:$Z$5001,"&lt;&gt;")=0,"",SUMIFS(BD!$Z$3:$Z$5001,BD!$B$3:$B$5001,J$243,BD!$A$3:$A$5001,_xlfn.MAXIFS(BD!$A$3:$A$5001,BD!$B$3:$B$5001,J$243,BD!$A$3:$A$5001,"&gt;="&amp;$C$7,BD!$A$3:$A$5001,"&lt;="&amp;$B247,BD!$Z$3:$Z$5001,"&lt;&gt;"))))</f>
        <v/>
      </c>
      <c r="K247" s="42" t="str">
        <f>IF(OR($B247="",$A247&gt;$B$9),"",IF(COUNTIFS(BD!$B$3:$B$5001,K$243,BD!$A$3:$A$5001,"&gt;="&amp;$C$7,BD!$A$3:$A$5001,"&lt;="&amp;$B247,BD!$Z$3:$Z$5001,"&lt;&gt;")=0,"",SUMIFS(BD!$Z$3:$Z$5001,BD!$B$3:$B$5001,K$243,BD!$A$3:$A$5001,_xlfn.MAXIFS(BD!$A$3:$A$5001,BD!$B$3:$B$5001,K$243,BD!$A$3:$A$5001,"&gt;="&amp;$C$7,BD!$A$3:$A$5001,"&lt;="&amp;$B247,BD!$Z$3:$Z$5001,"&lt;&gt;"))))</f>
        <v/>
      </c>
    </row>
    <row r="248">
      <c r="A248" s="40">
        <v>5</v>
      </c>
      <c r="B248" s="41">
        <f>$B$16</f>
        <v>46300</v>
      </c>
      <c r="C248" s="42" t="str">
        <f>IF(OR($B248="",$A248&gt;$B$9),"",IF(COUNTIFS(BD!$B$3:$B$5001,C$243,BD!$A$3:$A$5001,"&gt;="&amp;$C$7,BD!$A$3:$A$5001,"&lt;="&amp;$B248,BD!$Z$3:$Z$5001,"&lt;&gt;")=0,"",SUMIFS(BD!$Z$3:$Z$5001,BD!$B$3:$B$5001,C$243,BD!$A$3:$A$5001,_xlfn.MAXIFS(BD!$A$3:$A$5001,BD!$B$3:$B$5001,C$243,BD!$A$3:$A$5001,"&gt;="&amp;$C$7,BD!$A$3:$A$5001,"&lt;="&amp;$B248,BD!$Z$3:$Z$5001,"&lt;&gt;"))))</f>
        <v/>
      </c>
      <c r="D248" s="42" t="str">
        <f>IF(OR($B248="",$A248&gt;$B$9),"",IF(COUNTIFS(BD!$B$3:$B$5001,D$243,BD!$A$3:$A$5001,"&gt;="&amp;$C$7,BD!$A$3:$A$5001,"&lt;="&amp;$B248,BD!$Z$3:$Z$5001,"&lt;&gt;")=0,"",SUMIFS(BD!$Z$3:$Z$5001,BD!$B$3:$B$5001,D$243,BD!$A$3:$A$5001,_xlfn.MAXIFS(BD!$A$3:$A$5001,BD!$B$3:$B$5001,D$243,BD!$A$3:$A$5001,"&gt;="&amp;$C$7,BD!$A$3:$A$5001,"&lt;="&amp;$B248,BD!$Z$3:$Z$5001,"&lt;&gt;"))))</f>
        <v/>
      </c>
      <c r="E248" s="42" t="str">
        <f>IF(OR($B248="",$A248&gt;$B$9),"",IF(COUNTIFS(BD!$B$3:$B$5001,E$243,BD!$A$3:$A$5001,"&gt;="&amp;$C$7,BD!$A$3:$A$5001,"&lt;="&amp;$B248,BD!$Z$3:$Z$5001,"&lt;&gt;")=0,"",SUMIFS(BD!$Z$3:$Z$5001,BD!$B$3:$B$5001,E$243,BD!$A$3:$A$5001,_xlfn.MAXIFS(BD!$A$3:$A$5001,BD!$B$3:$B$5001,E$243,BD!$A$3:$A$5001,"&gt;="&amp;$C$7,BD!$A$3:$A$5001,"&lt;="&amp;$B248,BD!$Z$3:$Z$5001,"&lt;&gt;"))))</f>
        <v/>
      </c>
      <c r="F248" s="42" t="str">
        <f>IF(OR($B248="",$A248&gt;$B$9),"",IF(COUNTIFS(BD!$B$3:$B$5001,F$243,BD!$A$3:$A$5001,"&gt;="&amp;$C$7,BD!$A$3:$A$5001,"&lt;="&amp;$B248,BD!$Z$3:$Z$5001,"&lt;&gt;")=0,"",SUMIFS(BD!$Z$3:$Z$5001,BD!$B$3:$B$5001,F$243,BD!$A$3:$A$5001,_xlfn.MAXIFS(BD!$A$3:$A$5001,BD!$B$3:$B$5001,F$243,BD!$A$3:$A$5001,"&gt;="&amp;$C$7,BD!$A$3:$A$5001,"&lt;="&amp;$B248,BD!$Z$3:$Z$5001,"&lt;&gt;"))))</f>
        <v/>
      </c>
      <c r="G248" s="42" t="str">
        <f>IF(OR($B248="",$A248&gt;$B$9),"",IF(COUNTIFS(BD!$B$3:$B$5001,G$243,BD!$A$3:$A$5001,"&gt;="&amp;$C$7,BD!$A$3:$A$5001,"&lt;="&amp;$B248,BD!$Z$3:$Z$5001,"&lt;&gt;")=0,"",SUMIFS(BD!$Z$3:$Z$5001,BD!$B$3:$B$5001,G$243,BD!$A$3:$A$5001,_xlfn.MAXIFS(BD!$A$3:$A$5001,BD!$B$3:$B$5001,G$243,BD!$A$3:$A$5001,"&gt;="&amp;$C$7,BD!$A$3:$A$5001,"&lt;="&amp;$B248,BD!$Z$3:$Z$5001,"&lt;&gt;"))))</f>
        <v/>
      </c>
      <c r="H248" s="42" t="str">
        <f>IF(OR($B248="",$A248&gt;$B$9),"",IF(COUNTIFS(BD!$B$3:$B$5001,H$243,BD!$A$3:$A$5001,"&gt;="&amp;$C$7,BD!$A$3:$A$5001,"&lt;="&amp;$B248,BD!$Z$3:$Z$5001,"&lt;&gt;")=0,"",SUMIFS(BD!$Z$3:$Z$5001,BD!$B$3:$B$5001,H$243,BD!$A$3:$A$5001,_xlfn.MAXIFS(BD!$A$3:$A$5001,BD!$B$3:$B$5001,H$243,BD!$A$3:$A$5001,"&gt;="&amp;$C$7,BD!$A$3:$A$5001,"&lt;="&amp;$B248,BD!$Z$3:$Z$5001,"&lt;&gt;"))))</f>
        <v/>
      </c>
      <c r="I248" s="42" t="str">
        <f>IF(OR($B248="",$A248&gt;$B$9),"",IF(COUNTIFS(BD!$B$3:$B$5001,I$243,BD!$A$3:$A$5001,"&gt;="&amp;$C$7,BD!$A$3:$A$5001,"&lt;="&amp;$B248,BD!$Z$3:$Z$5001,"&lt;&gt;")=0,"",SUMIFS(BD!$Z$3:$Z$5001,BD!$B$3:$B$5001,I$243,BD!$A$3:$A$5001,_xlfn.MAXIFS(BD!$A$3:$A$5001,BD!$B$3:$B$5001,I$243,BD!$A$3:$A$5001,"&gt;="&amp;$C$7,BD!$A$3:$A$5001,"&lt;="&amp;$B248,BD!$Z$3:$Z$5001,"&lt;&gt;"))))</f>
        <v/>
      </c>
      <c r="J248" s="42" t="str">
        <f>IF(OR($B248="",$A248&gt;$B$9),"",IF(COUNTIFS(BD!$B$3:$B$5001,J$243,BD!$A$3:$A$5001,"&gt;="&amp;$C$7,BD!$A$3:$A$5001,"&lt;="&amp;$B248,BD!$Z$3:$Z$5001,"&lt;&gt;")=0,"",SUMIFS(BD!$Z$3:$Z$5001,BD!$B$3:$B$5001,J$243,BD!$A$3:$A$5001,_xlfn.MAXIFS(BD!$A$3:$A$5001,BD!$B$3:$B$5001,J$243,BD!$A$3:$A$5001,"&gt;="&amp;$C$7,BD!$A$3:$A$5001,"&lt;="&amp;$B248,BD!$Z$3:$Z$5001,"&lt;&gt;"))))</f>
        <v/>
      </c>
      <c r="K248" s="42" t="str">
        <f>IF(OR($B248="",$A248&gt;$B$9),"",IF(COUNTIFS(BD!$B$3:$B$5001,K$243,BD!$A$3:$A$5001,"&gt;="&amp;$C$7,BD!$A$3:$A$5001,"&lt;="&amp;$B248,BD!$Z$3:$Z$5001,"&lt;&gt;")=0,"",SUMIFS(BD!$Z$3:$Z$5001,BD!$B$3:$B$5001,K$243,BD!$A$3:$A$5001,_xlfn.MAXIFS(BD!$A$3:$A$5001,BD!$B$3:$B$5001,K$243,BD!$A$3:$A$5001,"&gt;="&amp;$C$7,BD!$A$3:$A$5001,"&lt;="&amp;$B248,BD!$Z$3:$Z$5001,"&lt;&gt;"))))</f>
        <v/>
      </c>
    </row>
    <row r="249">
      <c r="A249" s="40">
        <v>6</v>
      </c>
      <c r="B249" s="41">
        <f>$B$17</f>
        <v>46301</v>
      </c>
      <c r="C249" s="42" t="str">
        <f>IF(OR($B249="",$A249&gt;$B$9),"",IF(COUNTIFS(BD!$B$3:$B$5001,C$243,BD!$A$3:$A$5001,"&gt;="&amp;$C$7,BD!$A$3:$A$5001,"&lt;="&amp;$B249,BD!$Z$3:$Z$5001,"&lt;&gt;")=0,"",SUMIFS(BD!$Z$3:$Z$5001,BD!$B$3:$B$5001,C$243,BD!$A$3:$A$5001,_xlfn.MAXIFS(BD!$A$3:$A$5001,BD!$B$3:$B$5001,C$243,BD!$A$3:$A$5001,"&gt;="&amp;$C$7,BD!$A$3:$A$5001,"&lt;="&amp;$B249,BD!$Z$3:$Z$5001,"&lt;&gt;"))))</f>
        <v/>
      </c>
      <c r="D249" s="42" t="str">
        <f>IF(OR($B249="",$A249&gt;$B$9),"",IF(COUNTIFS(BD!$B$3:$B$5001,D$243,BD!$A$3:$A$5001,"&gt;="&amp;$C$7,BD!$A$3:$A$5001,"&lt;="&amp;$B249,BD!$Z$3:$Z$5001,"&lt;&gt;")=0,"",SUMIFS(BD!$Z$3:$Z$5001,BD!$B$3:$B$5001,D$243,BD!$A$3:$A$5001,_xlfn.MAXIFS(BD!$A$3:$A$5001,BD!$B$3:$B$5001,D$243,BD!$A$3:$A$5001,"&gt;="&amp;$C$7,BD!$A$3:$A$5001,"&lt;="&amp;$B249,BD!$Z$3:$Z$5001,"&lt;&gt;"))))</f>
        <v/>
      </c>
      <c r="E249" s="42" t="str">
        <f>IF(OR($B249="",$A249&gt;$B$9),"",IF(COUNTIFS(BD!$B$3:$B$5001,E$243,BD!$A$3:$A$5001,"&gt;="&amp;$C$7,BD!$A$3:$A$5001,"&lt;="&amp;$B249,BD!$Z$3:$Z$5001,"&lt;&gt;")=0,"",SUMIFS(BD!$Z$3:$Z$5001,BD!$B$3:$B$5001,E$243,BD!$A$3:$A$5001,_xlfn.MAXIFS(BD!$A$3:$A$5001,BD!$B$3:$B$5001,E$243,BD!$A$3:$A$5001,"&gt;="&amp;$C$7,BD!$A$3:$A$5001,"&lt;="&amp;$B249,BD!$Z$3:$Z$5001,"&lt;&gt;"))))</f>
        <v/>
      </c>
      <c r="F249" s="42" t="str">
        <f>IF(OR($B249="",$A249&gt;$B$9),"",IF(COUNTIFS(BD!$B$3:$B$5001,F$243,BD!$A$3:$A$5001,"&gt;="&amp;$C$7,BD!$A$3:$A$5001,"&lt;="&amp;$B249,BD!$Z$3:$Z$5001,"&lt;&gt;")=0,"",SUMIFS(BD!$Z$3:$Z$5001,BD!$B$3:$B$5001,F$243,BD!$A$3:$A$5001,_xlfn.MAXIFS(BD!$A$3:$A$5001,BD!$B$3:$B$5001,F$243,BD!$A$3:$A$5001,"&gt;="&amp;$C$7,BD!$A$3:$A$5001,"&lt;="&amp;$B249,BD!$Z$3:$Z$5001,"&lt;&gt;"))))</f>
        <v/>
      </c>
      <c r="G249" s="42" t="str">
        <f>IF(OR($B249="",$A249&gt;$B$9),"",IF(COUNTIFS(BD!$B$3:$B$5001,G$243,BD!$A$3:$A$5001,"&gt;="&amp;$C$7,BD!$A$3:$A$5001,"&lt;="&amp;$B249,BD!$Z$3:$Z$5001,"&lt;&gt;")=0,"",SUMIFS(BD!$Z$3:$Z$5001,BD!$B$3:$B$5001,G$243,BD!$A$3:$A$5001,_xlfn.MAXIFS(BD!$A$3:$A$5001,BD!$B$3:$B$5001,G$243,BD!$A$3:$A$5001,"&gt;="&amp;$C$7,BD!$A$3:$A$5001,"&lt;="&amp;$B249,BD!$Z$3:$Z$5001,"&lt;&gt;"))))</f>
        <v/>
      </c>
      <c r="H249" s="42" t="str">
        <f>IF(OR($B249="",$A249&gt;$B$9),"",IF(COUNTIFS(BD!$B$3:$B$5001,H$243,BD!$A$3:$A$5001,"&gt;="&amp;$C$7,BD!$A$3:$A$5001,"&lt;="&amp;$B249,BD!$Z$3:$Z$5001,"&lt;&gt;")=0,"",SUMIFS(BD!$Z$3:$Z$5001,BD!$B$3:$B$5001,H$243,BD!$A$3:$A$5001,_xlfn.MAXIFS(BD!$A$3:$A$5001,BD!$B$3:$B$5001,H$243,BD!$A$3:$A$5001,"&gt;="&amp;$C$7,BD!$A$3:$A$5001,"&lt;="&amp;$B249,BD!$Z$3:$Z$5001,"&lt;&gt;"))))</f>
        <v/>
      </c>
      <c r="I249" s="42" t="str">
        <f>IF(OR($B249="",$A249&gt;$B$9),"",IF(COUNTIFS(BD!$B$3:$B$5001,I$243,BD!$A$3:$A$5001,"&gt;="&amp;$C$7,BD!$A$3:$A$5001,"&lt;="&amp;$B249,BD!$Z$3:$Z$5001,"&lt;&gt;")=0,"",SUMIFS(BD!$Z$3:$Z$5001,BD!$B$3:$B$5001,I$243,BD!$A$3:$A$5001,_xlfn.MAXIFS(BD!$A$3:$A$5001,BD!$B$3:$B$5001,I$243,BD!$A$3:$A$5001,"&gt;="&amp;$C$7,BD!$A$3:$A$5001,"&lt;="&amp;$B249,BD!$Z$3:$Z$5001,"&lt;&gt;"))))</f>
        <v/>
      </c>
      <c r="J249" s="42" t="str">
        <f>IF(OR($B249="",$A249&gt;$B$9),"",IF(COUNTIFS(BD!$B$3:$B$5001,J$243,BD!$A$3:$A$5001,"&gt;="&amp;$C$7,BD!$A$3:$A$5001,"&lt;="&amp;$B249,BD!$Z$3:$Z$5001,"&lt;&gt;")=0,"",SUMIFS(BD!$Z$3:$Z$5001,BD!$B$3:$B$5001,J$243,BD!$A$3:$A$5001,_xlfn.MAXIFS(BD!$A$3:$A$5001,BD!$B$3:$B$5001,J$243,BD!$A$3:$A$5001,"&gt;="&amp;$C$7,BD!$A$3:$A$5001,"&lt;="&amp;$B249,BD!$Z$3:$Z$5001,"&lt;&gt;"))))</f>
        <v/>
      </c>
      <c r="K249" s="42" t="str">
        <f>IF(OR($B249="",$A249&gt;$B$9),"",IF(COUNTIFS(BD!$B$3:$B$5001,K$243,BD!$A$3:$A$5001,"&gt;="&amp;$C$7,BD!$A$3:$A$5001,"&lt;="&amp;$B249,BD!$Z$3:$Z$5001,"&lt;&gt;")=0,"",SUMIFS(BD!$Z$3:$Z$5001,BD!$B$3:$B$5001,K$243,BD!$A$3:$A$5001,_xlfn.MAXIFS(BD!$A$3:$A$5001,BD!$B$3:$B$5001,K$243,BD!$A$3:$A$5001,"&gt;="&amp;$C$7,BD!$A$3:$A$5001,"&lt;="&amp;$B249,BD!$Z$3:$Z$5001,"&lt;&gt;"))))</f>
        <v/>
      </c>
    </row>
    <row r="250">
      <c r="A250" s="40">
        <v>7</v>
      </c>
      <c r="B250" s="41">
        <f>$B$18</f>
        <v>46302</v>
      </c>
      <c r="C250" s="42" t="str">
        <f>IF(OR($B250="",$A250&gt;$B$9),"",IF(COUNTIFS(BD!$B$3:$B$5001,C$243,BD!$A$3:$A$5001,"&gt;="&amp;$C$7,BD!$A$3:$A$5001,"&lt;="&amp;$B250,BD!$Z$3:$Z$5001,"&lt;&gt;")=0,"",SUMIFS(BD!$Z$3:$Z$5001,BD!$B$3:$B$5001,C$243,BD!$A$3:$A$5001,_xlfn.MAXIFS(BD!$A$3:$A$5001,BD!$B$3:$B$5001,C$243,BD!$A$3:$A$5001,"&gt;="&amp;$C$7,BD!$A$3:$A$5001,"&lt;="&amp;$B250,BD!$Z$3:$Z$5001,"&lt;&gt;"))))</f>
        <v/>
      </c>
      <c r="D250" s="42" t="str">
        <f>IF(OR($B250="",$A250&gt;$B$9),"",IF(COUNTIFS(BD!$B$3:$B$5001,D$243,BD!$A$3:$A$5001,"&gt;="&amp;$C$7,BD!$A$3:$A$5001,"&lt;="&amp;$B250,BD!$Z$3:$Z$5001,"&lt;&gt;")=0,"",SUMIFS(BD!$Z$3:$Z$5001,BD!$B$3:$B$5001,D$243,BD!$A$3:$A$5001,_xlfn.MAXIFS(BD!$A$3:$A$5001,BD!$B$3:$B$5001,D$243,BD!$A$3:$A$5001,"&gt;="&amp;$C$7,BD!$A$3:$A$5001,"&lt;="&amp;$B250,BD!$Z$3:$Z$5001,"&lt;&gt;"))))</f>
        <v/>
      </c>
      <c r="E250" s="42" t="str">
        <f>IF(OR($B250="",$A250&gt;$B$9),"",IF(COUNTIFS(BD!$B$3:$B$5001,E$243,BD!$A$3:$A$5001,"&gt;="&amp;$C$7,BD!$A$3:$A$5001,"&lt;="&amp;$B250,BD!$Z$3:$Z$5001,"&lt;&gt;")=0,"",SUMIFS(BD!$Z$3:$Z$5001,BD!$B$3:$B$5001,E$243,BD!$A$3:$A$5001,_xlfn.MAXIFS(BD!$A$3:$A$5001,BD!$B$3:$B$5001,E$243,BD!$A$3:$A$5001,"&gt;="&amp;$C$7,BD!$A$3:$A$5001,"&lt;="&amp;$B250,BD!$Z$3:$Z$5001,"&lt;&gt;"))))</f>
        <v/>
      </c>
      <c r="F250" s="42" t="str">
        <f>IF(OR($B250="",$A250&gt;$B$9),"",IF(COUNTIFS(BD!$B$3:$B$5001,F$243,BD!$A$3:$A$5001,"&gt;="&amp;$C$7,BD!$A$3:$A$5001,"&lt;="&amp;$B250,BD!$Z$3:$Z$5001,"&lt;&gt;")=0,"",SUMIFS(BD!$Z$3:$Z$5001,BD!$B$3:$B$5001,F$243,BD!$A$3:$A$5001,_xlfn.MAXIFS(BD!$A$3:$A$5001,BD!$B$3:$B$5001,F$243,BD!$A$3:$A$5001,"&gt;="&amp;$C$7,BD!$A$3:$A$5001,"&lt;="&amp;$B250,BD!$Z$3:$Z$5001,"&lt;&gt;"))))</f>
        <v/>
      </c>
      <c r="G250" s="42" t="str">
        <f>IF(OR($B250="",$A250&gt;$B$9),"",IF(COUNTIFS(BD!$B$3:$B$5001,G$243,BD!$A$3:$A$5001,"&gt;="&amp;$C$7,BD!$A$3:$A$5001,"&lt;="&amp;$B250,BD!$Z$3:$Z$5001,"&lt;&gt;")=0,"",SUMIFS(BD!$Z$3:$Z$5001,BD!$B$3:$B$5001,G$243,BD!$A$3:$A$5001,_xlfn.MAXIFS(BD!$A$3:$A$5001,BD!$B$3:$B$5001,G$243,BD!$A$3:$A$5001,"&gt;="&amp;$C$7,BD!$A$3:$A$5001,"&lt;="&amp;$B250,BD!$Z$3:$Z$5001,"&lt;&gt;"))))</f>
        <v/>
      </c>
      <c r="H250" s="42" t="str">
        <f>IF(OR($B250="",$A250&gt;$B$9),"",IF(COUNTIFS(BD!$B$3:$B$5001,H$243,BD!$A$3:$A$5001,"&gt;="&amp;$C$7,BD!$A$3:$A$5001,"&lt;="&amp;$B250,BD!$Z$3:$Z$5001,"&lt;&gt;")=0,"",SUMIFS(BD!$Z$3:$Z$5001,BD!$B$3:$B$5001,H$243,BD!$A$3:$A$5001,_xlfn.MAXIFS(BD!$A$3:$A$5001,BD!$B$3:$B$5001,H$243,BD!$A$3:$A$5001,"&gt;="&amp;$C$7,BD!$A$3:$A$5001,"&lt;="&amp;$B250,BD!$Z$3:$Z$5001,"&lt;&gt;"))))</f>
        <v/>
      </c>
      <c r="I250" s="42" t="str">
        <f>IF(OR($B250="",$A250&gt;$B$9),"",IF(COUNTIFS(BD!$B$3:$B$5001,I$243,BD!$A$3:$A$5001,"&gt;="&amp;$C$7,BD!$A$3:$A$5001,"&lt;="&amp;$B250,BD!$Z$3:$Z$5001,"&lt;&gt;")=0,"",SUMIFS(BD!$Z$3:$Z$5001,BD!$B$3:$B$5001,I$243,BD!$A$3:$A$5001,_xlfn.MAXIFS(BD!$A$3:$A$5001,BD!$B$3:$B$5001,I$243,BD!$A$3:$A$5001,"&gt;="&amp;$C$7,BD!$A$3:$A$5001,"&lt;="&amp;$B250,BD!$Z$3:$Z$5001,"&lt;&gt;"))))</f>
        <v/>
      </c>
      <c r="J250" s="42" t="str">
        <f>IF(OR($B250="",$A250&gt;$B$9),"",IF(COUNTIFS(BD!$B$3:$B$5001,J$243,BD!$A$3:$A$5001,"&gt;="&amp;$C$7,BD!$A$3:$A$5001,"&lt;="&amp;$B250,BD!$Z$3:$Z$5001,"&lt;&gt;")=0,"",SUMIFS(BD!$Z$3:$Z$5001,BD!$B$3:$B$5001,J$243,BD!$A$3:$A$5001,_xlfn.MAXIFS(BD!$A$3:$A$5001,BD!$B$3:$B$5001,J$243,BD!$A$3:$A$5001,"&gt;="&amp;$C$7,BD!$A$3:$A$5001,"&lt;="&amp;$B250,BD!$Z$3:$Z$5001,"&lt;&gt;"))))</f>
        <v/>
      </c>
      <c r="K250" s="42" t="str">
        <f>IF(OR($B250="",$A250&gt;$B$9),"",IF(COUNTIFS(BD!$B$3:$B$5001,K$243,BD!$A$3:$A$5001,"&gt;="&amp;$C$7,BD!$A$3:$A$5001,"&lt;="&amp;$B250,BD!$Z$3:$Z$5001,"&lt;&gt;")=0,"",SUMIFS(BD!$Z$3:$Z$5001,BD!$B$3:$B$5001,K$243,BD!$A$3:$A$5001,_xlfn.MAXIFS(BD!$A$3:$A$5001,BD!$B$3:$B$5001,K$243,BD!$A$3:$A$5001,"&gt;="&amp;$C$7,BD!$A$3:$A$5001,"&lt;="&amp;$B250,BD!$Z$3:$Z$5001,"&lt;&gt;"))))</f>
        <v/>
      </c>
    </row>
    <row r="251">
      <c r="A251" s="40">
        <v>8</v>
      </c>
      <c r="B251" s="41">
        <f>$B$19</f>
        <v>46303</v>
      </c>
      <c r="C251" s="42" t="str">
        <f>IF(OR($B251="",$A251&gt;$B$9),"",IF(COUNTIFS(BD!$B$3:$B$5001,C$243,BD!$A$3:$A$5001,"&gt;="&amp;$C$7,BD!$A$3:$A$5001,"&lt;="&amp;$B251,BD!$Z$3:$Z$5001,"&lt;&gt;")=0,"",SUMIFS(BD!$Z$3:$Z$5001,BD!$B$3:$B$5001,C$243,BD!$A$3:$A$5001,_xlfn.MAXIFS(BD!$A$3:$A$5001,BD!$B$3:$B$5001,C$243,BD!$A$3:$A$5001,"&gt;="&amp;$C$7,BD!$A$3:$A$5001,"&lt;="&amp;$B251,BD!$Z$3:$Z$5001,"&lt;&gt;"))))</f>
        <v/>
      </c>
      <c r="D251" s="42" t="str">
        <f>IF(OR($B251="",$A251&gt;$B$9),"",IF(COUNTIFS(BD!$B$3:$B$5001,D$243,BD!$A$3:$A$5001,"&gt;="&amp;$C$7,BD!$A$3:$A$5001,"&lt;="&amp;$B251,BD!$Z$3:$Z$5001,"&lt;&gt;")=0,"",SUMIFS(BD!$Z$3:$Z$5001,BD!$B$3:$B$5001,D$243,BD!$A$3:$A$5001,_xlfn.MAXIFS(BD!$A$3:$A$5001,BD!$B$3:$B$5001,D$243,BD!$A$3:$A$5001,"&gt;="&amp;$C$7,BD!$A$3:$A$5001,"&lt;="&amp;$B251,BD!$Z$3:$Z$5001,"&lt;&gt;"))))</f>
        <v/>
      </c>
      <c r="E251" s="42" t="str">
        <f>IF(OR($B251="",$A251&gt;$B$9),"",IF(COUNTIFS(BD!$B$3:$B$5001,E$243,BD!$A$3:$A$5001,"&gt;="&amp;$C$7,BD!$A$3:$A$5001,"&lt;="&amp;$B251,BD!$Z$3:$Z$5001,"&lt;&gt;")=0,"",SUMIFS(BD!$Z$3:$Z$5001,BD!$B$3:$B$5001,E$243,BD!$A$3:$A$5001,_xlfn.MAXIFS(BD!$A$3:$A$5001,BD!$B$3:$B$5001,E$243,BD!$A$3:$A$5001,"&gt;="&amp;$C$7,BD!$A$3:$A$5001,"&lt;="&amp;$B251,BD!$Z$3:$Z$5001,"&lt;&gt;"))))</f>
        <v/>
      </c>
      <c r="F251" s="42" t="str">
        <f>IF(OR($B251="",$A251&gt;$B$9),"",IF(COUNTIFS(BD!$B$3:$B$5001,F$243,BD!$A$3:$A$5001,"&gt;="&amp;$C$7,BD!$A$3:$A$5001,"&lt;="&amp;$B251,BD!$Z$3:$Z$5001,"&lt;&gt;")=0,"",SUMIFS(BD!$Z$3:$Z$5001,BD!$B$3:$B$5001,F$243,BD!$A$3:$A$5001,_xlfn.MAXIFS(BD!$A$3:$A$5001,BD!$B$3:$B$5001,F$243,BD!$A$3:$A$5001,"&gt;="&amp;$C$7,BD!$A$3:$A$5001,"&lt;="&amp;$B251,BD!$Z$3:$Z$5001,"&lt;&gt;"))))</f>
        <v/>
      </c>
      <c r="G251" s="42" t="str">
        <f>IF(OR($B251="",$A251&gt;$B$9),"",IF(COUNTIFS(BD!$B$3:$B$5001,G$243,BD!$A$3:$A$5001,"&gt;="&amp;$C$7,BD!$A$3:$A$5001,"&lt;="&amp;$B251,BD!$Z$3:$Z$5001,"&lt;&gt;")=0,"",SUMIFS(BD!$Z$3:$Z$5001,BD!$B$3:$B$5001,G$243,BD!$A$3:$A$5001,_xlfn.MAXIFS(BD!$A$3:$A$5001,BD!$B$3:$B$5001,G$243,BD!$A$3:$A$5001,"&gt;="&amp;$C$7,BD!$A$3:$A$5001,"&lt;="&amp;$B251,BD!$Z$3:$Z$5001,"&lt;&gt;"))))</f>
        <v/>
      </c>
      <c r="H251" s="42" t="str">
        <f>IF(OR($B251="",$A251&gt;$B$9),"",IF(COUNTIFS(BD!$B$3:$B$5001,H$243,BD!$A$3:$A$5001,"&gt;="&amp;$C$7,BD!$A$3:$A$5001,"&lt;="&amp;$B251,BD!$Z$3:$Z$5001,"&lt;&gt;")=0,"",SUMIFS(BD!$Z$3:$Z$5001,BD!$B$3:$B$5001,H$243,BD!$A$3:$A$5001,_xlfn.MAXIFS(BD!$A$3:$A$5001,BD!$B$3:$B$5001,H$243,BD!$A$3:$A$5001,"&gt;="&amp;$C$7,BD!$A$3:$A$5001,"&lt;="&amp;$B251,BD!$Z$3:$Z$5001,"&lt;&gt;"))))</f>
        <v/>
      </c>
      <c r="I251" s="42" t="str">
        <f>IF(OR($B251="",$A251&gt;$B$9),"",IF(COUNTIFS(BD!$B$3:$B$5001,I$243,BD!$A$3:$A$5001,"&gt;="&amp;$C$7,BD!$A$3:$A$5001,"&lt;="&amp;$B251,BD!$Z$3:$Z$5001,"&lt;&gt;")=0,"",SUMIFS(BD!$Z$3:$Z$5001,BD!$B$3:$B$5001,I$243,BD!$A$3:$A$5001,_xlfn.MAXIFS(BD!$A$3:$A$5001,BD!$B$3:$B$5001,I$243,BD!$A$3:$A$5001,"&gt;="&amp;$C$7,BD!$A$3:$A$5001,"&lt;="&amp;$B251,BD!$Z$3:$Z$5001,"&lt;&gt;"))))</f>
        <v/>
      </c>
      <c r="J251" s="42" t="str">
        <f>IF(OR($B251="",$A251&gt;$B$9),"",IF(COUNTIFS(BD!$B$3:$B$5001,J$243,BD!$A$3:$A$5001,"&gt;="&amp;$C$7,BD!$A$3:$A$5001,"&lt;="&amp;$B251,BD!$Z$3:$Z$5001,"&lt;&gt;")=0,"",SUMIFS(BD!$Z$3:$Z$5001,BD!$B$3:$B$5001,J$243,BD!$A$3:$A$5001,_xlfn.MAXIFS(BD!$A$3:$A$5001,BD!$B$3:$B$5001,J$243,BD!$A$3:$A$5001,"&gt;="&amp;$C$7,BD!$A$3:$A$5001,"&lt;="&amp;$B251,BD!$Z$3:$Z$5001,"&lt;&gt;"))))</f>
        <v/>
      </c>
      <c r="K251" s="42" t="str">
        <f>IF(OR($B251="",$A251&gt;$B$9),"",IF(COUNTIFS(BD!$B$3:$B$5001,K$243,BD!$A$3:$A$5001,"&gt;="&amp;$C$7,BD!$A$3:$A$5001,"&lt;="&amp;$B251,BD!$Z$3:$Z$5001,"&lt;&gt;")=0,"",SUMIFS(BD!$Z$3:$Z$5001,BD!$B$3:$B$5001,K$243,BD!$A$3:$A$5001,_xlfn.MAXIFS(BD!$A$3:$A$5001,BD!$B$3:$B$5001,K$243,BD!$A$3:$A$5001,"&gt;="&amp;$C$7,BD!$A$3:$A$5001,"&lt;="&amp;$B251,BD!$Z$3:$Z$5001,"&lt;&gt;"))))</f>
        <v/>
      </c>
    </row>
    <row r="252">
      <c r="A252" s="40">
        <v>9</v>
      </c>
      <c r="B252" s="41">
        <f>$B$20</f>
        <v>46304</v>
      </c>
      <c r="C252" s="42" t="str">
        <f>IF(OR($B252="",$A252&gt;$B$9),"",IF(COUNTIFS(BD!$B$3:$B$5001,C$243,BD!$A$3:$A$5001,"&gt;="&amp;$C$7,BD!$A$3:$A$5001,"&lt;="&amp;$B252,BD!$Z$3:$Z$5001,"&lt;&gt;")=0,"",SUMIFS(BD!$Z$3:$Z$5001,BD!$B$3:$B$5001,C$243,BD!$A$3:$A$5001,_xlfn.MAXIFS(BD!$A$3:$A$5001,BD!$B$3:$B$5001,C$243,BD!$A$3:$A$5001,"&gt;="&amp;$C$7,BD!$A$3:$A$5001,"&lt;="&amp;$B252,BD!$Z$3:$Z$5001,"&lt;&gt;"))))</f>
        <v/>
      </c>
      <c r="D252" s="42" t="str">
        <f>IF(OR($B252="",$A252&gt;$B$9),"",IF(COUNTIFS(BD!$B$3:$B$5001,D$243,BD!$A$3:$A$5001,"&gt;="&amp;$C$7,BD!$A$3:$A$5001,"&lt;="&amp;$B252,BD!$Z$3:$Z$5001,"&lt;&gt;")=0,"",SUMIFS(BD!$Z$3:$Z$5001,BD!$B$3:$B$5001,D$243,BD!$A$3:$A$5001,_xlfn.MAXIFS(BD!$A$3:$A$5001,BD!$B$3:$B$5001,D$243,BD!$A$3:$A$5001,"&gt;="&amp;$C$7,BD!$A$3:$A$5001,"&lt;="&amp;$B252,BD!$Z$3:$Z$5001,"&lt;&gt;"))))</f>
        <v/>
      </c>
      <c r="E252" s="42" t="str">
        <f>IF(OR($B252="",$A252&gt;$B$9),"",IF(COUNTIFS(BD!$B$3:$B$5001,E$243,BD!$A$3:$A$5001,"&gt;="&amp;$C$7,BD!$A$3:$A$5001,"&lt;="&amp;$B252,BD!$Z$3:$Z$5001,"&lt;&gt;")=0,"",SUMIFS(BD!$Z$3:$Z$5001,BD!$B$3:$B$5001,E$243,BD!$A$3:$A$5001,_xlfn.MAXIFS(BD!$A$3:$A$5001,BD!$B$3:$B$5001,E$243,BD!$A$3:$A$5001,"&gt;="&amp;$C$7,BD!$A$3:$A$5001,"&lt;="&amp;$B252,BD!$Z$3:$Z$5001,"&lt;&gt;"))))</f>
        <v/>
      </c>
      <c r="F252" s="42" t="str">
        <f>IF(OR($B252="",$A252&gt;$B$9),"",IF(COUNTIFS(BD!$B$3:$B$5001,F$243,BD!$A$3:$A$5001,"&gt;="&amp;$C$7,BD!$A$3:$A$5001,"&lt;="&amp;$B252,BD!$Z$3:$Z$5001,"&lt;&gt;")=0,"",SUMIFS(BD!$Z$3:$Z$5001,BD!$B$3:$B$5001,F$243,BD!$A$3:$A$5001,_xlfn.MAXIFS(BD!$A$3:$A$5001,BD!$B$3:$B$5001,F$243,BD!$A$3:$A$5001,"&gt;="&amp;$C$7,BD!$A$3:$A$5001,"&lt;="&amp;$B252,BD!$Z$3:$Z$5001,"&lt;&gt;"))))</f>
        <v/>
      </c>
      <c r="G252" s="42" t="str">
        <f>IF(OR($B252="",$A252&gt;$B$9),"",IF(COUNTIFS(BD!$B$3:$B$5001,G$243,BD!$A$3:$A$5001,"&gt;="&amp;$C$7,BD!$A$3:$A$5001,"&lt;="&amp;$B252,BD!$Z$3:$Z$5001,"&lt;&gt;")=0,"",SUMIFS(BD!$Z$3:$Z$5001,BD!$B$3:$B$5001,G$243,BD!$A$3:$A$5001,_xlfn.MAXIFS(BD!$A$3:$A$5001,BD!$B$3:$B$5001,G$243,BD!$A$3:$A$5001,"&gt;="&amp;$C$7,BD!$A$3:$A$5001,"&lt;="&amp;$B252,BD!$Z$3:$Z$5001,"&lt;&gt;"))))</f>
        <v/>
      </c>
      <c r="H252" s="42" t="str">
        <f>IF(OR($B252="",$A252&gt;$B$9),"",IF(COUNTIFS(BD!$B$3:$B$5001,H$243,BD!$A$3:$A$5001,"&gt;="&amp;$C$7,BD!$A$3:$A$5001,"&lt;="&amp;$B252,BD!$Z$3:$Z$5001,"&lt;&gt;")=0,"",SUMIFS(BD!$Z$3:$Z$5001,BD!$B$3:$B$5001,H$243,BD!$A$3:$A$5001,_xlfn.MAXIFS(BD!$A$3:$A$5001,BD!$B$3:$B$5001,H$243,BD!$A$3:$A$5001,"&gt;="&amp;$C$7,BD!$A$3:$A$5001,"&lt;="&amp;$B252,BD!$Z$3:$Z$5001,"&lt;&gt;"))))</f>
        <v/>
      </c>
      <c r="I252" s="42" t="str">
        <f>IF(OR($B252="",$A252&gt;$B$9),"",IF(COUNTIFS(BD!$B$3:$B$5001,I$243,BD!$A$3:$A$5001,"&gt;="&amp;$C$7,BD!$A$3:$A$5001,"&lt;="&amp;$B252,BD!$Z$3:$Z$5001,"&lt;&gt;")=0,"",SUMIFS(BD!$Z$3:$Z$5001,BD!$B$3:$B$5001,I$243,BD!$A$3:$A$5001,_xlfn.MAXIFS(BD!$A$3:$A$5001,BD!$B$3:$B$5001,I$243,BD!$A$3:$A$5001,"&gt;="&amp;$C$7,BD!$A$3:$A$5001,"&lt;="&amp;$B252,BD!$Z$3:$Z$5001,"&lt;&gt;"))))</f>
        <v/>
      </c>
      <c r="J252" s="42" t="str">
        <f>IF(OR($B252="",$A252&gt;$B$9),"",IF(COUNTIFS(BD!$B$3:$B$5001,J$243,BD!$A$3:$A$5001,"&gt;="&amp;$C$7,BD!$A$3:$A$5001,"&lt;="&amp;$B252,BD!$Z$3:$Z$5001,"&lt;&gt;")=0,"",SUMIFS(BD!$Z$3:$Z$5001,BD!$B$3:$B$5001,J$243,BD!$A$3:$A$5001,_xlfn.MAXIFS(BD!$A$3:$A$5001,BD!$B$3:$B$5001,J$243,BD!$A$3:$A$5001,"&gt;="&amp;$C$7,BD!$A$3:$A$5001,"&lt;="&amp;$B252,BD!$Z$3:$Z$5001,"&lt;&gt;"))))</f>
        <v/>
      </c>
      <c r="K252" s="42" t="str">
        <f>IF(OR($B252="",$A252&gt;$B$9),"",IF(COUNTIFS(BD!$B$3:$B$5001,K$243,BD!$A$3:$A$5001,"&gt;="&amp;$C$7,BD!$A$3:$A$5001,"&lt;="&amp;$B252,BD!$Z$3:$Z$5001,"&lt;&gt;")=0,"",SUMIFS(BD!$Z$3:$Z$5001,BD!$B$3:$B$5001,K$243,BD!$A$3:$A$5001,_xlfn.MAXIFS(BD!$A$3:$A$5001,BD!$B$3:$B$5001,K$243,BD!$A$3:$A$5001,"&gt;="&amp;$C$7,BD!$A$3:$A$5001,"&lt;="&amp;$B252,BD!$Z$3:$Z$5001,"&lt;&gt;"))))</f>
        <v/>
      </c>
    </row>
    <row r="253">
      <c r="A253" s="40">
        <v>10</v>
      </c>
      <c r="B253" s="41">
        <f>$B$21</f>
        <v>46305</v>
      </c>
      <c r="C253" s="42" t="str">
        <f>IF(OR($B253="",$A253&gt;$B$9),"",IF(COUNTIFS(BD!$B$3:$B$5001,C$243,BD!$A$3:$A$5001,"&gt;="&amp;$C$7,BD!$A$3:$A$5001,"&lt;="&amp;$B253,BD!$Z$3:$Z$5001,"&lt;&gt;")=0,"",SUMIFS(BD!$Z$3:$Z$5001,BD!$B$3:$B$5001,C$243,BD!$A$3:$A$5001,_xlfn.MAXIFS(BD!$A$3:$A$5001,BD!$B$3:$B$5001,C$243,BD!$A$3:$A$5001,"&gt;="&amp;$C$7,BD!$A$3:$A$5001,"&lt;="&amp;$B253,BD!$Z$3:$Z$5001,"&lt;&gt;"))))</f>
        <v/>
      </c>
      <c r="D253" s="42" t="str">
        <f>IF(OR($B253="",$A253&gt;$B$9),"",IF(COUNTIFS(BD!$B$3:$B$5001,D$243,BD!$A$3:$A$5001,"&gt;="&amp;$C$7,BD!$A$3:$A$5001,"&lt;="&amp;$B253,BD!$Z$3:$Z$5001,"&lt;&gt;")=0,"",SUMIFS(BD!$Z$3:$Z$5001,BD!$B$3:$B$5001,D$243,BD!$A$3:$A$5001,_xlfn.MAXIFS(BD!$A$3:$A$5001,BD!$B$3:$B$5001,D$243,BD!$A$3:$A$5001,"&gt;="&amp;$C$7,BD!$A$3:$A$5001,"&lt;="&amp;$B253,BD!$Z$3:$Z$5001,"&lt;&gt;"))))</f>
        <v/>
      </c>
      <c r="E253" s="42" t="str">
        <f>IF(OR($B253="",$A253&gt;$B$9),"",IF(COUNTIFS(BD!$B$3:$B$5001,E$243,BD!$A$3:$A$5001,"&gt;="&amp;$C$7,BD!$A$3:$A$5001,"&lt;="&amp;$B253,BD!$Z$3:$Z$5001,"&lt;&gt;")=0,"",SUMIFS(BD!$Z$3:$Z$5001,BD!$B$3:$B$5001,E$243,BD!$A$3:$A$5001,_xlfn.MAXIFS(BD!$A$3:$A$5001,BD!$B$3:$B$5001,E$243,BD!$A$3:$A$5001,"&gt;="&amp;$C$7,BD!$A$3:$A$5001,"&lt;="&amp;$B253,BD!$Z$3:$Z$5001,"&lt;&gt;"))))</f>
        <v/>
      </c>
      <c r="F253" s="42" t="str">
        <f>IF(OR($B253="",$A253&gt;$B$9),"",IF(COUNTIFS(BD!$B$3:$B$5001,F$243,BD!$A$3:$A$5001,"&gt;="&amp;$C$7,BD!$A$3:$A$5001,"&lt;="&amp;$B253,BD!$Z$3:$Z$5001,"&lt;&gt;")=0,"",SUMIFS(BD!$Z$3:$Z$5001,BD!$B$3:$B$5001,F$243,BD!$A$3:$A$5001,_xlfn.MAXIFS(BD!$A$3:$A$5001,BD!$B$3:$B$5001,F$243,BD!$A$3:$A$5001,"&gt;="&amp;$C$7,BD!$A$3:$A$5001,"&lt;="&amp;$B253,BD!$Z$3:$Z$5001,"&lt;&gt;"))))</f>
        <v/>
      </c>
      <c r="G253" s="42" t="str">
        <f>IF(OR($B253="",$A253&gt;$B$9),"",IF(COUNTIFS(BD!$B$3:$B$5001,G$243,BD!$A$3:$A$5001,"&gt;="&amp;$C$7,BD!$A$3:$A$5001,"&lt;="&amp;$B253,BD!$Z$3:$Z$5001,"&lt;&gt;")=0,"",SUMIFS(BD!$Z$3:$Z$5001,BD!$B$3:$B$5001,G$243,BD!$A$3:$A$5001,_xlfn.MAXIFS(BD!$A$3:$A$5001,BD!$B$3:$B$5001,G$243,BD!$A$3:$A$5001,"&gt;="&amp;$C$7,BD!$A$3:$A$5001,"&lt;="&amp;$B253,BD!$Z$3:$Z$5001,"&lt;&gt;"))))</f>
        <v/>
      </c>
      <c r="H253" s="42" t="str">
        <f>IF(OR($B253="",$A253&gt;$B$9),"",IF(COUNTIFS(BD!$B$3:$B$5001,H$243,BD!$A$3:$A$5001,"&gt;="&amp;$C$7,BD!$A$3:$A$5001,"&lt;="&amp;$B253,BD!$Z$3:$Z$5001,"&lt;&gt;")=0,"",SUMIFS(BD!$Z$3:$Z$5001,BD!$B$3:$B$5001,H$243,BD!$A$3:$A$5001,_xlfn.MAXIFS(BD!$A$3:$A$5001,BD!$B$3:$B$5001,H$243,BD!$A$3:$A$5001,"&gt;="&amp;$C$7,BD!$A$3:$A$5001,"&lt;="&amp;$B253,BD!$Z$3:$Z$5001,"&lt;&gt;"))))</f>
        <v/>
      </c>
      <c r="I253" s="42" t="str">
        <f>IF(OR($B253="",$A253&gt;$B$9),"",IF(COUNTIFS(BD!$B$3:$B$5001,I$243,BD!$A$3:$A$5001,"&gt;="&amp;$C$7,BD!$A$3:$A$5001,"&lt;="&amp;$B253,BD!$Z$3:$Z$5001,"&lt;&gt;")=0,"",SUMIFS(BD!$Z$3:$Z$5001,BD!$B$3:$B$5001,I$243,BD!$A$3:$A$5001,_xlfn.MAXIFS(BD!$A$3:$A$5001,BD!$B$3:$B$5001,I$243,BD!$A$3:$A$5001,"&gt;="&amp;$C$7,BD!$A$3:$A$5001,"&lt;="&amp;$B253,BD!$Z$3:$Z$5001,"&lt;&gt;"))))</f>
        <v/>
      </c>
      <c r="J253" s="42" t="str">
        <f>IF(OR($B253="",$A253&gt;$B$9),"",IF(COUNTIFS(BD!$B$3:$B$5001,J$243,BD!$A$3:$A$5001,"&gt;="&amp;$C$7,BD!$A$3:$A$5001,"&lt;="&amp;$B253,BD!$Z$3:$Z$5001,"&lt;&gt;")=0,"",SUMIFS(BD!$Z$3:$Z$5001,BD!$B$3:$B$5001,J$243,BD!$A$3:$A$5001,_xlfn.MAXIFS(BD!$A$3:$A$5001,BD!$B$3:$B$5001,J$243,BD!$A$3:$A$5001,"&gt;="&amp;$C$7,BD!$A$3:$A$5001,"&lt;="&amp;$B253,BD!$Z$3:$Z$5001,"&lt;&gt;"))))</f>
        <v/>
      </c>
      <c r="K253" s="42" t="str">
        <f>IF(OR($B253="",$A253&gt;$B$9),"",IF(COUNTIFS(BD!$B$3:$B$5001,K$243,BD!$A$3:$A$5001,"&gt;="&amp;$C$7,BD!$A$3:$A$5001,"&lt;="&amp;$B253,BD!$Z$3:$Z$5001,"&lt;&gt;")=0,"",SUMIFS(BD!$Z$3:$Z$5001,BD!$B$3:$B$5001,K$243,BD!$A$3:$A$5001,_xlfn.MAXIFS(BD!$A$3:$A$5001,BD!$B$3:$B$5001,K$243,BD!$A$3:$A$5001,"&gt;="&amp;$C$7,BD!$A$3:$A$5001,"&lt;="&amp;$B253,BD!$Z$3:$Z$5001,"&lt;&gt;"))))</f>
        <v/>
      </c>
    </row>
    <row r="254">
      <c r="A254" s="40">
        <v>11</v>
      </c>
      <c r="B254" s="41">
        <f>$B$22</f>
        <v>46306</v>
      </c>
      <c r="C254" s="42" t="str">
        <f>IF(OR($B254="",$A254&gt;$B$9),"",IF(COUNTIFS(BD!$B$3:$B$5001,C$243,BD!$A$3:$A$5001,"&gt;="&amp;$C$7,BD!$A$3:$A$5001,"&lt;="&amp;$B254,BD!$Z$3:$Z$5001,"&lt;&gt;")=0,"",SUMIFS(BD!$Z$3:$Z$5001,BD!$B$3:$B$5001,C$243,BD!$A$3:$A$5001,_xlfn.MAXIFS(BD!$A$3:$A$5001,BD!$B$3:$B$5001,C$243,BD!$A$3:$A$5001,"&gt;="&amp;$C$7,BD!$A$3:$A$5001,"&lt;="&amp;$B254,BD!$Z$3:$Z$5001,"&lt;&gt;"))))</f>
        <v/>
      </c>
      <c r="D254" s="42" t="str">
        <f>IF(OR($B254="",$A254&gt;$B$9),"",IF(COUNTIFS(BD!$B$3:$B$5001,D$243,BD!$A$3:$A$5001,"&gt;="&amp;$C$7,BD!$A$3:$A$5001,"&lt;="&amp;$B254,BD!$Z$3:$Z$5001,"&lt;&gt;")=0,"",SUMIFS(BD!$Z$3:$Z$5001,BD!$B$3:$B$5001,D$243,BD!$A$3:$A$5001,_xlfn.MAXIFS(BD!$A$3:$A$5001,BD!$B$3:$B$5001,D$243,BD!$A$3:$A$5001,"&gt;="&amp;$C$7,BD!$A$3:$A$5001,"&lt;="&amp;$B254,BD!$Z$3:$Z$5001,"&lt;&gt;"))))</f>
        <v/>
      </c>
      <c r="E254" s="42" t="str">
        <f>IF(OR($B254="",$A254&gt;$B$9),"",IF(COUNTIFS(BD!$B$3:$B$5001,E$243,BD!$A$3:$A$5001,"&gt;="&amp;$C$7,BD!$A$3:$A$5001,"&lt;="&amp;$B254,BD!$Z$3:$Z$5001,"&lt;&gt;")=0,"",SUMIFS(BD!$Z$3:$Z$5001,BD!$B$3:$B$5001,E$243,BD!$A$3:$A$5001,_xlfn.MAXIFS(BD!$A$3:$A$5001,BD!$B$3:$B$5001,E$243,BD!$A$3:$A$5001,"&gt;="&amp;$C$7,BD!$A$3:$A$5001,"&lt;="&amp;$B254,BD!$Z$3:$Z$5001,"&lt;&gt;"))))</f>
        <v/>
      </c>
      <c r="F254" s="42" t="str">
        <f>IF(OR($B254="",$A254&gt;$B$9),"",IF(COUNTIFS(BD!$B$3:$B$5001,F$243,BD!$A$3:$A$5001,"&gt;="&amp;$C$7,BD!$A$3:$A$5001,"&lt;="&amp;$B254,BD!$Z$3:$Z$5001,"&lt;&gt;")=0,"",SUMIFS(BD!$Z$3:$Z$5001,BD!$B$3:$B$5001,F$243,BD!$A$3:$A$5001,_xlfn.MAXIFS(BD!$A$3:$A$5001,BD!$B$3:$B$5001,F$243,BD!$A$3:$A$5001,"&gt;="&amp;$C$7,BD!$A$3:$A$5001,"&lt;="&amp;$B254,BD!$Z$3:$Z$5001,"&lt;&gt;"))))</f>
        <v/>
      </c>
      <c r="G254" s="42" t="str">
        <f>IF(OR($B254="",$A254&gt;$B$9),"",IF(COUNTIFS(BD!$B$3:$B$5001,G$243,BD!$A$3:$A$5001,"&gt;="&amp;$C$7,BD!$A$3:$A$5001,"&lt;="&amp;$B254,BD!$Z$3:$Z$5001,"&lt;&gt;")=0,"",SUMIFS(BD!$Z$3:$Z$5001,BD!$B$3:$B$5001,G$243,BD!$A$3:$A$5001,_xlfn.MAXIFS(BD!$A$3:$A$5001,BD!$B$3:$B$5001,G$243,BD!$A$3:$A$5001,"&gt;="&amp;$C$7,BD!$A$3:$A$5001,"&lt;="&amp;$B254,BD!$Z$3:$Z$5001,"&lt;&gt;"))))</f>
        <v/>
      </c>
      <c r="H254" s="42" t="str">
        <f>IF(OR($B254="",$A254&gt;$B$9),"",IF(COUNTIFS(BD!$B$3:$B$5001,H$243,BD!$A$3:$A$5001,"&gt;="&amp;$C$7,BD!$A$3:$A$5001,"&lt;="&amp;$B254,BD!$Z$3:$Z$5001,"&lt;&gt;")=0,"",SUMIFS(BD!$Z$3:$Z$5001,BD!$B$3:$B$5001,H$243,BD!$A$3:$A$5001,_xlfn.MAXIFS(BD!$A$3:$A$5001,BD!$B$3:$B$5001,H$243,BD!$A$3:$A$5001,"&gt;="&amp;$C$7,BD!$A$3:$A$5001,"&lt;="&amp;$B254,BD!$Z$3:$Z$5001,"&lt;&gt;"))))</f>
        <v/>
      </c>
      <c r="I254" s="42" t="str">
        <f>IF(OR($B254="",$A254&gt;$B$9),"",IF(COUNTIFS(BD!$B$3:$B$5001,I$243,BD!$A$3:$A$5001,"&gt;="&amp;$C$7,BD!$A$3:$A$5001,"&lt;="&amp;$B254,BD!$Z$3:$Z$5001,"&lt;&gt;")=0,"",SUMIFS(BD!$Z$3:$Z$5001,BD!$B$3:$B$5001,I$243,BD!$A$3:$A$5001,_xlfn.MAXIFS(BD!$A$3:$A$5001,BD!$B$3:$B$5001,I$243,BD!$A$3:$A$5001,"&gt;="&amp;$C$7,BD!$A$3:$A$5001,"&lt;="&amp;$B254,BD!$Z$3:$Z$5001,"&lt;&gt;"))))</f>
        <v/>
      </c>
      <c r="J254" s="42" t="str">
        <f>IF(OR($B254="",$A254&gt;$B$9),"",IF(COUNTIFS(BD!$B$3:$B$5001,J$243,BD!$A$3:$A$5001,"&gt;="&amp;$C$7,BD!$A$3:$A$5001,"&lt;="&amp;$B254,BD!$Z$3:$Z$5001,"&lt;&gt;")=0,"",SUMIFS(BD!$Z$3:$Z$5001,BD!$B$3:$B$5001,J$243,BD!$A$3:$A$5001,_xlfn.MAXIFS(BD!$A$3:$A$5001,BD!$B$3:$B$5001,J$243,BD!$A$3:$A$5001,"&gt;="&amp;$C$7,BD!$A$3:$A$5001,"&lt;="&amp;$B254,BD!$Z$3:$Z$5001,"&lt;&gt;"))))</f>
        <v/>
      </c>
      <c r="K254" s="42" t="str">
        <f>IF(OR($B254="",$A254&gt;$B$9),"",IF(COUNTIFS(BD!$B$3:$B$5001,K$243,BD!$A$3:$A$5001,"&gt;="&amp;$C$7,BD!$A$3:$A$5001,"&lt;="&amp;$B254,BD!$Z$3:$Z$5001,"&lt;&gt;")=0,"",SUMIFS(BD!$Z$3:$Z$5001,BD!$B$3:$B$5001,K$243,BD!$A$3:$A$5001,_xlfn.MAXIFS(BD!$A$3:$A$5001,BD!$B$3:$B$5001,K$243,BD!$A$3:$A$5001,"&gt;="&amp;$C$7,BD!$A$3:$A$5001,"&lt;="&amp;$B254,BD!$Z$3:$Z$5001,"&lt;&gt;"))))</f>
        <v/>
      </c>
    </row>
    <row r="255">
      <c r="A255" s="40">
        <v>12</v>
      </c>
      <c r="B255" s="41">
        <f>$B$23</f>
        <v>46307</v>
      </c>
      <c r="C255" s="42" t="str">
        <f>IF(OR($B255="",$A255&gt;$B$9),"",IF(COUNTIFS(BD!$B$3:$B$5001,C$243,BD!$A$3:$A$5001,"&gt;="&amp;$C$7,BD!$A$3:$A$5001,"&lt;="&amp;$B255,BD!$Z$3:$Z$5001,"&lt;&gt;")=0,"",SUMIFS(BD!$Z$3:$Z$5001,BD!$B$3:$B$5001,C$243,BD!$A$3:$A$5001,_xlfn.MAXIFS(BD!$A$3:$A$5001,BD!$B$3:$B$5001,C$243,BD!$A$3:$A$5001,"&gt;="&amp;$C$7,BD!$A$3:$A$5001,"&lt;="&amp;$B255,BD!$Z$3:$Z$5001,"&lt;&gt;"))))</f>
        <v/>
      </c>
      <c r="D255" s="42" t="str">
        <f>IF(OR($B255="",$A255&gt;$B$9),"",IF(COUNTIFS(BD!$B$3:$B$5001,D$243,BD!$A$3:$A$5001,"&gt;="&amp;$C$7,BD!$A$3:$A$5001,"&lt;="&amp;$B255,BD!$Z$3:$Z$5001,"&lt;&gt;")=0,"",SUMIFS(BD!$Z$3:$Z$5001,BD!$B$3:$B$5001,D$243,BD!$A$3:$A$5001,_xlfn.MAXIFS(BD!$A$3:$A$5001,BD!$B$3:$B$5001,D$243,BD!$A$3:$A$5001,"&gt;="&amp;$C$7,BD!$A$3:$A$5001,"&lt;="&amp;$B255,BD!$Z$3:$Z$5001,"&lt;&gt;"))))</f>
        <v/>
      </c>
      <c r="E255" s="42" t="str">
        <f>IF(OR($B255="",$A255&gt;$B$9),"",IF(COUNTIFS(BD!$B$3:$B$5001,E$243,BD!$A$3:$A$5001,"&gt;="&amp;$C$7,BD!$A$3:$A$5001,"&lt;="&amp;$B255,BD!$Z$3:$Z$5001,"&lt;&gt;")=0,"",SUMIFS(BD!$Z$3:$Z$5001,BD!$B$3:$B$5001,E$243,BD!$A$3:$A$5001,_xlfn.MAXIFS(BD!$A$3:$A$5001,BD!$B$3:$B$5001,E$243,BD!$A$3:$A$5001,"&gt;="&amp;$C$7,BD!$A$3:$A$5001,"&lt;="&amp;$B255,BD!$Z$3:$Z$5001,"&lt;&gt;"))))</f>
        <v/>
      </c>
      <c r="F255" s="42" t="str">
        <f>IF(OR($B255="",$A255&gt;$B$9),"",IF(COUNTIFS(BD!$B$3:$B$5001,F$243,BD!$A$3:$A$5001,"&gt;="&amp;$C$7,BD!$A$3:$A$5001,"&lt;="&amp;$B255,BD!$Z$3:$Z$5001,"&lt;&gt;")=0,"",SUMIFS(BD!$Z$3:$Z$5001,BD!$B$3:$B$5001,F$243,BD!$A$3:$A$5001,_xlfn.MAXIFS(BD!$A$3:$A$5001,BD!$B$3:$B$5001,F$243,BD!$A$3:$A$5001,"&gt;="&amp;$C$7,BD!$A$3:$A$5001,"&lt;="&amp;$B255,BD!$Z$3:$Z$5001,"&lt;&gt;"))))</f>
        <v/>
      </c>
      <c r="G255" s="42" t="str">
        <f>IF(OR($B255="",$A255&gt;$B$9),"",IF(COUNTIFS(BD!$B$3:$B$5001,G$243,BD!$A$3:$A$5001,"&gt;="&amp;$C$7,BD!$A$3:$A$5001,"&lt;="&amp;$B255,BD!$Z$3:$Z$5001,"&lt;&gt;")=0,"",SUMIFS(BD!$Z$3:$Z$5001,BD!$B$3:$B$5001,G$243,BD!$A$3:$A$5001,_xlfn.MAXIFS(BD!$A$3:$A$5001,BD!$B$3:$B$5001,G$243,BD!$A$3:$A$5001,"&gt;="&amp;$C$7,BD!$A$3:$A$5001,"&lt;="&amp;$B255,BD!$Z$3:$Z$5001,"&lt;&gt;"))))</f>
        <v/>
      </c>
      <c r="H255" s="42" t="str">
        <f>IF(OR($B255="",$A255&gt;$B$9),"",IF(COUNTIFS(BD!$B$3:$B$5001,H$243,BD!$A$3:$A$5001,"&gt;="&amp;$C$7,BD!$A$3:$A$5001,"&lt;="&amp;$B255,BD!$Z$3:$Z$5001,"&lt;&gt;")=0,"",SUMIFS(BD!$Z$3:$Z$5001,BD!$B$3:$B$5001,H$243,BD!$A$3:$A$5001,_xlfn.MAXIFS(BD!$A$3:$A$5001,BD!$B$3:$B$5001,H$243,BD!$A$3:$A$5001,"&gt;="&amp;$C$7,BD!$A$3:$A$5001,"&lt;="&amp;$B255,BD!$Z$3:$Z$5001,"&lt;&gt;"))))</f>
        <v/>
      </c>
      <c r="I255" s="42" t="str">
        <f>IF(OR($B255="",$A255&gt;$B$9),"",IF(COUNTIFS(BD!$B$3:$B$5001,I$243,BD!$A$3:$A$5001,"&gt;="&amp;$C$7,BD!$A$3:$A$5001,"&lt;="&amp;$B255,BD!$Z$3:$Z$5001,"&lt;&gt;")=0,"",SUMIFS(BD!$Z$3:$Z$5001,BD!$B$3:$B$5001,I$243,BD!$A$3:$A$5001,_xlfn.MAXIFS(BD!$A$3:$A$5001,BD!$B$3:$B$5001,I$243,BD!$A$3:$A$5001,"&gt;="&amp;$C$7,BD!$A$3:$A$5001,"&lt;="&amp;$B255,BD!$Z$3:$Z$5001,"&lt;&gt;"))))</f>
        <v/>
      </c>
      <c r="J255" s="42" t="str">
        <f>IF(OR($B255="",$A255&gt;$B$9),"",IF(COUNTIFS(BD!$B$3:$B$5001,J$243,BD!$A$3:$A$5001,"&gt;="&amp;$C$7,BD!$A$3:$A$5001,"&lt;="&amp;$B255,BD!$Z$3:$Z$5001,"&lt;&gt;")=0,"",SUMIFS(BD!$Z$3:$Z$5001,BD!$B$3:$B$5001,J$243,BD!$A$3:$A$5001,_xlfn.MAXIFS(BD!$A$3:$A$5001,BD!$B$3:$B$5001,J$243,BD!$A$3:$A$5001,"&gt;="&amp;$C$7,BD!$A$3:$A$5001,"&lt;="&amp;$B255,BD!$Z$3:$Z$5001,"&lt;&gt;"))))</f>
        <v/>
      </c>
      <c r="K255" s="42" t="str">
        <f>IF(OR($B255="",$A255&gt;$B$9),"",IF(COUNTIFS(BD!$B$3:$B$5001,K$243,BD!$A$3:$A$5001,"&gt;="&amp;$C$7,BD!$A$3:$A$5001,"&lt;="&amp;$B255,BD!$Z$3:$Z$5001,"&lt;&gt;")=0,"",SUMIFS(BD!$Z$3:$Z$5001,BD!$B$3:$B$5001,K$243,BD!$A$3:$A$5001,_xlfn.MAXIFS(BD!$A$3:$A$5001,BD!$B$3:$B$5001,K$243,BD!$A$3:$A$5001,"&gt;="&amp;$C$7,BD!$A$3:$A$5001,"&lt;="&amp;$B255,BD!$Z$3:$Z$5001,"&lt;&gt;"))))</f>
        <v/>
      </c>
    </row>
    <row r="256">
      <c r="A256" s="40">
        <v>13</v>
      </c>
      <c r="B256" s="41">
        <f>$B$24</f>
        <v>46308</v>
      </c>
      <c r="C256" s="42" t="str">
        <f>IF(OR($B256="",$A256&gt;$B$9),"",IF(COUNTIFS(BD!$B$3:$B$5001,C$243,BD!$A$3:$A$5001,"&gt;="&amp;$C$7,BD!$A$3:$A$5001,"&lt;="&amp;$B256,BD!$Z$3:$Z$5001,"&lt;&gt;")=0,"",SUMIFS(BD!$Z$3:$Z$5001,BD!$B$3:$B$5001,C$243,BD!$A$3:$A$5001,_xlfn.MAXIFS(BD!$A$3:$A$5001,BD!$B$3:$B$5001,C$243,BD!$A$3:$A$5001,"&gt;="&amp;$C$7,BD!$A$3:$A$5001,"&lt;="&amp;$B256,BD!$Z$3:$Z$5001,"&lt;&gt;"))))</f>
        <v/>
      </c>
      <c r="D256" s="42" t="str">
        <f>IF(OR($B256="",$A256&gt;$B$9),"",IF(COUNTIFS(BD!$B$3:$B$5001,D$243,BD!$A$3:$A$5001,"&gt;="&amp;$C$7,BD!$A$3:$A$5001,"&lt;="&amp;$B256,BD!$Z$3:$Z$5001,"&lt;&gt;")=0,"",SUMIFS(BD!$Z$3:$Z$5001,BD!$B$3:$B$5001,D$243,BD!$A$3:$A$5001,_xlfn.MAXIFS(BD!$A$3:$A$5001,BD!$B$3:$B$5001,D$243,BD!$A$3:$A$5001,"&gt;="&amp;$C$7,BD!$A$3:$A$5001,"&lt;="&amp;$B256,BD!$Z$3:$Z$5001,"&lt;&gt;"))))</f>
        <v/>
      </c>
      <c r="E256" s="42" t="str">
        <f>IF(OR($B256="",$A256&gt;$B$9),"",IF(COUNTIFS(BD!$B$3:$B$5001,E$243,BD!$A$3:$A$5001,"&gt;="&amp;$C$7,BD!$A$3:$A$5001,"&lt;="&amp;$B256,BD!$Z$3:$Z$5001,"&lt;&gt;")=0,"",SUMIFS(BD!$Z$3:$Z$5001,BD!$B$3:$B$5001,E$243,BD!$A$3:$A$5001,_xlfn.MAXIFS(BD!$A$3:$A$5001,BD!$B$3:$B$5001,E$243,BD!$A$3:$A$5001,"&gt;="&amp;$C$7,BD!$A$3:$A$5001,"&lt;="&amp;$B256,BD!$Z$3:$Z$5001,"&lt;&gt;"))))</f>
        <v/>
      </c>
      <c r="F256" s="42" t="str">
        <f>IF(OR($B256="",$A256&gt;$B$9),"",IF(COUNTIFS(BD!$B$3:$B$5001,F$243,BD!$A$3:$A$5001,"&gt;="&amp;$C$7,BD!$A$3:$A$5001,"&lt;="&amp;$B256,BD!$Z$3:$Z$5001,"&lt;&gt;")=0,"",SUMIFS(BD!$Z$3:$Z$5001,BD!$B$3:$B$5001,F$243,BD!$A$3:$A$5001,_xlfn.MAXIFS(BD!$A$3:$A$5001,BD!$B$3:$B$5001,F$243,BD!$A$3:$A$5001,"&gt;="&amp;$C$7,BD!$A$3:$A$5001,"&lt;="&amp;$B256,BD!$Z$3:$Z$5001,"&lt;&gt;"))))</f>
        <v/>
      </c>
      <c r="G256" s="42" t="str">
        <f>IF(OR($B256="",$A256&gt;$B$9),"",IF(COUNTIFS(BD!$B$3:$B$5001,G$243,BD!$A$3:$A$5001,"&gt;="&amp;$C$7,BD!$A$3:$A$5001,"&lt;="&amp;$B256,BD!$Z$3:$Z$5001,"&lt;&gt;")=0,"",SUMIFS(BD!$Z$3:$Z$5001,BD!$B$3:$B$5001,G$243,BD!$A$3:$A$5001,_xlfn.MAXIFS(BD!$A$3:$A$5001,BD!$B$3:$B$5001,G$243,BD!$A$3:$A$5001,"&gt;="&amp;$C$7,BD!$A$3:$A$5001,"&lt;="&amp;$B256,BD!$Z$3:$Z$5001,"&lt;&gt;"))))</f>
        <v/>
      </c>
      <c r="H256" s="42" t="str">
        <f>IF(OR($B256="",$A256&gt;$B$9),"",IF(COUNTIFS(BD!$B$3:$B$5001,H$243,BD!$A$3:$A$5001,"&gt;="&amp;$C$7,BD!$A$3:$A$5001,"&lt;="&amp;$B256,BD!$Z$3:$Z$5001,"&lt;&gt;")=0,"",SUMIFS(BD!$Z$3:$Z$5001,BD!$B$3:$B$5001,H$243,BD!$A$3:$A$5001,_xlfn.MAXIFS(BD!$A$3:$A$5001,BD!$B$3:$B$5001,H$243,BD!$A$3:$A$5001,"&gt;="&amp;$C$7,BD!$A$3:$A$5001,"&lt;="&amp;$B256,BD!$Z$3:$Z$5001,"&lt;&gt;"))))</f>
        <v/>
      </c>
      <c r="I256" s="42" t="str">
        <f>IF(OR($B256="",$A256&gt;$B$9),"",IF(COUNTIFS(BD!$B$3:$B$5001,I$243,BD!$A$3:$A$5001,"&gt;="&amp;$C$7,BD!$A$3:$A$5001,"&lt;="&amp;$B256,BD!$Z$3:$Z$5001,"&lt;&gt;")=0,"",SUMIFS(BD!$Z$3:$Z$5001,BD!$B$3:$B$5001,I$243,BD!$A$3:$A$5001,_xlfn.MAXIFS(BD!$A$3:$A$5001,BD!$B$3:$B$5001,I$243,BD!$A$3:$A$5001,"&gt;="&amp;$C$7,BD!$A$3:$A$5001,"&lt;="&amp;$B256,BD!$Z$3:$Z$5001,"&lt;&gt;"))))</f>
        <v/>
      </c>
      <c r="J256" s="42" t="str">
        <f>IF(OR($B256="",$A256&gt;$B$9),"",IF(COUNTIFS(BD!$B$3:$B$5001,J$243,BD!$A$3:$A$5001,"&gt;="&amp;$C$7,BD!$A$3:$A$5001,"&lt;="&amp;$B256,BD!$Z$3:$Z$5001,"&lt;&gt;")=0,"",SUMIFS(BD!$Z$3:$Z$5001,BD!$B$3:$B$5001,J$243,BD!$A$3:$A$5001,_xlfn.MAXIFS(BD!$A$3:$A$5001,BD!$B$3:$B$5001,J$243,BD!$A$3:$A$5001,"&gt;="&amp;$C$7,BD!$A$3:$A$5001,"&lt;="&amp;$B256,BD!$Z$3:$Z$5001,"&lt;&gt;"))))</f>
        <v/>
      </c>
      <c r="K256" s="42" t="str">
        <f>IF(OR($B256="",$A256&gt;$B$9),"",IF(COUNTIFS(BD!$B$3:$B$5001,K$243,BD!$A$3:$A$5001,"&gt;="&amp;$C$7,BD!$A$3:$A$5001,"&lt;="&amp;$B256,BD!$Z$3:$Z$5001,"&lt;&gt;")=0,"",SUMIFS(BD!$Z$3:$Z$5001,BD!$B$3:$B$5001,K$243,BD!$A$3:$A$5001,_xlfn.MAXIFS(BD!$A$3:$A$5001,BD!$B$3:$B$5001,K$243,BD!$A$3:$A$5001,"&gt;="&amp;$C$7,BD!$A$3:$A$5001,"&lt;="&amp;$B256,BD!$Z$3:$Z$5001,"&lt;&gt;"))))</f>
        <v/>
      </c>
    </row>
    <row r="257">
      <c r="A257" s="40">
        <v>14</v>
      </c>
      <c r="B257" s="41">
        <f>$B$25</f>
        <v>46309</v>
      </c>
      <c r="C257" s="42" t="str">
        <f>IF(OR($B257="",$A257&gt;$B$9),"",IF(COUNTIFS(BD!$B$3:$B$5001,C$243,BD!$A$3:$A$5001,"&gt;="&amp;$C$7,BD!$A$3:$A$5001,"&lt;="&amp;$B257,BD!$Z$3:$Z$5001,"&lt;&gt;")=0,"",SUMIFS(BD!$Z$3:$Z$5001,BD!$B$3:$B$5001,C$243,BD!$A$3:$A$5001,_xlfn.MAXIFS(BD!$A$3:$A$5001,BD!$B$3:$B$5001,C$243,BD!$A$3:$A$5001,"&gt;="&amp;$C$7,BD!$A$3:$A$5001,"&lt;="&amp;$B257,BD!$Z$3:$Z$5001,"&lt;&gt;"))))</f>
        <v/>
      </c>
      <c r="D257" s="42" t="str">
        <f>IF(OR($B257="",$A257&gt;$B$9),"",IF(COUNTIFS(BD!$B$3:$B$5001,D$243,BD!$A$3:$A$5001,"&gt;="&amp;$C$7,BD!$A$3:$A$5001,"&lt;="&amp;$B257,BD!$Z$3:$Z$5001,"&lt;&gt;")=0,"",SUMIFS(BD!$Z$3:$Z$5001,BD!$B$3:$B$5001,D$243,BD!$A$3:$A$5001,_xlfn.MAXIFS(BD!$A$3:$A$5001,BD!$B$3:$B$5001,D$243,BD!$A$3:$A$5001,"&gt;="&amp;$C$7,BD!$A$3:$A$5001,"&lt;="&amp;$B257,BD!$Z$3:$Z$5001,"&lt;&gt;"))))</f>
        <v/>
      </c>
      <c r="E257" s="42" t="str">
        <f>IF(OR($B257="",$A257&gt;$B$9),"",IF(COUNTIFS(BD!$B$3:$B$5001,E$243,BD!$A$3:$A$5001,"&gt;="&amp;$C$7,BD!$A$3:$A$5001,"&lt;="&amp;$B257,BD!$Z$3:$Z$5001,"&lt;&gt;")=0,"",SUMIFS(BD!$Z$3:$Z$5001,BD!$B$3:$B$5001,E$243,BD!$A$3:$A$5001,_xlfn.MAXIFS(BD!$A$3:$A$5001,BD!$B$3:$B$5001,E$243,BD!$A$3:$A$5001,"&gt;="&amp;$C$7,BD!$A$3:$A$5001,"&lt;="&amp;$B257,BD!$Z$3:$Z$5001,"&lt;&gt;"))))</f>
        <v/>
      </c>
      <c r="F257" s="42" t="str">
        <f>IF(OR($B257="",$A257&gt;$B$9),"",IF(COUNTIFS(BD!$B$3:$B$5001,F$243,BD!$A$3:$A$5001,"&gt;="&amp;$C$7,BD!$A$3:$A$5001,"&lt;="&amp;$B257,BD!$Z$3:$Z$5001,"&lt;&gt;")=0,"",SUMIFS(BD!$Z$3:$Z$5001,BD!$B$3:$B$5001,F$243,BD!$A$3:$A$5001,_xlfn.MAXIFS(BD!$A$3:$A$5001,BD!$B$3:$B$5001,F$243,BD!$A$3:$A$5001,"&gt;="&amp;$C$7,BD!$A$3:$A$5001,"&lt;="&amp;$B257,BD!$Z$3:$Z$5001,"&lt;&gt;"))))</f>
        <v/>
      </c>
      <c r="G257" s="42" t="str">
        <f>IF(OR($B257="",$A257&gt;$B$9),"",IF(COUNTIFS(BD!$B$3:$B$5001,G$243,BD!$A$3:$A$5001,"&gt;="&amp;$C$7,BD!$A$3:$A$5001,"&lt;="&amp;$B257,BD!$Z$3:$Z$5001,"&lt;&gt;")=0,"",SUMIFS(BD!$Z$3:$Z$5001,BD!$B$3:$B$5001,G$243,BD!$A$3:$A$5001,_xlfn.MAXIFS(BD!$A$3:$A$5001,BD!$B$3:$B$5001,G$243,BD!$A$3:$A$5001,"&gt;="&amp;$C$7,BD!$A$3:$A$5001,"&lt;="&amp;$B257,BD!$Z$3:$Z$5001,"&lt;&gt;"))))</f>
        <v/>
      </c>
      <c r="H257" s="42" t="str">
        <f>IF(OR($B257="",$A257&gt;$B$9),"",IF(COUNTIFS(BD!$B$3:$B$5001,H$243,BD!$A$3:$A$5001,"&gt;="&amp;$C$7,BD!$A$3:$A$5001,"&lt;="&amp;$B257,BD!$Z$3:$Z$5001,"&lt;&gt;")=0,"",SUMIFS(BD!$Z$3:$Z$5001,BD!$B$3:$B$5001,H$243,BD!$A$3:$A$5001,_xlfn.MAXIFS(BD!$A$3:$A$5001,BD!$B$3:$B$5001,H$243,BD!$A$3:$A$5001,"&gt;="&amp;$C$7,BD!$A$3:$A$5001,"&lt;="&amp;$B257,BD!$Z$3:$Z$5001,"&lt;&gt;"))))</f>
        <v/>
      </c>
      <c r="I257" s="42" t="str">
        <f>IF(OR($B257="",$A257&gt;$B$9),"",IF(COUNTIFS(BD!$B$3:$B$5001,I$243,BD!$A$3:$A$5001,"&gt;="&amp;$C$7,BD!$A$3:$A$5001,"&lt;="&amp;$B257,BD!$Z$3:$Z$5001,"&lt;&gt;")=0,"",SUMIFS(BD!$Z$3:$Z$5001,BD!$B$3:$B$5001,I$243,BD!$A$3:$A$5001,_xlfn.MAXIFS(BD!$A$3:$A$5001,BD!$B$3:$B$5001,I$243,BD!$A$3:$A$5001,"&gt;="&amp;$C$7,BD!$A$3:$A$5001,"&lt;="&amp;$B257,BD!$Z$3:$Z$5001,"&lt;&gt;"))))</f>
        <v/>
      </c>
      <c r="J257" s="42" t="str">
        <f>IF(OR($B257="",$A257&gt;$B$9),"",IF(COUNTIFS(BD!$B$3:$B$5001,J$243,BD!$A$3:$A$5001,"&gt;="&amp;$C$7,BD!$A$3:$A$5001,"&lt;="&amp;$B257,BD!$Z$3:$Z$5001,"&lt;&gt;")=0,"",SUMIFS(BD!$Z$3:$Z$5001,BD!$B$3:$B$5001,J$243,BD!$A$3:$A$5001,_xlfn.MAXIFS(BD!$A$3:$A$5001,BD!$B$3:$B$5001,J$243,BD!$A$3:$A$5001,"&gt;="&amp;$C$7,BD!$A$3:$A$5001,"&lt;="&amp;$B257,BD!$Z$3:$Z$5001,"&lt;&gt;"))))</f>
        <v/>
      </c>
      <c r="K257" s="42" t="str">
        <f>IF(OR($B257="",$A257&gt;$B$9),"",IF(COUNTIFS(BD!$B$3:$B$5001,K$243,BD!$A$3:$A$5001,"&gt;="&amp;$C$7,BD!$A$3:$A$5001,"&lt;="&amp;$B257,BD!$Z$3:$Z$5001,"&lt;&gt;")=0,"",SUMIFS(BD!$Z$3:$Z$5001,BD!$B$3:$B$5001,K$243,BD!$A$3:$A$5001,_xlfn.MAXIFS(BD!$A$3:$A$5001,BD!$B$3:$B$5001,K$243,BD!$A$3:$A$5001,"&gt;="&amp;$C$7,BD!$A$3:$A$5001,"&lt;="&amp;$B257,BD!$Z$3:$Z$5001,"&lt;&gt;"))))</f>
        <v/>
      </c>
    </row>
    <row r="258">
      <c r="A258" s="40">
        <v>15</v>
      </c>
      <c r="B258" s="41">
        <f>$B$26</f>
        <v>46310</v>
      </c>
      <c r="C258" s="42" t="str">
        <f>IF(OR($B258="",$A258&gt;$B$9),"",IF(COUNTIFS(BD!$B$3:$B$5001,C$243,BD!$A$3:$A$5001,"&gt;="&amp;$C$7,BD!$A$3:$A$5001,"&lt;="&amp;$B258,BD!$Z$3:$Z$5001,"&lt;&gt;")=0,"",SUMIFS(BD!$Z$3:$Z$5001,BD!$B$3:$B$5001,C$243,BD!$A$3:$A$5001,_xlfn.MAXIFS(BD!$A$3:$A$5001,BD!$B$3:$B$5001,C$243,BD!$A$3:$A$5001,"&gt;="&amp;$C$7,BD!$A$3:$A$5001,"&lt;="&amp;$B258,BD!$Z$3:$Z$5001,"&lt;&gt;"))))</f>
        <v/>
      </c>
      <c r="D258" s="42" t="str">
        <f>IF(OR($B258="",$A258&gt;$B$9),"",IF(COUNTIFS(BD!$B$3:$B$5001,D$243,BD!$A$3:$A$5001,"&gt;="&amp;$C$7,BD!$A$3:$A$5001,"&lt;="&amp;$B258,BD!$Z$3:$Z$5001,"&lt;&gt;")=0,"",SUMIFS(BD!$Z$3:$Z$5001,BD!$B$3:$B$5001,D$243,BD!$A$3:$A$5001,_xlfn.MAXIFS(BD!$A$3:$A$5001,BD!$B$3:$B$5001,D$243,BD!$A$3:$A$5001,"&gt;="&amp;$C$7,BD!$A$3:$A$5001,"&lt;="&amp;$B258,BD!$Z$3:$Z$5001,"&lt;&gt;"))))</f>
        <v/>
      </c>
      <c r="E258" s="42" t="str">
        <f>IF(OR($B258="",$A258&gt;$B$9),"",IF(COUNTIFS(BD!$B$3:$B$5001,E$243,BD!$A$3:$A$5001,"&gt;="&amp;$C$7,BD!$A$3:$A$5001,"&lt;="&amp;$B258,BD!$Z$3:$Z$5001,"&lt;&gt;")=0,"",SUMIFS(BD!$Z$3:$Z$5001,BD!$B$3:$B$5001,E$243,BD!$A$3:$A$5001,_xlfn.MAXIFS(BD!$A$3:$A$5001,BD!$B$3:$B$5001,E$243,BD!$A$3:$A$5001,"&gt;="&amp;$C$7,BD!$A$3:$A$5001,"&lt;="&amp;$B258,BD!$Z$3:$Z$5001,"&lt;&gt;"))))</f>
        <v/>
      </c>
      <c r="F258" s="42" t="str">
        <f>IF(OR($B258="",$A258&gt;$B$9),"",IF(COUNTIFS(BD!$B$3:$B$5001,F$243,BD!$A$3:$A$5001,"&gt;="&amp;$C$7,BD!$A$3:$A$5001,"&lt;="&amp;$B258,BD!$Z$3:$Z$5001,"&lt;&gt;")=0,"",SUMIFS(BD!$Z$3:$Z$5001,BD!$B$3:$B$5001,F$243,BD!$A$3:$A$5001,_xlfn.MAXIFS(BD!$A$3:$A$5001,BD!$B$3:$B$5001,F$243,BD!$A$3:$A$5001,"&gt;="&amp;$C$7,BD!$A$3:$A$5001,"&lt;="&amp;$B258,BD!$Z$3:$Z$5001,"&lt;&gt;"))))</f>
        <v/>
      </c>
      <c r="G258" s="42" t="str">
        <f>IF(OR($B258="",$A258&gt;$B$9),"",IF(COUNTIFS(BD!$B$3:$B$5001,G$243,BD!$A$3:$A$5001,"&gt;="&amp;$C$7,BD!$A$3:$A$5001,"&lt;="&amp;$B258,BD!$Z$3:$Z$5001,"&lt;&gt;")=0,"",SUMIFS(BD!$Z$3:$Z$5001,BD!$B$3:$B$5001,G$243,BD!$A$3:$A$5001,_xlfn.MAXIFS(BD!$A$3:$A$5001,BD!$B$3:$B$5001,G$243,BD!$A$3:$A$5001,"&gt;="&amp;$C$7,BD!$A$3:$A$5001,"&lt;="&amp;$B258,BD!$Z$3:$Z$5001,"&lt;&gt;"))))</f>
        <v/>
      </c>
      <c r="H258" s="42" t="str">
        <f>IF(OR($B258="",$A258&gt;$B$9),"",IF(COUNTIFS(BD!$B$3:$B$5001,H$243,BD!$A$3:$A$5001,"&gt;="&amp;$C$7,BD!$A$3:$A$5001,"&lt;="&amp;$B258,BD!$Z$3:$Z$5001,"&lt;&gt;")=0,"",SUMIFS(BD!$Z$3:$Z$5001,BD!$B$3:$B$5001,H$243,BD!$A$3:$A$5001,_xlfn.MAXIFS(BD!$A$3:$A$5001,BD!$B$3:$B$5001,H$243,BD!$A$3:$A$5001,"&gt;="&amp;$C$7,BD!$A$3:$A$5001,"&lt;="&amp;$B258,BD!$Z$3:$Z$5001,"&lt;&gt;"))))</f>
        <v/>
      </c>
      <c r="I258" s="42" t="str">
        <f>IF(OR($B258="",$A258&gt;$B$9),"",IF(COUNTIFS(BD!$B$3:$B$5001,I$243,BD!$A$3:$A$5001,"&gt;="&amp;$C$7,BD!$A$3:$A$5001,"&lt;="&amp;$B258,BD!$Z$3:$Z$5001,"&lt;&gt;")=0,"",SUMIFS(BD!$Z$3:$Z$5001,BD!$B$3:$B$5001,I$243,BD!$A$3:$A$5001,_xlfn.MAXIFS(BD!$A$3:$A$5001,BD!$B$3:$B$5001,I$243,BD!$A$3:$A$5001,"&gt;="&amp;$C$7,BD!$A$3:$A$5001,"&lt;="&amp;$B258,BD!$Z$3:$Z$5001,"&lt;&gt;"))))</f>
        <v/>
      </c>
      <c r="J258" s="42" t="str">
        <f>IF(OR($B258="",$A258&gt;$B$9),"",IF(COUNTIFS(BD!$B$3:$B$5001,J$243,BD!$A$3:$A$5001,"&gt;="&amp;$C$7,BD!$A$3:$A$5001,"&lt;="&amp;$B258,BD!$Z$3:$Z$5001,"&lt;&gt;")=0,"",SUMIFS(BD!$Z$3:$Z$5001,BD!$B$3:$B$5001,J$243,BD!$A$3:$A$5001,_xlfn.MAXIFS(BD!$A$3:$A$5001,BD!$B$3:$B$5001,J$243,BD!$A$3:$A$5001,"&gt;="&amp;$C$7,BD!$A$3:$A$5001,"&lt;="&amp;$B258,BD!$Z$3:$Z$5001,"&lt;&gt;"))))</f>
        <v/>
      </c>
      <c r="K258" s="42" t="str">
        <f>IF(OR($B258="",$A258&gt;$B$9),"",IF(COUNTIFS(BD!$B$3:$B$5001,K$243,BD!$A$3:$A$5001,"&gt;="&amp;$C$7,BD!$A$3:$A$5001,"&lt;="&amp;$B258,BD!$Z$3:$Z$5001,"&lt;&gt;")=0,"",SUMIFS(BD!$Z$3:$Z$5001,BD!$B$3:$B$5001,K$243,BD!$A$3:$A$5001,_xlfn.MAXIFS(BD!$A$3:$A$5001,BD!$B$3:$B$5001,K$243,BD!$A$3:$A$5001,"&gt;="&amp;$C$7,BD!$A$3:$A$5001,"&lt;="&amp;$B258,BD!$Z$3:$Z$5001,"&lt;&gt;"))))</f>
        <v/>
      </c>
    </row>
    <row r="259">
      <c r="A259" s="40">
        <v>16</v>
      </c>
      <c r="B259" s="41">
        <f>$B$27</f>
        <v>46311</v>
      </c>
      <c r="C259" s="42" t="str">
        <f>IF(OR($B259="",$A259&gt;$B$9),"",IF(COUNTIFS(BD!$B$3:$B$5001,C$243,BD!$A$3:$A$5001,"&gt;="&amp;$C$7,BD!$A$3:$A$5001,"&lt;="&amp;$B259,BD!$Z$3:$Z$5001,"&lt;&gt;")=0,"",SUMIFS(BD!$Z$3:$Z$5001,BD!$B$3:$B$5001,C$243,BD!$A$3:$A$5001,_xlfn.MAXIFS(BD!$A$3:$A$5001,BD!$B$3:$B$5001,C$243,BD!$A$3:$A$5001,"&gt;="&amp;$C$7,BD!$A$3:$A$5001,"&lt;="&amp;$B259,BD!$Z$3:$Z$5001,"&lt;&gt;"))))</f>
        <v/>
      </c>
      <c r="D259" s="42" t="str">
        <f>IF(OR($B259="",$A259&gt;$B$9),"",IF(COUNTIFS(BD!$B$3:$B$5001,D$243,BD!$A$3:$A$5001,"&gt;="&amp;$C$7,BD!$A$3:$A$5001,"&lt;="&amp;$B259,BD!$Z$3:$Z$5001,"&lt;&gt;")=0,"",SUMIFS(BD!$Z$3:$Z$5001,BD!$B$3:$B$5001,D$243,BD!$A$3:$A$5001,_xlfn.MAXIFS(BD!$A$3:$A$5001,BD!$B$3:$B$5001,D$243,BD!$A$3:$A$5001,"&gt;="&amp;$C$7,BD!$A$3:$A$5001,"&lt;="&amp;$B259,BD!$Z$3:$Z$5001,"&lt;&gt;"))))</f>
        <v/>
      </c>
      <c r="E259" s="42" t="str">
        <f>IF(OR($B259="",$A259&gt;$B$9),"",IF(COUNTIFS(BD!$B$3:$B$5001,E$243,BD!$A$3:$A$5001,"&gt;="&amp;$C$7,BD!$A$3:$A$5001,"&lt;="&amp;$B259,BD!$Z$3:$Z$5001,"&lt;&gt;")=0,"",SUMIFS(BD!$Z$3:$Z$5001,BD!$B$3:$B$5001,E$243,BD!$A$3:$A$5001,_xlfn.MAXIFS(BD!$A$3:$A$5001,BD!$B$3:$B$5001,E$243,BD!$A$3:$A$5001,"&gt;="&amp;$C$7,BD!$A$3:$A$5001,"&lt;="&amp;$B259,BD!$Z$3:$Z$5001,"&lt;&gt;"))))</f>
        <v/>
      </c>
      <c r="F259" s="42" t="str">
        <f>IF(OR($B259="",$A259&gt;$B$9),"",IF(COUNTIFS(BD!$B$3:$B$5001,F$243,BD!$A$3:$A$5001,"&gt;="&amp;$C$7,BD!$A$3:$A$5001,"&lt;="&amp;$B259,BD!$Z$3:$Z$5001,"&lt;&gt;")=0,"",SUMIFS(BD!$Z$3:$Z$5001,BD!$B$3:$B$5001,F$243,BD!$A$3:$A$5001,_xlfn.MAXIFS(BD!$A$3:$A$5001,BD!$B$3:$B$5001,F$243,BD!$A$3:$A$5001,"&gt;="&amp;$C$7,BD!$A$3:$A$5001,"&lt;="&amp;$B259,BD!$Z$3:$Z$5001,"&lt;&gt;"))))</f>
        <v/>
      </c>
      <c r="G259" s="42" t="str">
        <f>IF(OR($B259="",$A259&gt;$B$9),"",IF(COUNTIFS(BD!$B$3:$B$5001,G$243,BD!$A$3:$A$5001,"&gt;="&amp;$C$7,BD!$A$3:$A$5001,"&lt;="&amp;$B259,BD!$Z$3:$Z$5001,"&lt;&gt;")=0,"",SUMIFS(BD!$Z$3:$Z$5001,BD!$B$3:$B$5001,G$243,BD!$A$3:$A$5001,_xlfn.MAXIFS(BD!$A$3:$A$5001,BD!$B$3:$B$5001,G$243,BD!$A$3:$A$5001,"&gt;="&amp;$C$7,BD!$A$3:$A$5001,"&lt;="&amp;$B259,BD!$Z$3:$Z$5001,"&lt;&gt;"))))</f>
        <v/>
      </c>
      <c r="H259" s="42" t="str">
        <f>IF(OR($B259="",$A259&gt;$B$9),"",IF(COUNTIFS(BD!$B$3:$B$5001,H$243,BD!$A$3:$A$5001,"&gt;="&amp;$C$7,BD!$A$3:$A$5001,"&lt;="&amp;$B259,BD!$Z$3:$Z$5001,"&lt;&gt;")=0,"",SUMIFS(BD!$Z$3:$Z$5001,BD!$B$3:$B$5001,H$243,BD!$A$3:$A$5001,_xlfn.MAXIFS(BD!$A$3:$A$5001,BD!$B$3:$B$5001,H$243,BD!$A$3:$A$5001,"&gt;="&amp;$C$7,BD!$A$3:$A$5001,"&lt;="&amp;$B259,BD!$Z$3:$Z$5001,"&lt;&gt;"))))</f>
        <v/>
      </c>
      <c r="I259" s="42" t="str">
        <f>IF(OR($B259="",$A259&gt;$B$9),"",IF(COUNTIFS(BD!$B$3:$B$5001,I$243,BD!$A$3:$A$5001,"&gt;="&amp;$C$7,BD!$A$3:$A$5001,"&lt;="&amp;$B259,BD!$Z$3:$Z$5001,"&lt;&gt;")=0,"",SUMIFS(BD!$Z$3:$Z$5001,BD!$B$3:$B$5001,I$243,BD!$A$3:$A$5001,_xlfn.MAXIFS(BD!$A$3:$A$5001,BD!$B$3:$B$5001,I$243,BD!$A$3:$A$5001,"&gt;="&amp;$C$7,BD!$A$3:$A$5001,"&lt;="&amp;$B259,BD!$Z$3:$Z$5001,"&lt;&gt;"))))</f>
        <v/>
      </c>
      <c r="J259" s="42" t="str">
        <f>IF(OR($B259="",$A259&gt;$B$9),"",IF(COUNTIFS(BD!$B$3:$B$5001,J$243,BD!$A$3:$A$5001,"&gt;="&amp;$C$7,BD!$A$3:$A$5001,"&lt;="&amp;$B259,BD!$Z$3:$Z$5001,"&lt;&gt;")=0,"",SUMIFS(BD!$Z$3:$Z$5001,BD!$B$3:$B$5001,J$243,BD!$A$3:$A$5001,_xlfn.MAXIFS(BD!$A$3:$A$5001,BD!$B$3:$B$5001,J$243,BD!$A$3:$A$5001,"&gt;="&amp;$C$7,BD!$A$3:$A$5001,"&lt;="&amp;$B259,BD!$Z$3:$Z$5001,"&lt;&gt;"))))</f>
        <v/>
      </c>
      <c r="K259" s="42" t="str">
        <f>IF(OR($B259="",$A259&gt;$B$9),"",IF(COUNTIFS(BD!$B$3:$B$5001,K$243,BD!$A$3:$A$5001,"&gt;="&amp;$C$7,BD!$A$3:$A$5001,"&lt;="&amp;$B259,BD!$Z$3:$Z$5001,"&lt;&gt;")=0,"",SUMIFS(BD!$Z$3:$Z$5001,BD!$B$3:$B$5001,K$243,BD!$A$3:$A$5001,_xlfn.MAXIFS(BD!$A$3:$A$5001,BD!$B$3:$B$5001,K$243,BD!$A$3:$A$5001,"&gt;="&amp;$C$7,BD!$A$3:$A$5001,"&lt;="&amp;$B259,BD!$Z$3:$Z$5001,"&lt;&gt;"))))</f>
        <v/>
      </c>
    </row>
    <row r="260">
      <c r="A260" s="40">
        <v>17</v>
      </c>
      <c r="B260" s="41">
        <f>$B$28</f>
        <v>46312</v>
      </c>
      <c r="C260" s="42" t="str">
        <f>IF(OR($B260="",$A260&gt;$B$9),"",IF(COUNTIFS(BD!$B$3:$B$5001,C$243,BD!$A$3:$A$5001,"&gt;="&amp;$C$7,BD!$A$3:$A$5001,"&lt;="&amp;$B260,BD!$Z$3:$Z$5001,"&lt;&gt;")=0,"",SUMIFS(BD!$Z$3:$Z$5001,BD!$B$3:$B$5001,C$243,BD!$A$3:$A$5001,_xlfn.MAXIFS(BD!$A$3:$A$5001,BD!$B$3:$B$5001,C$243,BD!$A$3:$A$5001,"&gt;="&amp;$C$7,BD!$A$3:$A$5001,"&lt;="&amp;$B260,BD!$Z$3:$Z$5001,"&lt;&gt;"))))</f>
        <v/>
      </c>
      <c r="D260" s="42" t="str">
        <f>IF(OR($B260="",$A260&gt;$B$9),"",IF(COUNTIFS(BD!$B$3:$B$5001,D$243,BD!$A$3:$A$5001,"&gt;="&amp;$C$7,BD!$A$3:$A$5001,"&lt;="&amp;$B260,BD!$Z$3:$Z$5001,"&lt;&gt;")=0,"",SUMIFS(BD!$Z$3:$Z$5001,BD!$B$3:$B$5001,D$243,BD!$A$3:$A$5001,_xlfn.MAXIFS(BD!$A$3:$A$5001,BD!$B$3:$B$5001,D$243,BD!$A$3:$A$5001,"&gt;="&amp;$C$7,BD!$A$3:$A$5001,"&lt;="&amp;$B260,BD!$Z$3:$Z$5001,"&lt;&gt;"))))</f>
        <v/>
      </c>
      <c r="E260" s="42" t="str">
        <f>IF(OR($B260="",$A260&gt;$B$9),"",IF(COUNTIFS(BD!$B$3:$B$5001,E$243,BD!$A$3:$A$5001,"&gt;="&amp;$C$7,BD!$A$3:$A$5001,"&lt;="&amp;$B260,BD!$Z$3:$Z$5001,"&lt;&gt;")=0,"",SUMIFS(BD!$Z$3:$Z$5001,BD!$B$3:$B$5001,E$243,BD!$A$3:$A$5001,_xlfn.MAXIFS(BD!$A$3:$A$5001,BD!$B$3:$B$5001,E$243,BD!$A$3:$A$5001,"&gt;="&amp;$C$7,BD!$A$3:$A$5001,"&lt;="&amp;$B260,BD!$Z$3:$Z$5001,"&lt;&gt;"))))</f>
        <v/>
      </c>
      <c r="F260" s="42" t="str">
        <f>IF(OR($B260="",$A260&gt;$B$9),"",IF(COUNTIFS(BD!$B$3:$B$5001,F$243,BD!$A$3:$A$5001,"&gt;="&amp;$C$7,BD!$A$3:$A$5001,"&lt;="&amp;$B260,BD!$Z$3:$Z$5001,"&lt;&gt;")=0,"",SUMIFS(BD!$Z$3:$Z$5001,BD!$B$3:$B$5001,F$243,BD!$A$3:$A$5001,_xlfn.MAXIFS(BD!$A$3:$A$5001,BD!$B$3:$B$5001,F$243,BD!$A$3:$A$5001,"&gt;="&amp;$C$7,BD!$A$3:$A$5001,"&lt;="&amp;$B260,BD!$Z$3:$Z$5001,"&lt;&gt;"))))</f>
        <v/>
      </c>
      <c r="G260" s="42" t="str">
        <f>IF(OR($B260="",$A260&gt;$B$9),"",IF(COUNTIFS(BD!$B$3:$B$5001,G$243,BD!$A$3:$A$5001,"&gt;="&amp;$C$7,BD!$A$3:$A$5001,"&lt;="&amp;$B260,BD!$Z$3:$Z$5001,"&lt;&gt;")=0,"",SUMIFS(BD!$Z$3:$Z$5001,BD!$B$3:$B$5001,G$243,BD!$A$3:$A$5001,_xlfn.MAXIFS(BD!$A$3:$A$5001,BD!$B$3:$B$5001,G$243,BD!$A$3:$A$5001,"&gt;="&amp;$C$7,BD!$A$3:$A$5001,"&lt;="&amp;$B260,BD!$Z$3:$Z$5001,"&lt;&gt;"))))</f>
        <v/>
      </c>
      <c r="H260" s="42" t="str">
        <f>IF(OR($B260="",$A260&gt;$B$9),"",IF(COUNTIFS(BD!$B$3:$B$5001,H$243,BD!$A$3:$A$5001,"&gt;="&amp;$C$7,BD!$A$3:$A$5001,"&lt;="&amp;$B260,BD!$Z$3:$Z$5001,"&lt;&gt;")=0,"",SUMIFS(BD!$Z$3:$Z$5001,BD!$B$3:$B$5001,H$243,BD!$A$3:$A$5001,_xlfn.MAXIFS(BD!$A$3:$A$5001,BD!$B$3:$B$5001,H$243,BD!$A$3:$A$5001,"&gt;="&amp;$C$7,BD!$A$3:$A$5001,"&lt;="&amp;$B260,BD!$Z$3:$Z$5001,"&lt;&gt;"))))</f>
        <v/>
      </c>
      <c r="I260" s="42" t="str">
        <f>IF(OR($B260="",$A260&gt;$B$9),"",IF(COUNTIFS(BD!$B$3:$B$5001,I$243,BD!$A$3:$A$5001,"&gt;="&amp;$C$7,BD!$A$3:$A$5001,"&lt;="&amp;$B260,BD!$Z$3:$Z$5001,"&lt;&gt;")=0,"",SUMIFS(BD!$Z$3:$Z$5001,BD!$B$3:$B$5001,I$243,BD!$A$3:$A$5001,_xlfn.MAXIFS(BD!$A$3:$A$5001,BD!$B$3:$B$5001,I$243,BD!$A$3:$A$5001,"&gt;="&amp;$C$7,BD!$A$3:$A$5001,"&lt;="&amp;$B260,BD!$Z$3:$Z$5001,"&lt;&gt;"))))</f>
        <v/>
      </c>
      <c r="J260" s="42" t="str">
        <f>IF(OR($B260="",$A260&gt;$B$9),"",IF(COUNTIFS(BD!$B$3:$B$5001,J$243,BD!$A$3:$A$5001,"&gt;="&amp;$C$7,BD!$A$3:$A$5001,"&lt;="&amp;$B260,BD!$Z$3:$Z$5001,"&lt;&gt;")=0,"",SUMIFS(BD!$Z$3:$Z$5001,BD!$B$3:$B$5001,J$243,BD!$A$3:$A$5001,_xlfn.MAXIFS(BD!$A$3:$A$5001,BD!$B$3:$B$5001,J$243,BD!$A$3:$A$5001,"&gt;="&amp;$C$7,BD!$A$3:$A$5001,"&lt;="&amp;$B260,BD!$Z$3:$Z$5001,"&lt;&gt;"))))</f>
        <v/>
      </c>
      <c r="K260" s="42" t="str">
        <f>IF(OR($B260="",$A260&gt;$B$9),"",IF(COUNTIFS(BD!$B$3:$B$5001,K$243,BD!$A$3:$A$5001,"&gt;="&amp;$C$7,BD!$A$3:$A$5001,"&lt;="&amp;$B260,BD!$Z$3:$Z$5001,"&lt;&gt;")=0,"",SUMIFS(BD!$Z$3:$Z$5001,BD!$B$3:$B$5001,K$243,BD!$A$3:$A$5001,_xlfn.MAXIFS(BD!$A$3:$A$5001,BD!$B$3:$B$5001,K$243,BD!$A$3:$A$5001,"&gt;="&amp;$C$7,BD!$A$3:$A$5001,"&lt;="&amp;$B260,BD!$Z$3:$Z$5001,"&lt;&gt;"))))</f>
        <v/>
      </c>
    </row>
    <row r="261">
      <c r="A261" s="40">
        <v>18</v>
      </c>
      <c r="B261" s="41">
        <f>$B$29</f>
        <v>46313</v>
      </c>
      <c r="C261" s="42" t="str">
        <f>IF(OR($B261="",$A261&gt;$B$9),"",IF(COUNTIFS(BD!$B$3:$B$5001,C$243,BD!$A$3:$A$5001,"&gt;="&amp;$C$7,BD!$A$3:$A$5001,"&lt;="&amp;$B261,BD!$Z$3:$Z$5001,"&lt;&gt;")=0,"",SUMIFS(BD!$Z$3:$Z$5001,BD!$B$3:$B$5001,C$243,BD!$A$3:$A$5001,_xlfn.MAXIFS(BD!$A$3:$A$5001,BD!$B$3:$B$5001,C$243,BD!$A$3:$A$5001,"&gt;="&amp;$C$7,BD!$A$3:$A$5001,"&lt;="&amp;$B261,BD!$Z$3:$Z$5001,"&lt;&gt;"))))</f>
        <v/>
      </c>
      <c r="D261" s="42" t="str">
        <f>IF(OR($B261="",$A261&gt;$B$9),"",IF(COUNTIFS(BD!$B$3:$B$5001,D$243,BD!$A$3:$A$5001,"&gt;="&amp;$C$7,BD!$A$3:$A$5001,"&lt;="&amp;$B261,BD!$Z$3:$Z$5001,"&lt;&gt;")=0,"",SUMIFS(BD!$Z$3:$Z$5001,BD!$B$3:$B$5001,D$243,BD!$A$3:$A$5001,_xlfn.MAXIFS(BD!$A$3:$A$5001,BD!$B$3:$B$5001,D$243,BD!$A$3:$A$5001,"&gt;="&amp;$C$7,BD!$A$3:$A$5001,"&lt;="&amp;$B261,BD!$Z$3:$Z$5001,"&lt;&gt;"))))</f>
        <v/>
      </c>
      <c r="E261" s="42" t="str">
        <f>IF(OR($B261="",$A261&gt;$B$9),"",IF(COUNTIFS(BD!$B$3:$B$5001,E$243,BD!$A$3:$A$5001,"&gt;="&amp;$C$7,BD!$A$3:$A$5001,"&lt;="&amp;$B261,BD!$Z$3:$Z$5001,"&lt;&gt;")=0,"",SUMIFS(BD!$Z$3:$Z$5001,BD!$B$3:$B$5001,E$243,BD!$A$3:$A$5001,_xlfn.MAXIFS(BD!$A$3:$A$5001,BD!$B$3:$B$5001,E$243,BD!$A$3:$A$5001,"&gt;="&amp;$C$7,BD!$A$3:$A$5001,"&lt;="&amp;$B261,BD!$Z$3:$Z$5001,"&lt;&gt;"))))</f>
        <v/>
      </c>
      <c r="F261" s="42" t="str">
        <f>IF(OR($B261="",$A261&gt;$B$9),"",IF(COUNTIFS(BD!$B$3:$B$5001,F$243,BD!$A$3:$A$5001,"&gt;="&amp;$C$7,BD!$A$3:$A$5001,"&lt;="&amp;$B261,BD!$Z$3:$Z$5001,"&lt;&gt;")=0,"",SUMIFS(BD!$Z$3:$Z$5001,BD!$B$3:$B$5001,F$243,BD!$A$3:$A$5001,_xlfn.MAXIFS(BD!$A$3:$A$5001,BD!$B$3:$B$5001,F$243,BD!$A$3:$A$5001,"&gt;="&amp;$C$7,BD!$A$3:$A$5001,"&lt;="&amp;$B261,BD!$Z$3:$Z$5001,"&lt;&gt;"))))</f>
        <v/>
      </c>
      <c r="G261" s="42" t="str">
        <f>IF(OR($B261="",$A261&gt;$B$9),"",IF(COUNTIFS(BD!$B$3:$B$5001,G$243,BD!$A$3:$A$5001,"&gt;="&amp;$C$7,BD!$A$3:$A$5001,"&lt;="&amp;$B261,BD!$Z$3:$Z$5001,"&lt;&gt;")=0,"",SUMIFS(BD!$Z$3:$Z$5001,BD!$B$3:$B$5001,G$243,BD!$A$3:$A$5001,_xlfn.MAXIFS(BD!$A$3:$A$5001,BD!$B$3:$B$5001,G$243,BD!$A$3:$A$5001,"&gt;="&amp;$C$7,BD!$A$3:$A$5001,"&lt;="&amp;$B261,BD!$Z$3:$Z$5001,"&lt;&gt;"))))</f>
        <v/>
      </c>
      <c r="H261" s="42" t="str">
        <f>IF(OR($B261="",$A261&gt;$B$9),"",IF(COUNTIFS(BD!$B$3:$B$5001,H$243,BD!$A$3:$A$5001,"&gt;="&amp;$C$7,BD!$A$3:$A$5001,"&lt;="&amp;$B261,BD!$Z$3:$Z$5001,"&lt;&gt;")=0,"",SUMIFS(BD!$Z$3:$Z$5001,BD!$B$3:$B$5001,H$243,BD!$A$3:$A$5001,_xlfn.MAXIFS(BD!$A$3:$A$5001,BD!$B$3:$B$5001,H$243,BD!$A$3:$A$5001,"&gt;="&amp;$C$7,BD!$A$3:$A$5001,"&lt;="&amp;$B261,BD!$Z$3:$Z$5001,"&lt;&gt;"))))</f>
        <v/>
      </c>
      <c r="I261" s="42" t="str">
        <f>IF(OR($B261="",$A261&gt;$B$9),"",IF(COUNTIFS(BD!$B$3:$B$5001,I$243,BD!$A$3:$A$5001,"&gt;="&amp;$C$7,BD!$A$3:$A$5001,"&lt;="&amp;$B261,BD!$Z$3:$Z$5001,"&lt;&gt;")=0,"",SUMIFS(BD!$Z$3:$Z$5001,BD!$B$3:$B$5001,I$243,BD!$A$3:$A$5001,_xlfn.MAXIFS(BD!$A$3:$A$5001,BD!$B$3:$B$5001,I$243,BD!$A$3:$A$5001,"&gt;="&amp;$C$7,BD!$A$3:$A$5001,"&lt;="&amp;$B261,BD!$Z$3:$Z$5001,"&lt;&gt;"))))</f>
        <v/>
      </c>
      <c r="J261" s="42" t="str">
        <f>IF(OR($B261="",$A261&gt;$B$9),"",IF(COUNTIFS(BD!$B$3:$B$5001,J$243,BD!$A$3:$A$5001,"&gt;="&amp;$C$7,BD!$A$3:$A$5001,"&lt;="&amp;$B261,BD!$Z$3:$Z$5001,"&lt;&gt;")=0,"",SUMIFS(BD!$Z$3:$Z$5001,BD!$B$3:$B$5001,J$243,BD!$A$3:$A$5001,_xlfn.MAXIFS(BD!$A$3:$A$5001,BD!$B$3:$B$5001,J$243,BD!$A$3:$A$5001,"&gt;="&amp;$C$7,BD!$A$3:$A$5001,"&lt;="&amp;$B261,BD!$Z$3:$Z$5001,"&lt;&gt;"))))</f>
        <v/>
      </c>
      <c r="K261" s="42" t="str">
        <f>IF(OR($B261="",$A261&gt;$B$9),"",IF(COUNTIFS(BD!$B$3:$B$5001,K$243,BD!$A$3:$A$5001,"&gt;="&amp;$C$7,BD!$A$3:$A$5001,"&lt;="&amp;$B261,BD!$Z$3:$Z$5001,"&lt;&gt;")=0,"",SUMIFS(BD!$Z$3:$Z$5001,BD!$B$3:$B$5001,K$243,BD!$A$3:$A$5001,_xlfn.MAXIFS(BD!$A$3:$A$5001,BD!$B$3:$B$5001,K$243,BD!$A$3:$A$5001,"&gt;="&amp;$C$7,BD!$A$3:$A$5001,"&lt;="&amp;$B261,BD!$Z$3:$Z$5001,"&lt;&gt;"))))</f>
        <v/>
      </c>
    </row>
    <row r="262">
      <c r="A262" s="40">
        <v>19</v>
      </c>
      <c r="B262" s="41">
        <f>$B$30</f>
        <v>46314</v>
      </c>
      <c r="C262" s="42" t="str">
        <f>IF(OR($B262="",$A262&gt;$B$9),"",IF(COUNTIFS(BD!$B$3:$B$5001,C$243,BD!$A$3:$A$5001,"&gt;="&amp;$C$7,BD!$A$3:$A$5001,"&lt;="&amp;$B262,BD!$Z$3:$Z$5001,"&lt;&gt;")=0,"",SUMIFS(BD!$Z$3:$Z$5001,BD!$B$3:$B$5001,C$243,BD!$A$3:$A$5001,_xlfn.MAXIFS(BD!$A$3:$A$5001,BD!$B$3:$B$5001,C$243,BD!$A$3:$A$5001,"&gt;="&amp;$C$7,BD!$A$3:$A$5001,"&lt;="&amp;$B262,BD!$Z$3:$Z$5001,"&lt;&gt;"))))</f>
        <v/>
      </c>
      <c r="D262" s="42" t="str">
        <f>IF(OR($B262="",$A262&gt;$B$9),"",IF(COUNTIFS(BD!$B$3:$B$5001,D$243,BD!$A$3:$A$5001,"&gt;="&amp;$C$7,BD!$A$3:$A$5001,"&lt;="&amp;$B262,BD!$Z$3:$Z$5001,"&lt;&gt;")=0,"",SUMIFS(BD!$Z$3:$Z$5001,BD!$B$3:$B$5001,D$243,BD!$A$3:$A$5001,_xlfn.MAXIFS(BD!$A$3:$A$5001,BD!$B$3:$B$5001,D$243,BD!$A$3:$A$5001,"&gt;="&amp;$C$7,BD!$A$3:$A$5001,"&lt;="&amp;$B262,BD!$Z$3:$Z$5001,"&lt;&gt;"))))</f>
        <v/>
      </c>
      <c r="E262" s="42" t="str">
        <f>IF(OR($B262="",$A262&gt;$B$9),"",IF(COUNTIFS(BD!$B$3:$B$5001,E$243,BD!$A$3:$A$5001,"&gt;="&amp;$C$7,BD!$A$3:$A$5001,"&lt;="&amp;$B262,BD!$Z$3:$Z$5001,"&lt;&gt;")=0,"",SUMIFS(BD!$Z$3:$Z$5001,BD!$B$3:$B$5001,E$243,BD!$A$3:$A$5001,_xlfn.MAXIFS(BD!$A$3:$A$5001,BD!$B$3:$B$5001,E$243,BD!$A$3:$A$5001,"&gt;="&amp;$C$7,BD!$A$3:$A$5001,"&lt;="&amp;$B262,BD!$Z$3:$Z$5001,"&lt;&gt;"))))</f>
        <v/>
      </c>
      <c r="F262" s="42" t="str">
        <f>IF(OR($B262="",$A262&gt;$B$9),"",IF(COUNTIFS(BD!$B$3:$B$5001,F$243,BD!$A$3:$A$5001,"&gt;="&amp;$C$7,BD!$A$3:$A$5001,"&lt;="&amp;$B262,BD!$Z$3:$Z$5001,"&lt;&gt;")=0,"",SUMIFS(BD!$Z$3:$Z$5001,BD!$B$3:$B$5001,F$243,BD!$A$3:$A$5001,_xlfn.MAXIFS(BD!$A$3:$A$5001,BD!$B$3:$B$5001,F$243,BD!$A$3:$A$5001,"&gt;="&amp;$C$7,BD!$A$3:$A$5001,"&lt;="&amp;$B262,BD!$Z$3:$Z$5001,"&lt;&gt;"))))</f>
        <v/>
      </c>
      <c r="G262" s="42" t="str">
        <f>IF(OR($B262="",$A262&gt;$B$9),"",IF(COUNTIFS(BD!$B$3:$B$5001,G$243,BD!$A$3:$A$5001,"&gt;="&amp;$C$7,BD!$A$3:$A$5001,"&lt;="&amp;$B262,BD!$Z$3:$Z$5001,"&lt;&gt;")=0,"",SUMIFS(BD!$Z$3:$Z$5001,BD!$B$3:$B$5001,G$243,BD!$A$3:$A$5001,_xlfn.MAXIFS(BD!$A$3:$A$5001,BD!$B$3:$B$5001,G$243,BD!$A$3:$A$5001,"&gt;="&amp;$C$7,BD!$A$3:$A$5001,"&lt;="&amp;$B262,BD!$Z$3:$Z$5001,"&lt;&gt;"))))</f>
        <v/>
      </c>
      <c r="H262" s="42" t="str">
        <f>IF(OR($B262="",$A262&gt;$B$9),"",IF(COUNTIFS(BD!$B$3:$B$5001,H$243,BD!$A$3:$A$5001,"&gt;="&amp;$C$7,BD!$A$3:$A$5001,"&lt;="&amp;$B262,BD!$Z$3:$Z$5001,"&lt;&gt;")=0,"",SUMIFS(BD!$Z$3:$Z$5001,BD!$B$3:$B$5001,H$243,BD!$A$3:$A$5001,_xlfn.MAXIFS(BD!$A$3:$A$5001,BD!$B$3:$B$5001,H$243,BD!$A$3:$A$5001,"&gt;="&amp;$C$7,BD!$A$3:$A$5001,"&lt;="&amp;$B262,BD!$Z$3:$Z$5001,"&lt;&gt;"))))</f>
        <v/>
      </c>
      <c r="I262" s="42" t="str">
        <f>IF(OR($B262="",$A262&gt;$B$9),"",IF(COUNTIFS(BD!$B$3:$B$5001,I$243,BD!$A$3:$A$5001,"&gt;="&amp;$C$7,BD!$A$3:$A$5001,"&lt;="&amp;$B262,BD!$Z$3:$Z$5001,"&lt;&gt;")=0,"",SUMIFS(BD!$Z$3:$Z$5001,BD!$B$3:$B$5001,I$243,BD!$A$3:$A$5001,_xlfn.MAXIFS(BD!$A$3:$A$5001,BD!$B$3:$B$5001,I$243,BD!$A$3:$A$5001,"&gt;="&amp;$C$7,BD!$A$3:$A$5001,"&lt;="&amp;$B262,BD!$Z$3:$Z$5001,"&lt;&gt;"))))</f>
        <v/>
      </c>
      <c r="J262" s="42" t="str">
        <f>IF(OR($B262="",$A262&gt;$B$9),"",IF(COUNTIFS(BD!$B$3:$B$5001,J$243,BD!$A$3:$A$5001,"&gt;="&amp;$C$7,BD!$A$3:$A$5001,"&lt;="&amp;$B262,BD!$Z$3:$Z$5001,"&lt;&gt;")=0,"",SUMIFS(BD!$Z$3:$Z$5001,BD!$B$3:$B$5001,J$243,BD!$A$3:$A$5001,_xlfn.MAXIFS(BD!$A$3:$A$5001,BD!$B$3:$B$5001,J$243,BD!$A$3:$A$5001,"&gt;="&amp;$C$7,BD!$A$3:$A$5001,"&lt;="&amp;$B262,BD!$Z$3:$Z$5001,"&lt;&gt;"))))</f>
        <v/>
      </c>
      <c r="K262" s="42" t="str">
        <f>IF(OR($B262="",$A262&gt;$B$9),"",IF(COUNTIFS(BD!$B$3:$B$5001,K$243,BD!$A$3:$A$5001,"&gt;="&amp;$C$7,BD!$A$3:$A$5001,"&lt;="&amp;$B262,BD!$Z$3:$Z$5001,"&lt;&gt;")=0,"",SUMIFS(BD!$Z$3:$Z$5001,BD!$B$3:$B$5001,K$243,BD!$A$3:$A$5001,_xlfn.MAXIFS(BD!$A$3:$A$5001,BD!$B$3:$B$5001,K$243,BD!$A$3:$A$5001,"&gt;="&amp;$C$7,BD!$A$3:$A$5001,"&lt;="&amp;$B262,BD!$Z$3:$Z$5001,"&lt;&gt;"))))</f>
        <v/>
      </c>
    </row>
    <row r="263">
      <c r="A263" s="40">
        <v>20</v>
      </c>
      <c r="B263" s="41">
        <f>$B$31</f>
        <v>46315</v>
      </c>
      <c r="C263" s="42" t="str">
        <f>IF(OR($B263="",$A263&gt;$B$9),"",IF(COUNTIFS(BD!$B$3:$B$5001,C$243,BD!$A$3:$A$5001,"&gt;="&amp;$C$7,BD!$A$3:$A$5001,"&lt;="&amp;$B263,BD!$Z$3:$Z$5001,"&lt;&gt;")=0,"",SUMIFS(BD!$Z$3:$Z$5001,BD!$B$3:$B$5001,C$243,BD!$A$3:$A$5001,_xlfn.MAXIFS(BD!$A$3:$A$5001,BD!$B$3:$B$5001,C$243,BD!$A$3:$A$5001,"&gt;="&amp;$C$7,BD!$A$3:$A$5001,"&lt;="&amp;$B263,BD!$Z$3:$Z$5001,"&lt;&gt;"))))</f>
        <v/>
      </c>
      <c r="D263" s="42" t="str">
        <f>IF(OR($B263="",$A263&gt;$B$9),"",IF(COUNTIFS(BD!$B$3:$B$5001,D$243,BD!$A$3:$A$5001,"&gt;="&amp;$C$7,BD!$A$3:$A$5001,"&lt;="&amp;$B263,BD!$Z$3:$Z$5001,"&lt;&gt;")=0,"",SUMIFS(BD!$Z$3:$Z$5001,BD!$B$3:$B$5001,D$243,BD!$A$3:$A$5001,_xlfn.MAXIFS(BD!$A$3:$A$5001,BD!$B$3:$B$5001,D$243,BD!$A$3:$A$5001,"&gt;="&amp;$C$7,BD!$A$3:$A$5001,"&lt;="&amp;$B263,BD!$Z$3:$Z$5001,"&lt;&gt;"))))</f>
        <v/>
      </c>
      <c r="E263" s="42" t="str">
        <f>IF(OR($B263="",$A263&gt;$B$9),"",IF(COUNTIFS(BD!$B$3:$B$5001,E$243,BD!$A$3:$A$5001,"&gt;="&amp;$C$7,BD!$A$3:$A$5001,"&lt;="&amp;$B263,BD!$Z$3:$Z$5001,"&lt;&gt;")=0,"",SUMIFS(BD!$Z$3:$Z$5001,BD!$B$3:$B$5001,E$243,BD!$A$3:$A$5001,_xlfn.MAXIFS(BD!$A$3:$A$5001,BD!$B$3:$B$5001,E$243,BD!$A$3:$A$5001,"&gt;="&amp;$C$7,BD!$A$3:$A$5001,"&lt;="&amp;$B263,BD!$Z$3:$Z$5001,"&lt;&gt;"))))</f>
        <v/>
      </c>
      <c r="F263" s="42" t="str">
        <f>IF(OR($B263="",$A263&gt;$B$9),"",IF(COUNTIFS(BD!$B$3:$B$5001,F$243,BD!$A$3:$A$5001,"&gt;="&amp;$C$7,BD!$A$3:$A$5001,"&lt;="&amp;$B263,BD!$Z$3:$Z$5001,"&lt;&gt;")=0,"",SUMIFS(BD!$Z$3:$Z$5001,BD!$B$3:$B$5001,F$243,BD!$A$3:$A$5001,_xlfn.MAXIFS(BD!$A$3:$A$5001,BD!$B$3:$B$5001,F$243,BD!$A$3:$A$5001,"&gt;="&amp;$C$7,BD!$A$3:$A$5001,"&lt;="&amp;$B263,BD!$Z$3:$Z$5001,"&lt;&gt;"))))</f>
        <v/>
      </c>
      <c r="G263" s="42" t="str">
        <f>IF(OR($B263="",$A263&gt;$B$9),"",IF(COUNTIFS(BD!$B$3:$B$5001,G$243,BD!$A$3:$A$5001,"&gt;="&amp;$C$7,BD!$A$3:$A$5001,"&lt;="&amp;$B263,BD!$Z$3:$Z$5001,"&lt;&gt;")=0,"",SUMIFS(BD!$Z$3:$Z$5001,BD!$B$3:$B$5001,G$243,BD!$A$3:$A$5001,_xlfn.MAXIFS(BD!$A$3:$A$5001,BD!$B$3:$B$5001,G$243,BD!$A$3:$A$5001,"&gt;="&amp;$C$7,BD!$A$3:$A$5001,"&lt;="&amp;$B263,BD!$Z$3:$Z$5001,"&lt;&gt;"))))</f>
        <v/>
      </c>
      <c r="H263" s="42" t="str">
        <f>IF(OR($B263="",$A263&gt;$B$9),"",IF(COUNTIFS(BD!$B$3:$B$5001,H$243,BD!$A$3:$A$5001,"&gt;="&amp;$C$7,BD!$A$3:$A$5001,"&lt;="&amp;$B263,BD!$Z$3:$Z$5001,"&lt;&gt;")=0,"",SUMIFS(BD!$Z$3:$Z$5001,BD!$B$3:$B$5001,H$243,BD!$A$3:$A$5001,_xlfn.MAXIFS(BD!$A$3:$A$5001,BD!$B$3:$B$5001,H$243,BD!$A$3:$A$5001,"&gt;="&amp;$C$7,BD!$A$3:$A$5001,"&lt;="&amp;$B263,BD!$Z$3:$Z$5001,"&lt;&gt;"))))</f>
        <v/>
      </c>
      <c r="I263" s="42" t="str">
        <f>IF(OR($B263="",$A263&gt;$B$9),"",IF(COUNTIFS(BD!$B$3:$B$5001,I$243,BD!$A$3:$A$5001,"&gt;="&amp;$C$7,BD!$A$3:$A$5001,"&lt;="&amp;$B263,BD!$Z$3:$Z$5001,"&lt;&gt;")=0,"",SUMIFS(BD!$Z$3:$Z$5001,BD!$B$3:$B$5001,I$243,BD!$A$3:$A$5001,_xlfn.MAXIFS(BD!$A$3:$A$5001,BD!$B$3:$B$5001,I$243,BD!$A$3:$A$5001,"&gt;="&amp;$C$7,BD!$A$3:$A$5001,"&lt;="&amp;$B263,BD!$Z$3:$Z$5001,"&lt;&gt;"))))</f>
        <v/>
      </c>
      <c r="J263" s="42" t="str">
        <f>IF(OR($B263="",$A263&gt;$B$9),"",IF(COUNTIFS(BD!$B$3:$B$5001,J$243,BD!$A$3:$A$5001,"&gt;="&amp;$C$7,BD!$A$3:$A$5001,"&lt;="&amp;$B263,BD!$Z$3:$Z$5001,"&lt;&gt;")=0,"",SUMIFS(BD!$Z$3:$Z$5001,BD!$B$3:$B$5001,J$243,BD!$A$3:$A$5001,_xlfn.MAXIFS(BD!$A$3:$A$5001,BD!$B$3:$B$5001,J$243,BD!$A$3:$A$5001,"&gt;="&amp;$C$7,BD!$A$3:$A$5001,"&lt;="&amp;$B263,BD!$Z$3:$Z$5001,"&lt;&gt;"))))</f>
        <v/>
      </c>
      <c r="K263" s="42" t="str">
        <f>IF(OR($B263="",$A263&gt;$B$9),"",IF(COUNTIFS(BD!$B$3:$B$5001,K$243,BD!$A$3:$A$5001,"&gt;="&amp;$C$7,BD!$A$3:$A$5001,"&lt;="&amp;$B263,BD!$Z$3:$Z$5001,"&lt;&gt;")=0,"",SUMIFS(BD!$Z$3:$Z$5001,BD!$B$3:$B$5001,K$243,BD!$A$3:$A$5001,_xlfn.MAXIFS(BD!$A$3:$A$5001,BD!$B$3:$B$5001,K$243,BD!$A$3:$A$5001,"&gt;="&amp;$C$7,BD!$A$3:$A$5001,"&lt;="&amp;$B263,BD!$Z$3:$Z$5001,"&lt;&gt;"))))</f>
        <v/>
      </c>
    </row>
    <row r="264">
      <c r="A264" s="40">
        <v>21</v>
      </c>
      <c r="B264" s="41">
        <f>$B$32</f>
        <v>46316</v>
      </c>
      <c r="C264" s="42" t="str">
        <f>IF(OR($B264="",$A264&gt;$B$9),"",IF(COUNTIFS(BD!$B$3:$B$5001,C$243,BD!$A$3:$A$5001,"&gt;="&amp;$C$7,BD!$A$3:$A$5001,"&lt;="&amp;$B264,BD!$Z$3:$Z$5001,"&lt;&gt;")=0,"",SUMIFS(BD!$Z$3:$Z$5001,BD!$B$3:$B$5001,C$243,BD!$A$3:$A$5001,_xlfn.MAXIFS(BD!$A$3:$A$5001,BD!$B$3:$B$5001,C$243,BD!$A$3:$A$5001,"&gt;="&amp;$C$7,BD!$A$3:$A$5001,"&lt;="&amp;$B264,BD!$Z$3:$Z$5001,"&lt;&gt;"))))</f>
        <v/>
      </c>
      <c r="D264" s="42" t="str">
        <f>IF(OR($B264="",$A264&gt;$B$9),"",IF(COUNTIFS(BD!$B$3:$B$5001,D$243,BD!$A$3:$A$5001,"&gt;="&amp;$C$7,BD!$A$3:$A$5001,"&lt;="&amp;$B264,BD!$Z$3:$Z$5001,"&lt;&gt;")=0,"",SUMIFS(BD!$Z$3:$Z$5001,BD!$B$3:$B$5001,D$243,BD!$A$3:$A$5001,_xlfn.MAXIFS(BD!$A$3:$A$5001,BD!$B$3:$B$5001,D$243,BD!$A$3:$A$5001,"&gt;="&amp;$C$7,BD!$A$3:$A$5001,"&lt;="&amp;$B264,BD!$Z$3:$Z$5001,"&lt;&gt;"))))</f>
        <v/>
      </c>
      <c r="E264" s="42" t="str">
        <f>IF(OR($B264="",$A264&gt;$B$9),"",IF(COUNTIFS(BD!$B$3:$B$5001,E$243,BD!$A$3:$A$5001,"&gt;="&amp;$C$7,BD!$A$3:$A$5001,"&lt;="&amp;$B264,BD!$Z$3:$Z$5001,"&lt;&gt;")=0,"",SUMIFS(BD!$Z$3:$Z$5001,BD!$B$3:$B$5001,E$243,BD!$A$3:$A$5001,_xlfn.MAXIFS(BD!$A$3:$A$5001,BD!$B$3:$B$5001,E$243,BD!$A$3:$A$5001,"&gt;="&amp;$C$7,BD!$A$3:$A$5001,"&lt;="&amp;$B264,BD!$Z$3:$Z$5001,"&lt;&gt;"))))</f>
        <v/>
      </c>
      <c r="F264" s="42" t="str">
        <f>IF(OR($B264="",$A264&gt;$B$9),"",IF(COUNTIFS(BD!$B$3:$B$5001,F$243,BD!$A$3:$A$5001,"&gt;="&amp;$C$7,BD!$A$3:$A$5001,"&lt;="&amp;$B264,BD!$Z$3:$Z$5001,"&lt;&gt;")=0,"",SUMIFS(BD!$Z$3:$Z$5001,BD!$B$3:$B$5001,F$243,BD!$A$3:$A$5001,_xlfn.MAXIFS(BD!$A$3:$A$5001,BD!$B$3:$B$5001,F$243,BD!$A$3:$A$5001,"&gt;="&amp;$C$7,BD!$A$3:$A$5001,"&lt;="&amp;$B264,BD!$Z$3:$Z$5001,"&lt;&gt;"))))</f>
        <v/>
      </c>
      <c r="G264" s="42" t="str">
        <f>IF(OR($B264="",$A264&gt;$B$9),"",IF(COUNTIFS(BD!$B$3:$B$5001,G$243,BD!$A$3:$A$5001,"&gt;="&amp;$C$7,BD!$A$3:$A$5001,"&lt;="&amp;$B264,BD!$Z$3:$Z$5001,"&lt;&gt;")=0,"",SUMIFS(BD!$Z$3:$Z$5001,BD!$B$3:$B$5001,G$243,BD!$A$3:$A$5001,_xlfn.MAXIFS(BD!$A$3:$A$5001,BD!$B$3:$B$5001,G$243,BD!$A$3:$A$5001,"&gt;="&amp;$C$7,BD!$A$3:$A$5001,"&lt;="&amp;$B264,BD!$Z$3:$Z$5001,"&lt;&gt;"))))</f>
        <v/>
      </c>
      <c r="H264" s="42" t="str">
        <f>IF(OR($B264="",$A264&gt;$B$9),"",IF(COUNTIFS(BD!$B$3:$B$5001,H$243,BD!$A$3:$A$5001,"&gt;="&amp;$C$7,BD!$A$3:$A$5001,"&lt;="&amp;$B264,BD!$Z$3:$Z$5001,"&lt;&gt;")=0,"",SUMIFS(BD!$Z$3:$Z$5001,BD!$B$3:$B$5001,H$243,BD!$A$3:$A$5001,_xlfn.MAXIFS(BD!$A$3:$A$5001,BD!$B$3:$B$5001,H$243,BD!$A$3:$A$5001,"&gt;="&amp;$C$7,BD!$A$3:$A$5001,"&lt;="&amp;$B264,BD!$Z$3:$Z$5001,"&lt;&gt;"))))</f>
        <v/>
      </c>
      <c r="I264" s="42" t="str">
        <f>IF(OR($B264="",$A264&gt;$B$9),"",IF(COUNTIFS(BD!$B$3:$B$5001,I$243,BD!$A$3:$A$5001,"&gt;="&amp;$C$7,BD!$A$3:$A$5001,"&lt;="&amp;$B264,BD!$Z$3:$Z$5001,"&lt;&gt;")=0,"",SUMIFS(BD!$Z$3:$Z$5001,BD!$B$3:$B$5001,I$243,BD!$A$3:$A$5001,_xlfn.MAXIFS(BD!$A$3:$A$5001,BD!$B$3:$B$5001,I$243,BD!$A$3:$A$5001,"&gt;="&amp;$C$7,BD!$A$3:$A$5001,"&lt;="&amp;$B264,BD!$Z$3:$Z$5001,"&lt;&gt;"))))</f>
        <v/>
      </c>
      <c r="J264" s="42" t="str">
        <f>IF(OR($B264="",$A264&gt;$B$9),"",IF(COUNTIFS(BD!$B$3:$B$5001,J$243,BD!$A$3:$A$5001,"&gt;="&amp;$C$7,BD!$A$3:$A$5001,"&lt;="&amp;$B264,BD!$Z$3:$Z$5001,"&lt;&gt;")=0,"",SUMIFS(BD!$Z$3:$Z$5001,BD!$B$3:$B$5001,J$243,BD!$A$3:$A$5001,_xlfn.MAXIFS(BD!$A$3:$A$5001,BD!$B$3:$B$5001,J$243,BD!$A$3:$A$5001,"&gt;="&amp;$C$7,BD!$A$3:$A$5001,"&lt;="&amp;$B264,BD!$Z$3:$Z$5001,"&lt;&gt;"))))</f>
        <v/>
      </c>
      <c r="K264" s="42" t="str">
        <f>IF(OR($B264="",$A264&gt;$B$9),"",IF(COUNTIFS(BD!$B$3:$B$5001,K$243,BD!$A$3:$A$5001,"&gt;="&amp;$C$7,BD!$A$3:$A$5001,"&lt;="&amp;$B264,BD!$Z$3:$Z$5001,"&lt;&gt;")=0,"",SUMIFS(BD!$Z$3:$Z$5001,BD!$B$3:$B$5001,K$243,BD!$A$3:$A$5001,_xlfn.MAXIFS(BD!$A$3:$A$5001,BD!$B$3:$B$5001,K$243,BD!$A$3:$A$5001,"&gt;="&amp;$C$7,BD!$A$3:$A$5001,"&lt;="&amp;$B264,BD!$Z$3:$Z$5001,"&lt;&gt;"))))</f>
        <v/>
      </c>
    </row>
    <row r="265">
      <c r="A265" s="40">
        <v>22</v>
      </c>
      <c r="B265" s="41">
        <f>$B$33</f>
        <v>46317</v>
      </c>
      <c r="C265" s="42" t="str">
        <f>IF(OR($B265="",$A265&gt;$B$9),"",IF(COUNTIFS(BD!$B$3:$B$5001,C$243,BD!$A$3:$A$5001,"&gt;="&amp;$C$7,BD!$A$3:$A$5001,"&lt;="&amp;$B265,BD!$Z$3:$Z$5001,"&lt;&gt;")=0,"",SUMIFS(BD!$Z$3:$Z$5001,BD!$B$3:$B$5001,C$243,BD!$A$3:$A$5001,_xlfn.MAXIFS(BD!$A$3:$A$5001,BD!$B$3:$B$5001,C$243,BD!$A$3:$A$5001,"&gt;="&amp;$C$7,BD!$A$3:$A$5001,"&lt;="&amp;$B265,BD!$Z$3:$Z$5001,"&lt;&gt;"))))</f>
        <v/>
      </c>
      <c r="D265" s="42" t="str">
        <f>IF(OR($B265="",$A265&gt;$B$9),"",IF(COUNTIFS(BD!$B$3:$B$5001,D$243,BD!$A$3:$A$5001,"&gt;="&amp;$C$7,BD!$A$3:$A$5001,"&lt;="&amp;$B265,BD!$Z$3:$Z$5001,"&lt;&gt;")=0,"",SUMIFS(BD!$Z$3:$Z$5001,BD!$B$3:$B$5001,D$243,BD!$A$3:$A$5001,_xlfn.MAXIFS(BD!$A$3:$A$5001,BD!$B$3:$B$5001,D$243,BD!$A$3:$A$5001,"&gt;="&amp;$C$7,BD!$A$3:$A$5001,"&lt;="&amp;$B265,BD!$Z$3:$Z$5001,"&lt;&gt;"))))</f>
        <v/>
      </c>
      <c r="E265" s="42" t="str">
        <f>IF(OR($B265="",$A265&gt;$B$9),"",IF(COUNTIFS(BD!$B$3:$B$5001,E$243,BD!$A$3:$A$5001,"&gt;="&amp;$C$7,BD!$A$3:$A$5001,"&lt;="&amp;$B265,BD!$Z$3:$Z$5001,"&lt;&gt;")=0,"",SUMIFS(BD!$Z$3:$Z$5001,BD!$B$3:$B$5001,E$243,BD!$A$3:$A$5001,_xlfn.MAXIFS(BD!$A$3:$A$5001,BD!$B$3:$B$5001,E$243,BD!$A$3:$A$5001,"&gt;="&amp;$C$7,BD!$A$3:$A$5001,"&lt;="&amp;$B265,BD!$Z$3:$Z$5001,"&lt;&gt;"))))</f>
        <v/>
      </c>
      <c r="F265" s="42" t="str">
        <f>IF(OR($B265="",$A265&gt;$B$9),"",IF(COUNTIFS(BD!$B$3:$B$5001,F$243,BD!$A$3:$A$5001,"&gt;="&amp;$C$7,BD!$A$3:$A$5001,"&lt;="&amp;$B265,BD!$Z$3:$Z$5001,"&lt;&gt;")=0,"",SUMIFS(BD!$Z$3:$Z$5001,BD!$B$3:$B$5001,F$243,BD!$A$3:$A$5001,_xlfn.MAXIFS(BD!$A$3:$A$5001,BD!$B$3:$B$5001,F$243,BD!$A$3:$A$5001,"&gt;="&amp;$C$7,BD!$A$3:$A$5001,"&lt;="&amp;$B265,BD!$Z$3:$Z$5001,"&lt;&gt;"))))</f>
        <v/>
      </c>
      <c r="G265" s="42" t="str">
        <f>IF(OR($B265="",$A265&gt;$B$9),"",IF(COUNTIFS(BD!$B$3:$B$5001,G$243,BD!$A$3:$A$5001,"&gt;="&amp;$C$7,BD!$A$3:$A$5001,"&lt;="&amp;$B265,BD!$Z$3:$Z$5001,"&lt;&gt;")=0,"",SUMIFS(BD!$Z$3:$Z$5001,BD!$B$3:$B$5001,G$243,BD!$A$3:$A$5001,_xlfn.MAXIFS(BD!$A$3:$A$5001,BD!$B$3:$B$5001,G$243,BD!$A$3:$A$5001,"&gt;="&amp;$C$7,BD!$A$3:$A$5001,"&lt;="&amp;$B265,BD!$Z$3:$Z$5001,"&lt;&gt;"))))</f>
        <v/>
      </c>
      <c r="H265" s="42" t="str">
        <f>IF(OR($B265="",$A265&gt;$B$9),"",IF(COUNTIFS(BD!$B$3:$B$5001,H$243,BD!$A$3:$A$5001,"&gt;="&amp;$C$7,BD!$A$3:$A$5001,"&lt;="&amp;$B265,BD!$Z$3:$Z$5001,"&lt;&gt;")=0,"",SUMIFS(BD!$Z$3:$Z$5001,BD!$B$3:$B$5001,H$243,BD!$A$3:$A$5001,_xlfn.MAXIFS(BD!$A$3:$A$5001,BD!$B$3:$B$5001,H$243,BD!$A$3:$A$5001,"&gt;="&amp;$C$7,BD!$A$3:$A$5001,"&lt;="&amp;$B265,BD!$Z$3:$Z$5001,"&lt;&gt;"))))</f>
        <v/>
      </c>
      <c r="I265" s="42" t="str">
        <f>IF(OR($B265="",$A265&gt;$B$9),"",IF(COUNTIFS(BD!$B$3:$B$5001,I$243,BD!$A$3:$A$5001,"&gt;="&amp;$C$7,BD!$A$3:$A$5001,"&lt;="&amp;$B265,BD!$Z$3:$Z$5001,"&lt;&gt;")=0,"",SUMIFS(BD!$Z$3:$Z$5001,BD!$B$3:$B$5001,I$243,BD!$A$3:$A$5001,_xlfn.MAXIFS(BD!$A$3:$A$5001,BD!$B$3:$B$5001,I$243,BD!$A$3:$A$5001,"&gt;="&amp;$C$7,BD!$A$3:$A$5001,"&lt;="&amp;$B265,BD!$Z$3:$Z$5001,"&lt;&gt;"))))</f>
        <v/>
      </c>
      <c r="J265" s="42" t="str">
        <f>IF(OR($B265="",$A265&gt;$B$9),"",IF(COUNTIFS(BD!$B$3:$B$5001,J$243,BD!$A$3:$A$5001,"&gt;="&amp;$C$7,BD!$A$3:$A$5001,"&lt;="&amp;$B265,BD!$Z$3:$Z$5001,"&lt;&gt;")=0,"",SUMIFS(BD!$Z$3:$Z$5001,BD!$B$3:$B$5001,J$243,BD!$A$3:$A$5001,_xlfn.MAXIFS(BD!$A$3:$A$5001,BD!$B$3:$B$5001,J$243,BD!$A$3:$A$5001,"&gt;="&amp;$C$7,BD!$A$3:$A$5001,"&lt;="&amp;$B265,BD!$Z$3:$Z$5001,"&lt;&gt;"))))</f>
        <v/>
      </c>
      <c r="K265" s="42" t="str">
        <f>IF(OR($B265="",$A265&gt;$B$9),"",IF(COUNTIFS(BD!$B$3:$B$5001,K$243,BD!$A$3:$A$5001,"&gt;="&amp;$C$7,BD!$A$3:$A$5001,"&lt;="&amp;$B265,BD!$Z$3:$Z$5001,"&lt;&gt;")=0,"",SUMIFS(BD!$Z$3:$Z$5001,BD!$B$3:$B$5001,K$243,BD!$A$3:$A$5001,_xlfn.MAXIFS(BD!$A$3:$A$5001,BD!$B$3:$B$5001,K$243,BD!$A$3:$A$5001,"&gt;="&amp;$C$7,BD!$A$3:$A$5001,"&lt;="&amp;$B265,BD!$Z$3:$Z$5001,"&lt;&gt;"))))</f>
        <v/>
      </c>
    </row>
    <row r="266">
      <c r="A266" s="40">
        <v>23</v>
      </c>
      <c r="B266" s="41">
        <f>$B$34</f>
        <v>46318</v>
      </c>
      <c r="C266" s="42" t="str">
        <f>IF(OR($B266="",$A266&gt;$B$9),"",IF(COUNTIFS(BD!$B$3:$B$5001,C$243,BD!$A$3:$A$5001,"&gt;="&amp;$C$7,BD!$A$3:$A$5001,"&lt;="&amp;$B266,BD!$Z$3:$Z$5001,"&lt;&gt;")=0,"",SUMIFS(BD!$Z$3:$Z$5001,BD!$B$3:$B$5001,C$243,BD!$A$3:$A$5001,_xlfn.MAXIFS(BD!$A$3:$A$5001,BD!$B$3:$B$5001,C$243,BD!$A$3:$A$5001,"&gt;="&amp;$C$7,BD!$A$3:$A$5001,"&lt;="&amp;$B266,BD!$Z$3:$Z$5001,"&lt;&gt;"))))</f>
        <v/>
      </c>
      <c r="D266" s="42" t="str">
        <f>IF(OR($B266="",$A266&gt;$B$9),"",IF(COUNTIFS(BD!$B$3:$B$5001,D$243,BD!$A$3:$A$5001,"&gt;="&amp;$C$7,BD!$A$3:$A$5001,"&lt;="&amp;$B266,BD!$Z$3:$Z$5001,"&lt;&gt;")=0,"",SUMIFS(BD!$Z$3:$Z$5001,BD!$B$3:$B$5001,D$243,BD!$A$3:$A$5001,_xlfn.MAXIFS(BD!$A$3:$A$5001,BD!$B$3:$B$5001,D$243,BD!$A$3:$A$5001,"&gt;="&amp;$C$7,BD!$A$3:$A$5001,"&lt;="&amp;$B266,BD!$Z$3:$Z$5001,"&lt;&gt;"))))</f>
        <v/>
      </c>
      <c r="E266" s="42" t="str">
        <f>IF(OR($B266="",$A266&gt;$B$9),"",IF(COUNTIFS(BD!$B$3:$B$5001,E$243,BD!$A$3:$A$5001,"&gt;="&amp;$C$7,BD!$A$3:$A$5001,"&lt;="&amp;$B266,BD!$Z$3:$Z$5001,"&lt;&gt;")=0,"",SUMIFS(BD!$Z$3:$Z$5001,BD!$B$3:$B$5001,E$243,BD!$A$3:$A$5001,_xlfn.MAXIFS(BD!$A$3:$A$5001,BD!$B$3:$B$5001,E$243,BD!$A$3:$A$5001,"&gt;="&amp;$C$7,BD!$A$3:$A$5001,"&lt;="&amp;$B266,BD!$Z$3:$Z$5001,"&lt;&gt;"))))</f>
        <v/>
      </c>
      <c r="F266" s="42" t="str">
        <f>IF(OR($B266="",$A266&gt;$B$9),"",IF(COUNTIFS(BD!$B$3:$B$5001,F$243,BD!$A$3:$A$5001,"&gt;="&amp;$C$7,BD!$A$3:$A$5001,"&lt;="&amp;$B266,BD!$Z$3:$Z$5001,"&lt;&gt;")=0,"",SUMIFS(BD!$Z$3:$Z$5001,BD!$B$3:$B$5001,F$243,BD!$A$3:$A$5001,_xlfn.MAXIFS(BD!$A$3:$A$5001,BD!$B$3:$B$5001,F$243,BD!$A$3:$A$5001,"&gt;="&amp;$C$7,BD!$A$3:$A$5001,"&lt;="&amp;$B266,BD!$Z$3:$Z$5001,"&lt;&gt;"))))</f>
        <v/>
      </c>
      <c r="G266" s="42" t="str">
        <f>IF(OR($B266="",$A266&gt;$B$9),"",IF(COUNTIFS(BD!$B$3:$B$5001,G$243,BD!$A$3:$A$5001,"&gt;="&amp;$C$7,BD!$A$3:$A$5001,"&lt;="&amp;$B266,BD!$Z$3:$Z$5001,"&lt;&gt;")=0,"",SUMIFS(BD!$Z$3:$Z$5001,BD!$B$3:$B$5001,G$243,BD!$A$3:$A$5001,_xlfn.MAXIFS(BD!$A$3:$A$5001,BD!$B$3:$B$5001,G$243,BD!$A$3:$A$5001,"&gt;="&amp;$C$7,BD!$A$3:$A$5001,"&lt;="&amp;$B266,BD!$Z$3:$Z$5001,"&lt;&gt;"))))</f>
        <v/>
      </c>
      <c r="H266" s="42" t="str">
        <f>IF(OR($B266="",$A266&gt;$B$9),"",IF(COUNTIFS(BD!$B$3:$B$5001,H$243,BD!$A$3:$A$5001,"&gt;="&amp;$C$7,BD!$A$3:$A$5001,"&lt;="&amp;$B266,BD!$Z$3:$Z$5001,"&lt;&gt;")=0,"",SUMIFS(BD!$Z$3:$Z$5001,BD!$B$3:$B$5001,H$243,BD!$A$3:$A$5001,_xlfn.MAXIFS(BD!$A$3:$A$5001,BD!$B$3:$B$5001,H$243,BD!$A$3:$A$5001,"&gt;="&amp;$C$7,BD!$A$3:$A$5001,"&lt;="&amp;$B266,BD!$Z$3:$Z$5001,"&lt;&gt;"))))</f>
        <v/>
      </c>
      <c r="I266" s="42" t="str">
        <f>IF(OR($B266="",$A266&gt;$B$9),"",IF(COUNTIFS(BD!$B$3:$B$5001,I$243,BD!$A$3:$A$5001,"&gt;="&amp;$C$7,BD!$A$3:$A$5001,"&lt;="&amp;$B266,BD!$Z$3:$Z$5001,"&lt;&gt;")=0,"",SUMIFS(BD!$Z$3:$Z$5001,BD!$B$3:$B$5001,I$243,BD!$A$3:$A$5001,_xlfn.MAXIFS(BD!$A$3:$A$5001,BD!$B$3:$B$5001,I$243,BD!$A$3:$A$5001,"&gt;="&amp;$C$7,BD!$A$3:$A$5001,"&lt;="&amp;$B266,BD!$Z$3:$Z$5001,"&lt;&gt;"))))</f>
        <v/>
      </c>
      <c r="J266" s="42" t="str">
        <f>IF(OR($B266="",$A266&gt;$B$9),"",IF(COUNTIFS(BD!$B$3:$B$5001,J$243,BD!$A$3:$A$5001,"&gt;="&amp;$C$7,BD!$A$3:$A$5001,"&lt;="&amp;$B266,BD!$Z$3:$Z$5001,"&lt;&gt;")=0,"",SUMIFS(BD!$Z$3:$Z$5001,BD!$B$3:$B$5001,J$243,BD!$A$3:$A$5001,_xlfn.MAXIFS(BD!$A$3:$A$5001,BD!$B$3:$B$5001,J$243,BD!$A$3:$A$5001,"&gt;="&amp;$C$7,BD!$A$3:$A$5001,"&lt;="&amp;$B266,BD!$Z$3:$Z$5001,"&lt;&gt;"))))</f>
        <v/>
      </c>
      <c r="K266" s="42" t="str">
        <f>IF(OR($B266="",$A266&gt;$B$9),"",IF(COUNTIFS(BD!$B$3:$B$5001,K$243,BD!$A$3:$A$5001,"&gt;="&amp;$C$7,BD!$A$3:$A$5001,"&lt;="&amp;$B266,BD!$Z$3:$Z$5001,"&lt;&gt;")=0,"",SUMIFS(BD!$Z$3:$Z$5001,BD!$B$3:$B$5001,K$243,BD!$A$3:$A$5001,_xlfn.MAXIFS(BD!$A$3:$A$5001,BD!$B$3:$B$5001,K$243,BD!$A$3:$A$5001,"&gt;="&amp;$C$7,BD!$A$3:$A$5001,"&lt;="&amp;$B266,BD!$Z$3:$Z$5001,"&lt;&gt;"))))</f>
        <v/>
      </c>
    </row>
    <row r="267">
      <c r="A267" s="40">
        <v>24</v>
      </c>
      <c r="B267" s="41">
        <f>$B$35</f>
        <v>46319</v>
      </c>
      <c r="C267" s="42" t="str">
        <f>IF(OR($B267="",$A267&gt;$B$9),"",IF(COUNTIFS(BD!$B$3:$B$5001,C$243,BD!$A$3:$A$5001,"&gt;="&amp;$C$7,BD!$A$3:$A$5001,"&lt;="&amp;$B267,BD!$Z$3:$Z$5001,"&lt;&gt;")=0,"",SUMIFS(BD!$Z$3:$Z$5001,BD!$B$3:$B$5001,C$243,BD!$A$3:$A$5001,_xlfn.MAXIFS(BD!$A$3:$A$5001,BD!$B$3:$B$5001,C$243,BD!$A$3:$A$5001,"&gt;="&amp;$C$7,BD!$A$3:$A$5001,"&lt;="&amp;$B267,BD!$Z$3:$Z$5001,"&lt;&gt;"))))</f>
        <v/>
      </c>
      <c r="D267" s="42" t="str">
        <f>IF(OR($B267="",$A267&gt;$B$9),"",IF(COUNTIFS(BD!$B$3:$B$5001,D$243,BD!$A$3:$A$5001,"&gt;="&amp;$C$7,BD!$A$3:$A$5001,"&lt;="&amp;$B267,BD!$Z$3:$Z$5001,"&lt;&gt;")=0,"",SUMIFS(BD!$Z$3:$Z$5001,BD!$B$3:$B$5001,D$243,BD!$A$3:$A$5001,_xlfn.MAXIFS(BD!$A$3:$A$5001,BD!$B$3:$B$5001,D$243,BD!$A$3:$A$5001,"&gt;="&amp;$C$7,BD!$A$3:$A$5001,"&lt;="&amp;$B267,BD!$Z$3:$Z$5001,"&lt;&gt;"))))</f>
        <v/>
      </c>
      <c r="E267" s="42" t="str">
        <f>IF(OR($B267="",$A267&gt;$B$9),"",IF(COUNTIFS(BD!$B$3:$B$5001,E$243,BD!$A$3:$A$5001,"&gt;="&amp;$C$7,BD!$A$3:$A$5001,"&lt;="&amp;$B267,BD!$Z$3:$Z$5001,"&lt;&gt;")=0,"",SUMIFS(BD!$Z$3:$Z$5001,BD!$B$3:$B$5001,E$243,BD!$A$3:$A$5001,_xlfn.MAXIFS(BD!$A$3:$A$5001,BD!$B$3:$B$5001,E$243,BD!$A$3:$A$5001,"&gt;="&amp;$C$7,BD!$A$3:$A$5001,"&lt;="&amp;$B267,BD!$Z$3:$Z$5001,"&lt;&gt;"))))</f>
        <v/>
      </c>
      <c r="F267" s="42" t="str">
        <f>IF(OR($B267="",$A267&gt;$B$9),"",IF(COUNTIFS(BD!$B$3:$B$5001,F$243,BD!$A$3:$A$5001,"&gt;="&amp;$C$7,BD!$A$3:$A$5001,"&lt;="&amp;$B267,BD!$Z$3:$Z$5001,"&lt;&gt;")=0,"",SUMIFS(BD!$Z$3:$Z$5001,BD!$B$3:$B$5001,F$243,BD!$A$3:$A$5001,_xlfn.MAXIFS(BD!$A$3:$A$5001,BD!$B$3:$B$5001,F$243,BD!$A$3:$A$5001,"&gt;="&amp;$C$7,BD!$A$3:$A$5001,"&lt;="&amp;$B267,BD!$Z$3:$Z$5001,"&lt;&gt;"))))</f>
        <v/>
      </c>
      <c r="G267" s="42" t="str">
        <f>IF(OR($B267="",$A267&gt;$B$9),"",IF(COUNTIFS(BD!$B$3:$B$5001,G$243,BD!$A$3:$A$5001,"&gt;="&amp;$C$7,BD!$A$3:$A$5001,"&lt;="&amp;$B267,BD!$Z$3:$Z$5001,"&lt;&gt;")=0,"",SUMIFS(BD!$Z$3:$Z$5001,BD!$B$3:$B$5001,G$243,BD!$A$3:$A$5001,_xlfn.MAXIFS(BD!$A$3:$A$5001,BD!$B$3:$B$5001,G$243,BD!$A$3:$A$5001,"&gt;="&amp;$C$7,BD!$A$3:$A$5001,"&lt;="&amp;$B267,BD!$Z$3:$Z$5001,"&lt;&gt;"))))</f>
        <v/>
      </c>
      <c r="H267" s="42" t="str">
        <f>IF(OR($B267="",$A267&gt;$B$9),"",IF(COUNTIFS(BD!$B$3:$B$5001,H$243,BD!$A$3:$A$5001,"&gt;="&amp;$C$7,BD!$A$3:$A$5001,"&lt;="&amp;$B267,BD!$Z$3:$Z$5001,"&lt;&gt;")=0,"",SUMIFS(BD!$Z$3:$Z$5001,BD!$B$3:$B$5001,H$243,BD!$A$3:$A$5001,_xlfn.MAXIFS(BD!$A$3:$A$5001,BD!$B$3:$B$5001,H$243,BD!$A$3:$A$5001,"&gt;="&amp;$C$7,BD!$A$3:$A$5001,"&lt;="&amp;$B267,BD!$Z$3:$Z$5001,"&lt;&gt;"))))</f>
        <v/>
      </c>
      <c r="I267" s="42" t="str">
        <f>IF(OR($B267="",$A267&gt;$B$9),"",IF(COUNTIFS(BD!$B$3:$B$5001,I$243,BD!$A$3:$A$5001,"&gt;="&amp;$C$7,BD!$A$3:$A$5001,"&lt;="&amp;$B267,BD!$Z$3:$Z$5001,"&lt;&gt;")=0,"",SUMIFS(BD!$Z$3:$Z$5001,BD!$B$3:$B$5001,I$243,BD!$A$3:$A$5001,_xlfn.MAXIFS(BD!$A$3:$A$5001,BD!$B$3:$B$5001,I$243,BD!$A$3:$A$5001,"&gt;="&amp;$C$7,BD!$A$3:$A$5001,"&lt;="&amp;$B267,BD!$Z$3:$Z$5001,"&lt;&gt;"))))</f>
        <v/>
      </c>
      <c r="J267" s="42" t="str">
        <f>IF(OR($B267="",$A267&gt;$B$9),"",IF(COUNTIFS(BD!$B$3:$B$5001,J$243,BD!$A$3:$A$5001,"&gt;="&amp;$C$7,BD!$A$3:$A$5001,"&lt;="&amp;$B267,BD!$Z$3:$Z$5001,"&lt;&gt;")=0,"",SUMIFS(BD!$Z$3:$Z$5001,BD!$B$3:$B$5001,J$243,BD!$A$3:$A$5001,_xlfn.MAXIFS(BD!$A$3:$A$5001,BD!$B$3:$B$5001,J$243,BD!$A$3:$A$5001,"&gt;="&amp;$C$7,BD!$A$3:$A$5001,"&lt;="&amp;$B267,BD!$Z$3:$Z$5001,"&lt;&gt;"))))</f>
        <v/>
      </c>
      <c r="K267" s="42" t="str">
        <f>IF(OR($B267="",$A267&gt;$B$9),"",IF(COUNTIFS(BD!$B$3:$B$5001,K$243,BD!$A$3:$A$5001,"&gt;="&amp;$C$7,BD!$A$3:$A$5001,"&lt;="&amp;$B267,BD!$Z$3:$Z$5001,"&lt;&gt;")=0,"",SUMIFS(BD!$Z$3:$Z$5001,BD!$B$3:$B$5001,K$243,BD!$A$3:$A$5001,_xlfn.MAXIFS(BD!$A$3:$A$5001,BD!$B$3:$B$5001,K$243,BD!$A$3:$A$5001,"&gt;="&amp;$C$7,BD!$A$3:$A$5001,"&lt;="&amp;$B267,BD!$Z$3:$Z$5001,"&lt;&gt;"))))</f>
        <v/>
      </c>
    </row>
    <row r="268">
      <c r="A268" s="40">
        <v>25</v>
      </c>
      <c r="B268" s="41">
        <f>$B$36</f>
        <v>46320</v>
      </c>
      <c r="C268" s="42" t="str">
        <f>IF(OR($B268="",$A268&gt;$B$9),"",IF(COUNTIFS(BD!$B$3:$B$5001,C$243,BD!$A$3:$A$5001,"&gt;="&amp;$C$7,BD!$A$3:$A$5001,"&lt;="&amp;$B268,BD!$Z$3:$Z$5001,"&lt;&gt;")=0,"",SUMIFS(BD!$Z$3:$Z$5001,BD!$B$3:$B$5001,C$243,BD!$A$3:$A$5001,_xlfn.MAXIFS(BD!$A$3:$A$5001,BD!$B$3:$B$5001,C$243,BD!$A$3:$A$5001,"&gt;="&amp;$C$7,BD!$A$3:$A$5001,"&lt;="&amp;$B268,BD!$Z$3:$Z$5001,"&lt;&gt;"))))</f>
        <v/>
      </c>
      <c r="D268" s="42" t="str">
        <f>IF(OR($B268="",$A268&gt;$B$9),"",IF(COUNTIFS(BD!$B$3:$B$5001,D$243,BD!$A$3:$A$5001,"&gt;="&amp;$C$7,BD!$A$3:$A$5001,"&lt;="&amp;$B268,BD!$Z$3:$Z$5001,"&lt;&gt;")=0,"",SUMIFS(BD!$Z$3:$Z$5001,BD!$B$3:$B$5001,D$243,BD!$A$3:$A$5001,_xlfn.MAXIFS(BD!$A$3:$A$5001,BD!$B$3:$B$5001,D$243,BD!$A$3:$A$5001,"&gt;="&amp;$C$7,BD!$A$3:$A$5001,"&lt;="&amp;$B268,BD!$Z$3:$Z$5001,"&lt;&gt;"))))</f>
        <v/>
      </c>
      <c r="E268" s="42" t="str">
        <f>IF(OR($B268="",$A268&gt;$B$9),"",IF(COUNTIFS(BD!$B$3:$B$5001,E$243,BD!$A$3:$A$5001,"&gt;="&amp;$C$7,BD!$A$3:$A$5001,"&lt;="&amp;$B268,BD!$Z$3:$Z$5001,"&lt;&gt;")=0,"",SUMIFS(BD!$Z$3:$Z$5001,BD!$B$3:$B$5001,E$243,BD!$A$3:$A$5001,_xlfn.MAXIFS(BD!$A$3:$A$5001,BD!$B$3:$B$5001,E$243,BD!$A$3:$A$5001,"&gt;="&amp;$C$7,BD!$A$3:$A$5001,"&lt;="&amp;$B268,BD!$Z$3:$Z$5001,"&lt;&gt;"))))</f>
        <v/>
      </c>
      <c r="F268" s="42" t="str">
        <f>IF(OR($B268="",$A268&gt;$B$9),"",IF(COUNTIFS(BD!$B$3:$B$5001,F$243,BD!$A$3:$A$5001,"&gt;="&amp;$C$7,BD!$A$3:$A$5001,"&lt;="&amp;$B268,BD!$Z$3:$Z$5001,"&lt;&gt;")=0,"",SUMIFS(BD!$Z$3:$Z$5001,BD!$B$3:$B$5001,F$243,BD!$A$3:$A$5001,_xlfn.MAXIFS(BD!$A$3:$A$5001,BD!$B$3:$B$5001,F$243,BD!$A$3:$A$5001,"&gt;="&amp;$C$7,BD!$A$3:$A$5001,"&lt;="&amp;$B268,BD!$Z$3:$Z$5001,"&lt;&gt;"))))</f>
        <v/>
      </c>
      <c r="G268" s="42" t="str">
        <f>IF(OR($B268="",$A268&gt;$B$9),"",IF(COUNTIFS(BD!$B$3:$B$5001,G$243,BD!$A$3:$A$5001,"&gt;="&amp;$C$7,BD!$A$3:$A$5001,"&lt;="&amp;$B268,BD!$Z$3:$Z$5001,"&lt;&gt;")=0,"",SUMIFS(BD!$Z$3:$Z$5001,BD!$B$3:$B$5001,G$243,BD!$A$3:$A$5001,_xlfn.MAXIFS(BD!$A$3:$A$5001,BD!$B$3:$B$5001,G$243,BD!$A$3:$A$5001,"&gt;="&amp;$C$7,BD!$A$3:$A$5001,"&lt;="&amp;$B268,BD!$Z$3:$Z$5001,"&lt;&gt;"))))</f>
        <v/>
      </c>
      <c r="H268" s="42" t="str">
        <f>IF(OR($B268="",$A268&gt;$B$9),"",IF(COUNTIFS(BD!$B$3:$B$5001,H$243,BD!$A$3:$A$5001,"&gt;="&amp;$C$7,BD!$A$3:$A$5001,"&lt;="&amp;$B268,BD!$Z$3:$Z$5001,"&lt;&gt;")=0,"",SUMIFS(BD!$Z$3:$Z$5001,BD!$B$3:$B$5001,H$243,BD!$A$3:$A$5001,_xlfn.MAXIFS(BD!$A$3:$A$5001,BD!$B$3:$B$5001,H$243,BD!$A$3:$A$5001,"&gt;="&amp;$C$7,BD!$A$3:$A$5001,"&lt;="&amp;$B268,BD!$Z$3:$Z$5001,"&lt;&gt;"))))</f>
        <v/>
      </c>
      <c r="I268" s="42" t="str">
        <f>IF(OR($B268="",$A268&gt;$B$9),"",IF(COUNTIFS(BD!$B$3:$B$5001,I$243,BD!$A$3:$A$5001,"&gt;="&amp;$C$7,BD!$A$3:$A$5001,"&lt;="&amp;$B268,BD!$Z$3:$Z$5001,"&lt;&gt;")=0,"",SUMIFS(BD!$Z$3:$Z$5001,BD!$B$3:$B$5001,I$243,BD!$A$3:$A$5001,_xlfn.MAXIFS(BD!$A$3:$A$5001,BD!$B$3:$B$5001,I$243,BD!$A$3:$A$5001,"&gt;="&amp;$C$7,BD!$A$3:$A$5001,"&lt;="&amp;$B268,BD!$Z$3:$Z$5001,"&lt;&gt;"))))</f>
        <v/>
      </c>
      <c r="J268" s="42" t="str">
        <f>IF(OR($B268="",$A268&gt;$B$9),"",IF(COUNTIFS(BD!$B$3:$B$5001,J$243,BD!$A$3:$A$5001,"&gt;="&amp;$C$7,BD!$A$3:$A$5001,"&lt;="&amp;$B268,BD!$Z$3:$Z$5001,"&lt;&gt;")=0,"",SUMIFS(BD!$Z$3:$Z$5001,BD!$B$3:$B$5001,J$243,BD!$A$3:$A$5001,_xlfn.MAXIFS(BD!$A$3:$A$5001,BD!$B$3:$B$5001,J$243,BD!$A$3:$A$5001,"&gt;="&amp;$C$7,BD!$A$3:$A$5001,"&lt;="&amp;$B268,BD!$Z$3:$Z$5001,"&lt;&gt;"))))</f>
        <v/>
      </c>
      <c r="K268" s="42" t="str">
        <f>IF(OR($B268="",$A268&gt;$B$9),"",IF(COUNTIFS(BD!$B$3:$B$5001,K$243,BD!$A$3:$A$5001,"&gt;="&amp;$C$7,BD!$A$3:$A$5001,"&lt;="&amp;$B268,BD!$Z$3:$Z$5001,"&lt;&gt;")=0,"",SUMIFS(BD!$Z$3:$Z$5001,BD!$B$3:$B$5001,K$243,BD!$A$3:$A$5001,_xlfn.MAXIFS(BD!$A$3:$A$5001,BD!$B$3:$B$5001,K$243,BD!$A$3:$A$5001,"&gt;="&amp;$C$7,BD!$A$3:$A$5001,"&lt;="&amp;$B268,BD!$Z$3:$Z$5001,"&lt;&gt;"))))</f>
        <v/>
      </c>
    </row>
    <row r="269">
      <c r="A269" s="40">
        <v>26</v>
      </c>
      <c r="B269" s="41">
        <f>$B$37</f>
        <v>46321</v>
      </c>
      <c r="C269" s="42" t="str">
        <f>IF(OR($B269="",$A269&gt;$B$9),"",IF(COUNTIFS(BD!$B$3:$B$5001,C$243,BD!$A$3:$A$5001,"&gt;="&amp;$C$7,BD!$A$3:$A$5001,"&lt;="&amp;$B269,BD!$Z$3:$Z$5001,"&lt;&gt;")=0,"",SUMIFS(BD!$Z$3:$Z$5001,BD!$B$3:$B$5001,C$243,BD!$A$3:$A$5001,_xlfn.MAXIFS(BD!$A$3:$A$5001,BD!$B$3:$B$5001,C$243,BD!$A$3:$A$5001,"&gt;="&amp;$C$7,BD!$A$3:$A$5001,"&lt;="&amp;$B269,BD!$Z$3:$Z$5001,"&lt;&gt;"))))</f>
        <v/>
      </c>
      <c r="D269" s="42" t="str">
        <f>IF(OR($B269="",$A269&gt;$B$9),"",IF(COUNTIFS(BD!$B$3:$B$5001,D$243,BD!$A$3:$A$5001,"&gt;="&amp;$C$7,BD!$A$3:$A$5001,"&lt;="&amp;$B269,BD!$Z$3:$Z$5001,"&lt;&gt;")=0,"",SUMIFS(BD!$Z$3:$Z$5001,BD!$B$3:$B$5001,D$243,BD!$A$3:$A$5001,_xlfn.MAXIFS(BD!$A$3:$A$5001,BD!$B$3:$B$5001,D$243,BD!$A$3:$A$5001,"&gt;="&amp;$C$7,BD!$A$3:$A$5001,"&lt;="&amp;$B269,BD!$Z$3:$Z$5001,"&lt;&gt;"))))</f>
        <v/>
      </c>
      <c r="E269" s="42" t="str">
        <f>IF(OR($B269="",$A269&gt;$B$9),"",IF(COUNTIFS(BD!$B$3:$B$5001,E$243,BD!$A$3:$A$5001,"&gt;="&amp;$C$7,BD!$A$3:$A$5001,"&lt;="&amp;$B269,BD!$Z$3:$Z$5001,"&lt;&gt;")=0,"",SUMIFS(BD!$Z$3:$Z$5001,BD!$B$3:$B$5001,E$243,BD!$A$3:$A$5001,_xlfn.MAXIFS(BD!$A$3:$A$5001,BD!$B$3:$B$5001,E$243,BD!$A$3:$A$5001,"&gt;="&amp;$C$7,BD!$A$3:$A$5001,"&lt;="&amp;$B269,BD!$Z$3:$Z$5001,"&lt;&gt;"))))</f>
        <v/>
      </c>
      <c r="F269" s="42" t="str">
        <f>IF(OR($B269="",$A269&gt;$B$9),"",IF(COUNTIFS(BD!$B$3:$B$5001,F$243,BD!$A$3:$A$5001,"&gt;="&amp;$C$7,BD!$A$3:$A$5001,"&lt;="&amp;$B269,BD!$Z$3:$Z$5001,"&lt;&gt;")=0,"",SUMIFS(BD!$Z$3:$Z$5001,BD!$B$3:$B$5001,F$243,BD!$A$3:$A$5001,_xlfn.MAXIFS(BD!$A$3:$A$5001,BD!$B$3:$B$5001,F$243,BD!$A$3:$A$5001,"&gt;="&amp;$C$7,BD!$A$3:$A$5001,"&lt;="&amp;$B269,BD!$Z$3:$Z$5001,"&lt;&gt;"))))</f>
        <v/>
      </c>
      <c r="G269" s="42" t="str">
        <f>IF(OR($B269="",$A269&gt;$B$9),"",IF(COUNTIFS(BD!$B$3:$B$5001,G$243,BD!$A$3:$A$5001,"&gt;="&amp;$C$7,BD!$A$3:$A$5001,"&lt;="&amp;$B269,BD!$Z$3:$Z$5001,"&lt;&gt;")=0,"",SUMIFS(BD!$Z$3:$Z$5001,BD!$B$3:$B$5001,G$243,BD!$A$3:$A$5001,_xlfn.MAXIFS(BD!$A$3:$A$5001,BD!$B$3:$B$5001,G$243,BD!$A$3:$A$5001,"&gt;="&amp;$C$7,BD!$A$3:$A$5001,"&lt;="&amp;$B269,BD!$Z$3:$Z$5001,"&lt;&gt;"))))</f>
        <v/>
      </c>
      <c r="H269" s="42" t="str">
        <f>IF(OR($B269="",$A269&gt;$B$9),"",IF(COUNTIFS(BD!$B$3:$B$5001,H$243,BD!$A$3:$A$5001,"&gt;="&amp;$C$7,BD!$A$3:$A$5001,"&lt;="&amp;$B269,BD!$Z$3:$Z$5001,"&lt;&gt;")=0,"",SUMIFS(BD!$Z$3:$Z$5001,BD!$B$3:$B$5001,H$243,BD!$A$3:$A$5001,_xlfn.MAXIFS(BD!$A$3:$A$5001,BD!$B$3:$B$5001,H$243,BD!$A$3:$A$5001,"&gt;="&amp;$C$7,BD!$A$3:$A$5001,"&lt;="&amp;$B269,BD!$Z$3:$Z$5001,"&lt;&gt;"))))</f>
        <v/>
      </c>
      <c r="I269" s="42" t="str">
        <f>IF(OR($B269="",$A269&gt;$B$9),"",IF(COUNTIFS(BD!$B$3:$B$5001,I$243,BD!$A$3:$A$5001,"&gt;="&amp;$C$7,BD!$A$3:$A$5001,"&lt;="&amp;$B269,BD!$Z$3:$Z$5001,"&lt;&gt;")=0,"",SUMIFS(BD!$Z$3:$Z$5001,BD!$B$3:$B$5001,I$243,BD!$A$3:$A$5001,_xlfn.MAXIFS(BD!$A$3:$A$5001,BD!$B$3:$B$5001,I$243,BD!$A$3:$A$5001,"&gt;="&amp;$C$7,BD!$A$3:$A$5001,"&lt;="&amp;$B269,BD!$Z$3:$Z$5001,"&lt;&gt;"))))</f>
        <v/>
      </c>
      <c r="J269" s="42" t="str">
        <f>IF(OR($B269="",$A269&gt;$B$9),"",IF(COUNTIFS(BD!$B$3:$B$5001,J$243,BD!$A$3:$A$5001,"&gt;="&amp;$C$7,BD!$A$3:$A$5001,"&lt;="&amp;$B269,BD!$Z$3:$Z$5001,"&lt;&gt;")=0,"",SUMIFS(BD!$Z$3:$Z$5001,BD!$B$3:$B$5001,J$243,BD!$A$3:$A$5001,_xlfn.MAXIFS(BD!$A$3:$A$5001,BD!$B$3:$B$5001,J$243,BD!$A$3:$A$5001,"&gt;="&amp;$C$7,BD!$A$3:$A$5001,"&lt;="&amp;$B269,BD!$Z$3:$Z$5001,"&lt;&gt;"))))</f>
        <v/>
      </c>
      <c r="K269" s="42" t="str">
        <f>IF(OR($B269="",$A269&gt;$B$9),"",IF(COUNTIFS(BD!$B$3:$B$5001,K$243,BD!$A$3:$A$5001,"&gt;="&amp;$C$7,BD!$A$3:$A$5001,"&lt;="&amp;$B269,BD!$Z$3:$Z$5001,"&lt;&gt;")=0,"",SUMIFS(BD!$Z$3:$Z$5001,BD!$B$3:$B$5001,K$243,BD!$A$3:$A$5001,_xlfn.MAXIFS(BD!$A$3:$A$5001,BD!$B$3:$B$5001,K$243,BD!$A$3:$A$5001,"&gt;="&amp;$C$7,BD!$A$3:$A$5001,"&lt;="&amp;$B269,BD!$Z$3:$Z$5001,"&lt;&gt;"))))</f>
        <v/>
      </c>
    </row>
    <row r="270">
      <c r="A270" s="40">
        <v>27</v>
      </c>
      <c r="B270" s="41">
        <f>$B$38</f>
        <v>46322</v>
      </c>
      <c r="C270" s="42" t="str">
        <f>IF(OR($B270="",$A270&gt;$B$9),"",IF(COUNTIFS(BD!$B$3:$B$5001,C$243,BD!$A$3:$A$5001,"&gt;="&amp;$C$7,BD!$A$3:$A$5001,"&lt;="&amp;$B270,BD!$Z$3:$Z$5001,"&lt;&gt;")=0,"",SUMIFS(BD!$Z$3:$Z$5001,BD!$B$3:$B$5001,C$243,BD!$A$3:$A$5001,_xlfn.MAXIFS(BD!$A$3:$A$5001,BD!$B$3:$B$5001,C$243,BD!$A$3:$A$5001,"&gt;="&amp;$C$7,BD!$A$3:$A$5001,"&lt;="&amp;$B270,BD!$Z$3:$Z$5001,"&lt;&gt;"))))</f>
        <v/>
      </c>
      <c r="D270" s="42" t="str">
        <f>IF(OR($B270="",$A270&gt;$B$9),"",IF(COUNTIFS(BD!$B$3:$B$5001,D$243,BD!$A$3:$A$5001,"&gt;="&amp;$C$7,BD!$A$3:$A$5001,"&lt;="&amp;$B270,BD!$Z$3:$Z$5001,"&lt;&gt;")=0,"",SUMIFS(BD!$Z$3:$Z$5001,BD!$B$3:$B$5001,D$243,BD!$A$3:$A$5001,_xlfn.MAXIFS(BD!$A$3:$A$5001,BD!$B$3:$B$5001,D$243,BD!$A$3:$A$5001,"&gt;="&amp;$C$7,BD!$A$3:$A$5001,"&lt;="&amp;$B270,BD!$Z$3:$Z$5001,"&lt;&gt;"))))</f>
        <v/>
      </c>
      <c r="E270" s="42" t="str">
        <f>IF(OR($B270="",$A270&gt;$B$9),"",IF(COUNTIFS(BD!$B$3:$B$5001,E$243,BD!$A$3:$A$5001,"&gt;="&amp;$C$7,BD!$A$3:$A$5001,"&lt;="&amp;$B270,BD!$Z$3:$Z$5001,"&lt;&gt;")=0,"",SUMIFS(BD!$Z$3:$Z$5001,BD!$B$3:$B$5001,E$243,BD!$A$3:$A$5001,_xlfn.MAXIFS(BD!$A$3:$A$5001,BD!$B$3:$B$5001,E$243,BD!$A$3:$A$5001,"&gt;="&amp;$C$7,BD!$A$3:$A$5001,"&lt;="&amp;$B270,BD!$Z$3:$Z$5001,"&lt;&gt;"))))</f>
        <v/>
      </c>
      <c r="F270" s="42" t="str">
        <f>IF(OR($B270="",$A270&gt;$B$9),"",IF(COUNTIFS(BD!$B$3:$B$5001,F$243,BD!$A$3:$A$5001,"&gt;="&amp;$C$7,BD!$A$3:$A$5001,"&lt;="&amp;$B270,BD!$Z$3:$Z$5001,"&lt;&gt;")=0,"",SUMIFS(BD!$Z$3:$Z$5001,BD!$B$3:$B$5001,F$243,BD!$A$3:$A$5001,_xlfn.MAXIFS(BD!$A$3:$A$5001,BD!$B$3:$B$5001,F$243,BD!$A$3:$A$5001,"&gt;="&amp;$C$7,BD!$A$3:$A$5001,"&lt;="&amp;$B270,BD!$Z$3:$Z$5001,"&lt;&gt;"))))</f>
        <v/>
      </c>
      <c r="G270" s="42" t="str">
        <f>IF(OR($B270="",$A270&gt;$B$9),"",IF(COUNTIFS(BD!$B$3:$B$5001,G$243,BD!$A$3:$A$5001,"&gt;="&amp;$C$7,BD!$A$3:$A$5001,"&lt;="&amp;$B270,BD!$Z$3:$Z$5001,"&lt;&gt;")=0,"",SUMIFS(BD!$Z$3:$Z$5001,BD!$B$3:$B$5001,G$243,BD!$A$3:$A$5001,_xlfn.MAXIFS(BD!$A$3:$A$5001,BD!$B$3:$B$5001,G$243,BD!$A$3:$A$5001,"&gt;="&amp;$C$7,BD!$A$3:$A$5001,"&lt;="&amp;$B270,BD!$Z$3:$Z$5001,"&lt;&gt;"))))</f>
        <v/>
      </c>
      <c r="H270" s="42" t="str">
        <f>IF(OR($B270="",$A270&gt;$B$9),"",IF(COUNTIFS(BD!$B$3:$B$5001,H$243,BD!$A$3:$A$5001,"&gt;="&amp;$C$7,BD!$A$3:$A$5001,"&lt;="&amp;$B270,BD!$Z$3:$Z$5001,"&lt;&gt;")=0,"",SUMIFS(BD!$Z$3:$Z$5001,BD!$B$3:$B$5001,H$243,BD!$A$3:$A$5001,_xlfn.MAXIFS(BD!$A$3:$A$5001,BD!$B$3:$B$5001,H$243,BD!$A$3:$A$5001,"&gt;="&amp;$C$7,BD!$A$3:$A$5001,"&lt;="&amp;$B270,BD!$Z$3:$Z$5001,"&lt;&gt;"))))</f>
        <v/>
      </c>
      <c r="I270" s="42" t="str">
        <f>IF(OR($B270="",$A270&gt;$B$9),"",IF(COUNTIFS(BD!$B$3:$B$5001,I$243,BD!$A$3:$A$5001,"&gt;="&amp;$C$7,BD!$A$3:$A$5001,"&lt;="&amp;$B270,BD!$Z$3:$Z$5001,"&lt;&gt;")=0,"",SUMIFS(BD!$Z$3:$Z$5001,BD!$B$3:$B$5001,I$243,BD!$A$3:$A$5001,_xlfn.MAXIFS(BD!$A$3:$A$5001,BD!$B$3:$B$5001,I$243,BD!$A$3:$A$5001,"&gt;="&amp;$C$7,BD!$A$3:$A$5001,"&lt;="&amp;$B270,BD!$Z$3:$Z$5001,"&lt;&gt;"))))</f>
        <v/>
      </c>
      <c r="J270" s="42" t="str">
        <f>IF(OR($B270="",$A270&gt;$B$9),"",IF(COUNTIFS(BD!$B$3:$B$5001,J$243,BD!$A$3:$A$5001,"&gt;="&amp;$C$7,BD!$A$3:$A$5001,"&lt;="&amp;$B270,BD!$Z$3:$Z$5001,"&lt;&gt;")=0,"",SUMIFS(BD!$Z$3:$Z$5001,BD!$B$3:$B$5001,J$243,BD!$A$3:$A$5001,_xlfn.MAXIFS(BD!$A$3:$A$5001,BD!$B$3:$B$5001,J$243,BD!$A$3:$A$5001,"&gt;="&amp;$C$7,BD!$A$3:$A$5001,"&lt;="&amp;$B270,BD!$Z$3:$Z$5001,"&lt;&gt;"))))</f>
        <v/>
      </c>
      <c r="K270" s="42" t="str">
        <f>IF(OR($B270="",$A270&gt;$B$9),"",IF(COUNTIFS(BD!$B$3:$B$5001,K$243,BD!$A$3:$A$5001,"&gt;="&amp;$C$7,BD!$A$3:$A$5001,"&lt;="&amp;$B270,BD!$Z$3:$Z$5001,"&lt;&gt;")=0,"",SUMIFS(BD!$Z$3:$Z$5001,BD!$B$3:$B$5001,K$243,BD!$A$3:$A$5001,_xlfn.MAXIFS(BD!$A$3:$A$5001,BD!$B$3:$B$5001,K$243,BD!$A$3:$A$5001,"&gt;="&amp;$C$7,BD!$A$3:$A$5001,"&lt;="&amp;$B270,BD!$Z$3:$Z$5001,"&lt;&gt;"))))</f>
        <v/>
      </c>
    </row>
    <row r="271">
      <c r="A271" s="40">
        <v>28</v>
      </c>
      <c r="B271" s="41">
        <f>$B$39</f>
        <v>46323</v>
      </c>
      <c r="C271" s="42" t="str">
        <f>IF(OR($B271="",$A271&gt;$B$9),"",IF(COUNTIFS(BD!$B$3:$B$5001,C$243,BD!$A$3:$A$5001,"&gt;="&amp;$C$7,BD!$A$3:$A$5001,"&lt;="&amp;$B271,BD!$Z$3:$Z$5001,"&lt;&gt;")=0,"",SUMIFS(BD!$Z$3:$Z$5001,BD!$B$3:$B$5001,C$243,BD!$A$3:$A$5001,_xlfn.MAXIFS(BD!$A$3:$A$5001,BD!$B$3:$B$5001,C$243,BD!$A$3:$A$5001,"&gt;="&amp;$C$7,BD!$A$3:$A$5001,"&lt;="&amp;$B271,BD!$Z$3:$Z$5001,"&lt;&gt;"))))</f>
        <v/>
      </c>
      <c r="D271" s="42" t="str">
        <f>IF(OR($B271="",$A271&gt;$B$9),"",IF(COUNTIFS(BD!$B$3:$B$5001,D$243,BD!$A$3:$A$5001,"&gt;="&amp;$C$7,BD!$A$3:$A$5001,"&lt;="&amp;$B271,BD!$Z$3:$Z$5001,"&lt;&gt;")=0,"",SUMIFS(BD!$Z$3:$Z$5001,BD!$B$3:$B$5001,D$243,BD!$A$3:$A$5001,_xlfn.MAXIFS(BD!$A$3:$A$5001,BD!$B$3:$B$5001,D$243,BD!$A$3:$A$5001,"&gt;="&amp;$C$7,BD!$A$3:$A$5001,"&lt;="&amp;$B271,BD!$Z$3:$Z$5001,"&lt;&gt;"))))</f>
        <v/>
      </c>
      <c r="E271" s="42" t="str">
        <f>IF(OR($B271="",$A271&gt;$B$9),"",IF(COUNTIFS(BD!$B$3:$B$5001,E$243,BD!$A$3:$A$5001,"&gt;="&amp;$C$7,BD!$A$3:$A$5001,"&lt;="&amp;$B271,BD!$Z$3:$Z$5001,"&lt;&gt;")=0,"",SUMIFS(BD!$Z$3:$Z$5001,BD!$B$3:$B$5001,E$243,BD!$A$3:$A$5001,_xlfn.MAXIFS(BD!$A$3:$A$5001,BD!$B$3:$B$5001,E$243,BD!$A$3:$A$5001,"&gt;="&amp;$C$7,BD!$A$3:$A$5001,"&lt;="&amp;$B271,BD!$Z$3:$Z$5001,"&lt;&gt;"))))</f>
        <v/>
      </c>
      <c r="F271" s="42" t="str">
        <f>IF(OR($B271="",$A271&gt;$B$9),"",IF(COUNTIFS(BD!$B$3:$B$5001,F$243,BD!$A$3:$A$5001,"&gt;="&amp;$C$7,BD!$A$3:$A$5001,"&lt;="&amp;$B271,BD!$Z$3:$Z$5001,"&lt;&gt;")=0,"",SUMIFS(BD!$Z$3:$Z$5001,BD!$B$3:$B$5001,F$243,BD!$A$3:$A$5001,_xlfn.MAXIFS(BD!$A$3:$A$5001,BD!$B$3:$B$5001,F$243,BD!$A$3:$A$5001,"&gt;="&amp;$C$7,BD!$A$3:$A$5001,"&lt;="&amp;$B271,BD!$Z$3:$Z$5001,"&lt;&gt;"))))</f>
        <v/>
      </c>
      <c r="G271" s="42" t="str">
        <f>IF(OR($B271="",$A271&gt;$B$9),"",IF(COUNTIFS(BD!$B$3:$B$5001,G$243,BD!$A$3:$A$5001,"&gt;="&amp;$C$7,BD!$A$3:$A$5001,"&lt;="&amp;$B271,BD!$Z$3:$Z$5001,"&lt;&gt;")=0,"",SUMIFS(BD!$Z$3:$Z$5001,BD!$B$3:$B$5001,G$243,BD!$A$3:$A$5001,_xlfn.MAXIFS(BD!$A$3:$A$5001,BD!$B$3:$B$5001,G$243,BD!$A$3:$A$5001,"&gt;="&amp;$C$7,BD!$A$3:$A$5001,"&lt;="&amp;$B271,BD!$Z$3:$Z$5001,"&lt;&gt;"))))</f>
        <v/>
      </c>
      <c r="H271" s="42" t="str">
        <f>IF(OR($B271="",$A271&gt;$B$9),"",IF(COUNTIFS(BD!$B$3:$B$5001,H$243,BD!$A$3:$A$5001,"&gt;="&amp;$C$7,BD!$A$3:$A$5001,"&lt;="&amp;$B271,BD!$Z$3:$Z$5001,"&lt;&gt;")=0,"",SUMIFS(BD!$Z$3:$Z$5001,BD!$B$3:$B$5001,H$243,BD!$A$3:$A$5001,_xlfn.MAXIFS(BD!$A$3:$A$5001,BD!$B$3:$B$5001,H$243,BD!$A$3:$A$5001,"&gt;="&amp;$C$7,BD!$A$3:$A$5001,"&lt;="&amp;$B271,BD!$Z$3:$Z$5001,"&lt;&gt;"))))</f>
        <v/>
      </c>
      <c r="I271" s="42" t="str">
        <f>IF(OR($B271="",$A271&gt;$B$9),"",IF(COUNTIFS(BD!$B$3:$B$5001,I$243,BD!$A$3:$A$5001,"&gt;="&amp;$C$7,BD!$A$3:$A$5001,"&lt;="&amp;$B271,BD!$Z$3:$Z$5001,"&lt;&gt;")=0,"",SUMIFS(BD!$Z$3:$Z$5001,BD!$B$3:$B$5001,I$243,BD!$A$3:$A$5001,_xlfn.MAXIFS(BD!$A$3:$A$5001,BD!$B$3:$B$5001,I$243,BD!$A$3:$A$5001,"&gt;="&amp;$C$7,BD!$A$3:$A$5001,"&lt;="&amp;$B271,BD!$Z$3:$Z$5001,"&lt;&gt;"))))</f>
        <v/>
      </c>
      <c r="J271" s="42" t="str">
        <f>IF(OR($B271="",$A271&gt;$B$9),"",IF(COUNTIFS(BD!$B$3:$B$5001,J$243,BD!$A$3:$A$5001,"&gt;="&amp;$C$7,BD!$A$3:$A$5001,"&lt;="&amp;$B271,BD!$Z$3:$Z$5001,"&lt;&gt;")=0,"",SUMIFS(BD!$Z$3:$Z$5001,BD!$B$3:$B$5001,J$243,BD!$A$3:$A$5001,_xlfn.MAXIFS(BD!$A$3:$A$5001,BD!$B$3:$B$5001,J$243,BD!$A$3:$A$5001,"&gt;="&amp;$C$7,BD!$A$3:$A$5001,"&lt;="&amp;$B271,BD!$Z$3:$Z$5001,"&lt;&gt;"))))</f>
        <v/>
      </c>
      <c r="K271" s="42" t="str">
        <f>IF(OR($B271="",$A271&gt;$B$9),"",IF(COUNTIFS(BD!$B$3:$B$5001,K$243,BD!$A$3:$A$5001,"&gt;="&amp;$C$7,BD!$A$3:$A$5001,"&lt;="&amp;$B271,BD!$Z$3:$Z$5001,"&lt;&gt;")=0,"",SUMIFS(BD!$Z$3:$Z$5001,BD!$B$3:$B$5001,K$243,BD!$A$3:$A$5001,_xlfn.MAXIFS(BD!$A$3:$A$5001,BD!$B$3:$B$5001,K$243,BD!$A$3:$A$5001,"&gt;="&amp;$C$7,BD!$A$3:$A$5001,"&lt;="&amp;$B271,BD!$Z$3:$Z$5001,"&lt;&gt;"))))</f>
        <v/>
      </c>
    </row>
    <row r="272">
      <c r="A272" s="40">
        <v>29</v>
      </c>
      <c r="B272" s="41">
        <f>$B$40</f>
        <v>46324</v>
      </c>
      <c r="C272" s="42" t="str">
        <f>IF(OR($B272="",$A272&gt;$B$9),"",IF(COUNTIFS(BD!$B$3:$B$5001,C$243,BD!$A$3:$A$5001,"&gt;="&amp;$C$7,BD!$A$3:$A$5001,"&lt;="&amp;$B272,BD!$Z$3:$Z$5001,"&lt;&gt;")=0,"",SUMIFS(BD!$Z$3:$Z$5001,BD!$B$3:$B$5001,C$243,BD!$A$3:$A$5001,_xlfn.MAXIFS(BD!$A$3:$A$5001,BD!$B$3:$B$5001,C$243,BD!$A$3:$A$5001,"&gt;="&amp;$C$7,BD!$A$3:$A$5001,"&lt;="&amp;$B272,BD!$Z$3:$Z$5001,"&lt;&gt;"))))</f>
        <v/>
      </c>
      <c r="D272" s="42" t="str">
        <f>IF(OR($B272="",$A272&gt;$B$9),"",IF(COUNTIFS(BD!$B$3:$B$5001,D$243,BD!$A$3:$A$5001,"&gt;="&amp;$C$7,BD!$A$3:$A$5001,"&lt;="&amp;$B272,BD!$Z$3:$Z$5001,"&lt;&gt;")=0,"",SUMIFS(BD!$Z$3:$Z$5001,BD!$B$3:$B$5001,D$243,BD!$A$3:$A$5001,_xlfn.MAXIFS(BD!$A$3:$A$5001,BD!$B$3:$B$5001,D$243,BD!$A$3:$A$5001,"&gt;="&amp;$C$7,BD!$A$3:$A$5001,"&lt;="&amp;$B272,BD!$Z$3:$Z$5001,"&lt;&gt;"))))</f>
        <v/>
      </c>
      <c r="E272" s="42" t="str">
        <f>IF(OR($B272="",$A272&gt;$B$9),"",IF(COUNTIFS(BD!$B$3:$B$5001,E$243,BD!$A$3:$A$5001,"&gt;="&amp;$C$7,BD!$A$3:$A$5001,"&lt;="&amp;$B272,BD!$Z$3:$Z$5001,"&lt;&gt;")=0,"",SUMIFS(BD!$Z$3:$Z$5001,BD!$B$3:$B$5001,E$243,BD!$A$3:$A$5001,_xlfn.MAXIFS(BD!$A$3:$A$5001,BD!$B$3:$B$5001,E$243,BD!$A$3:$A$5001,"&gt;="&amp;$C$7,BD!$A$3:$A$5001,"&lt;="&amp;$B272,BD!$Z$3:$Z$5001,"&lt;&gt;"))))</f>
        <v/>
      </c>
      <c r="F272" s="42" t="str">
        <f>IF(OR($B272="",$A272&gt;$B$9),"",IF(COUNTIFS(BD!$B$3:$B$5001,F$243,BD!$A$3:$A$5001,"&gt;="&amp;$C$7,BD!$A$3:$A$5001,"&lt;="&amp;$B272,BD!$Z$3:$Z$5001,"&lt;&gt;")=0,"",SUMIFS(BD!$Z$3:$Z$5001,BD!$B$3:$B$5001,F$243,BD!$A$3:$A$5001,_xlfn.MAXIFS(BD!$A$3:$A$5001,BD!$B$3:$B$5001,F$243,BD!$A$3:$A$5001,"&gt;="&amp;$C$7,BD!$A$3:$A$5001,"&lt;="&amp;$B272,BD!$Z$3:$Z$5001,"&lt;&gt;"))))</f>
        <v/>
      </c>
      <c r="G272" s="42" t="str">
        <f>IF(OR($B272="",$A272&gt;$B$9),"",IF(COUNTIFS(BD!$B$3:$B$5001,G$243,BD!$A$3:$A$5001,"&gt;="&amp;$C$7,BD!$A$3:$A$5001,"&lt;="&amp;$B272,BD!$Z$3:$Z$5001,"&lt;&gt;")=0,"",SUMIFS(BD!$Z$3:$Z$5001,BD!$B$3:$B$5001,G$243,BD!$A$3:$A$5001,_xlfn.MAXIFS(BD!$A$3:$A$5001,BD!$B$3:$B$5001,G$243,BD!$A$3:$A$5001,"&gt;="&amp;$C$7,BD!$A$3:$A$5001,"&lt;="&amp;$B272,BD!$Z$3:$Z$5001,"&lt;&gt;"))))</f>
        <v/>
      </c>
      <c r="H272" s="42" t="str">
        <f>IF(OR($B272="",$A272&gt;$B$9),"",IF(COUNTIFS(BD!$B$3:$B$5001,H$243,BD!$A$3:$A$5001,"&gt;="&amp;$C$7,BD!$A$3:$A$5001,"&lt;="&amp;$B272,BD!$Z$3:$Z$5001,"&lt;&gt;")=0,"",SUMIFS(BD!$Z$3:$Z$5001,BD!$B$3:$B$5001,H$243,BD!$A$3:$A$5001,_xlfn.MAXIFS(BD!$A$3:$A$5001,BD!$B$3:$B$5001,H$243,BD!$A$3:$A$5001,"&gt;="&amp;$C$7,BD!$A$3:$A$5001,"&lt;="&amp;$B272,BD!$Z$3:$Z$5001,"&lt;&gt;"))))</f>
        <v/>
      </c>
      <c r="I272" s="42" t="str">
        <f>IF(OR($B272="",$A272&gt;$B$9),"",IF(COUNTIFS(BD!$B$3:$B$5001,I$243,BD!$A$3:$A$5001,"&gt;="&amp;$C$7,BD!$A$3:$A$5001,"&lt;="&amp;$B272,BD!$Z$3:$Z$5001,"&lt;&gt;")=0,"",SUMIFS(BD!$Z$3:$Z$5001,BD!$B$3:$B$5001,I$243,BD!$A$3:$A$5001,_xlfn.MAXIFS(BD!$A$3:$A$5001,BD!$B$3:$B$5001,I$243,BD!$A$3:$A$5001,"&gt;="&amp;$C$7,BD!$A$3:$A$5001,"&lt;="&amp;$B272,BD!$Z$3:$Z$5001,"&lt;&gt;"))))</f>
        <v/>
      </c>
      <c r="J272" s="42" t="str">
        <f>IF(OR($B272="",$A272&gt;$B$9),"",IF(COUNTIFS(BD!$B$3:$B$5001,J$243,BD!$A$3:$A$5001,"&gt;="&amp;$C$7,BD!$A$3:$A$5001,"&lt;="&amp;$B272,BD!$Z$3:$Z$5001,"&lt;&gt;")=0,"",SUMIFS(BD!$Z$3:$Z$5001,BD!$B$3:$B$5001,J$243,BD!$A$3:$A$5001,_xlfn.MAXIFS(BD!$A$3:$A$5001,BD!$B$3:$B$5001,J$243,BD!$A$3:$A$5001,"&gt;="&amp;$C$7,BD!$A$3:$A$5001,"&lt;="&amp;$B272,BD!$Z$3:$Z$5001,"&lt;&gt;"))))</f>
        <v/>
      </c>
      <c r="K272" s="42" t="str">
        <f>IF(OR($B272="",$A272&gt;$B$9),"",IF(COUNTIFS(BD!$B$3:$B$5001,K$243,BD!$A$3:$A$5001,"&gt;="&amp;$C$7,BD!$A$3:$A$5001,"&lt;="&amp;$B272,BD!$Z$3:$Z$5001,"&lt;&gt;")=0,"",SUMIFS(BD!$Z$3:$Z$5001,BD!$B$3:$B$5001,K$243,BD!$A$3:$A$5001,_xlfn.MAXIFS(BD!$A$3:$A$5001,BD!$B$3:$B$5001,K$243,BD!$A$3:$A$5001,"&gt;="&amp;$C$7,BD!$A$3:$A$5001,"&lt;="&amp;$B272,BD!$Z$3:$Z$5001,"&lt;&gt;"))))</f>
        <v/>
      </c>
    </row>
    <row r="273">
      <c r="A273" s="40">
        <v>30</v>
      </c>
      <c r="B273" s="41">
        <f>$B$41</f>
        <v>46325</v>
      </c>
      <c r="C273" s="42" t="str">
        <f>IF(OR($B273="",$A273&gt;$B$9),"",IF(COUNTIFS(BD!$B$3:$B$5001,C$243,BD!$A$3:$A$5001,"&gt;="&amp;$C$7,BD!$A$3:$A$5001,"&lt;="&amp;$B273,BD!$Z$3:$Z$5001,"&lt;&gt;")=0,"",SUMIFS(BD!$Z$3:$Z$5001,BD!$B$3:$B$5001,C$243,BD!$A$3:$A$5001,_xlfn.MAXIFS(BD!$A$3:$A$5001,BD!$B$3:$B$5001,C$243,BD!$A$3:$A$5001,"&gt;="&amp;$C$7,BD!$A$3:$A$5001,"&lt;="&amp;$B273,BD!$Z$3:$Z$5001,"&lt;&gt;"))))</f>
        <v/>
      </c>
      <c r="D273" s="42" t="str">
        <f>IF(OR($B273="",$A273&gt;$B$9),"",IF(COUNTIFS(BD!$B$3:$B$5001,D$243,BD!$A$3:$A$5001,"&gt;="&amp;$C$7,BD!$A$3:$A$5001,"&lt;="&amp;$B273,BD!$Z$3:$Z$5001,"&lt;&gt;")=0,"",SUMIFS(BD!$Z$3:$Z$5001,BD!$B$3:$B$5001,D$243,BD!$A$3:$A$5001,_xlfn.MAXIFS(BD!$A$3:$A$5001,BD!$B$3:$B$5001,D$243,BD!$A$3:$A$5001,"&gt;="&amp;$C$7,BD!$A$3:$A$5001,"&lt;="&amp;$B273,BD!$Z$3:$Z$5001,"&lt;&gt;"))))</f>
        <v/>
      </c>
      <c r="E273" s="42" t="str">
        <f>IF(OR($B273="",$A273&gt;$B$9),"",IF(COUNTIFS(BD!$B$3:$B$5001,E$243,BD!$A$3:$A$5001,"&gt;="&amp;$C$7,BD!$A$3:$A$5001,"&lt;="&amp;$B273,BD!$Z$3:$Z$5001,"&lt;&gt;")=0,"",SUMIFS(BD!$Z$3:$Z$5001,BD!$B$3:$B$5001,E$243,BD!$A$3:$A$5001,_xlfn.MAXIFS(BD!$A$3:$A$5001,BD!$B$3:$B$5001,E$243,BD!$A$3:$A$5001,"&gt;="&amp;$C$7,BD!$A$3:$A$5001,"&lt;="&amp;$B273,BD!$Z$3:$Z$5001,"&lt;&gt;"))))</f>
        <v/>
      </c>
      <c r="F273" s="42" t="str">
        <f>IF(OR($B273="",$A273&gt;$B$9),"",IF(COUNTIFS(BD!$B$3:$B$5001,F$243,BD!$A$3:$A$5001,"&gt;="&amp;$C$7,BD!$A$3:$A$5001,"&lt;="&amp;$B273,BD!$Z$3:$Z$5001,"&lt;&gt;")=0,"",SUMIFS(BD!$Z$3:$Z$5001,BD!$B$3:$B$5001,F$243,BD!$A$3:$A$5001,_xlfn.MAXIFS(BD!$A$3:$A$5001,BD!$B$3:$B$5001,F$243,BD!$A$3:$A$5001,"&gt;="&amp;$C$7,BD!$A$3:$A$5001,"&lt;="&amp;$B273,BD!$Z$3:$Z$5001,"&lt;&gt;"))))</f>
        <v/>
      </c>
      <c r="G273" s="42" t="str">
        <f>IF(OR($B273="",$A273&gt;$B$9),"",IF(COUNTIFS(BD!$B$3:$B$5001,G$243,BD!$A$3:$A$5001,"&gt;="&amp;$C$7,BD!$A$3:$A$5001,"&lt;="&amp;$B273,BD!$Z$3:$Z$5001,"&lt;&gt;")=0,"",SUMIFS(BD!$Z$3:$Z$5001,BD!$B$3:$B$5001,G$243,BD!$A$3:$A$5001,_xlfn.MAXIFS(BD!$A$3:$A$5001,BD!$B$3:$B$5001,G$243,BD!$A$3:$A$5001,"&gt;="&amp;$C$7,BD!$A$3:$A$5001,"&lt;="&amp;$B273,BD!$Z$3:$Z$5001,"&lt;&gt;"))))</f>
        <v/>
      </c>
      <c r="H273" s="42" t="str">
        <f>IF(OR($B273="",$A273&gt;$B$9),"",IF(COUNTIFS(BD!$B$3:$B$5001,H$243,BD!$A$3:$A$5001,"&gt;="&amp;$C$7,BD!$A$3:$A$5001,"&lt;="&amp;$B273,BD!$Z$3:$Z$5001,"&lt;&gt;")=0,"",SUMIFS(BD!$Z$3:$Z$5001,BD!$B$3:$B$5001,H$243,BD!$A$3:$A$5001,_xlfn.MAXIFS(BD!$A$3:$A$5001,BD!$B$3:$B$5001,H$243,BD!$A$3:$A$5001,"&gt;="&amp;$C$7,BD!$A$3:$A$5001,"&lt;="&amp;$B273,BD!$Z$3:$Z$5001,"&lt;&gt;"))))</f>
        <v/>
      </c>
      <c r="I273" s="42" t="str">
        <f>IF(OR($B273="",$A273&gt;$B$9),"",IF(COUNTIFS(BD!$B$3:$B$5001,I$243,BD!$A$3:$A$5001,"&gt;="&amp;$C$7,BD!$A$3:$A$5001,"&lt;="&amp;$B273,BD!$Z$3:$Z$5001,"&lt;&gt;")=0,"",SUMIFS(BD!$Z$3:$Z$5001,BD!$B$3:$B$5001,I$243,BD!$A$3:$A$5001,_xlfn.MAXIFS(BD!$A$3:$A$5001,BD!$B$3:$B$5001,I$243,BD!$A$3:$A$5001,"&gt;="&amp;$C$7,BD!$A$3:$A$5001,"&lt;="&amp;$B273,BD!$Z$3:$Z$5001,"&lt;&gt;"))))</f>
        <v/>
      </c>
      <c r="J273" s="42" t="str">
        <f>IF(OR($B273="",$A273&gt;$B$9),"",IF(COUNTIFS(BD!$B$3:$B$5001,J$243,BD!$A$3:$A$5001,"&gt;="&amp;$C$7,BD!$A$3:$A$5001,"&lt;="&amp;$B273,BD!$Z$3:$Z$5001,"&lt;&gt;")=0,"",SUMIFS(BD!$Z$3:$Z$5001,BD!$B$3:$B$5001,J$243,BD!$A$3:$A$5001,_xlfn.MAXIFS(BD!$A$3:$A$5001,BD!$B$3:$B$5001,J$243,BD!$A$3:$A$5001,"&gt;="&amp;$C$7,BD!$A$3:$A$5001,"&lt;="&amp;$B273,BD!$Z$3:$Z$5001,"&lt;&gt;"))))</f>
        <v/>
      </c>
      <c r="K273" s="42" t="str">
        <f>IF(OR($B273="",$A273&gt;$B$9),"",IF(COUNTIFS(BD!$B$3:$B$5001,K$243,BD!$A$3:$A$5001,"&gt;="&amp;$C$7,BD!$A$3:$A$5001,"&lt;="&amp;$B273,BD!$Z$3:$Z$5001,"&lt;&gt;")=0,"",SUMIFS(BD!$Z$3:$Z$5001,BD!$B$3:$B$5001,K$243,BD!$A$3:$A$5001,_xlfn.MAXIFS(BD!$A$3:$A$5001,BD!$B$3:$B$5001,K$243,BD!$A$3:$A$5001,"&gt;="&amp;$C$7,BD!$A$3:$A$5001,"&lt;="&amp;$B273,BD!$Z$3:$Z$5001,"&lt;&gt;"))))</f>
        <v/>
      </c>
    </row>
    <row r="274">
      <c r="A274" s="40">
        <v>31</v>
      </c>
      <c r="B274" s="41">
        <f>$B$42</f>
        <v>46326</v>
      </c>
      <c r="C274" s="42" t="str">
        <f>IF(OR($B274="",$A274&gt;$B$9),"",IF(COUNTIFS(BD!$B$3:$B$5001,C$243,BD!$A$3:$A$5001,"&gt;="&amp;$C$7,BD!$A$3:$A$5001,"&lt;="&amp;$B274,BD!$Z$3:$Z$5001,"&lt;&gt;")=0,"",SUMIFS(BD!$Z$3:$Z$5001,BD!$B$3:$B$5001,C$243,BD!$A$3:$A$5001,_xlfn.MAXIFS(BD!$A$3:$A$5001,BD!$B$3:$B$5001,C$243,BD!$A$3:$A$5001,"&gt;="&amp;$C$7,BD!$A$3:$A$5001,"&lt;="&amp;$B274,BD!$Z$3:$Z$5001,"&lt;&gt;"))))</f>
        <v/>
      </c>
      <c r="D274" s="42" t="str">
        <f>IF(OR($B274="",$A274&gt;$B$9),"",IF(COUNTIFS(BD!$B$3:$B$5001,D$243,BD!$A$3:$A$5001,"&gt;="&amp;$C$7,BD!$A$3:$A$5001,"&lt;="&amp;$B274,BD!$Z$3:$Z$5001,"&lt;&gt;")=0,"",SUMIFS(BD!$Z$3:$Z$5001,BD!$B$3:$B$5001,D$243,BD!$A$3:$A$5001,_xlfn.MAXIFS(BD!$A$3:$A$5001,BD!$B$3:$B$5001,D$243,BD!$A$3:$A$5001,"&gt;="&amp;$C$7,BD!$A$3:$A$5001,"&lt;="&amp;$B274,BD!$Z$3:$Z$5001,"&lt;&gt;"))))</f>
        <v/>
      </c>
      <c r="E274" s="42" t="str">
        <f>IF(OR($B274="",$A274&gt;$B$9),"",IF(COUNTIFS(BD!$B$3:$B$5001,E$243,BD!$A$3:$A$5001,"&gt;="&amp;$C$7,BD!$A$3:$A$5001,"&lt;="&amp;$B274,BD!$Z$3:$Z$5001,"&lt;&gt;")=0,"",SUMIFS(BD!$Z$3:$Z$5001,BD!$B$3:$B$5001,E$243,BD!$A$3:$A$5001,_xlfn.MAXIFS(BD!$A$3:$A$5001,BD!$B$3:$B$5001,E$243,BD!$A$3:$A$5001,"&gt;="&amp;$C$7,BD!$A$3:$A$5001,"&lt;="&amp;$B274,BD!$Z$3:$Z$5001,"&lt;&gt;"))))</f>
        <v/>
      </c>
      <c r="F274" s="42" t="str">
        <f>IF(OR($B274="",$A274&gt;$B$9),"",IF(COUNTIFS(BD!$B$3:$B$5001,F$243,BD!$A$3:$A$5001,"&gt;="&amp;$C$7,BD!$A$3:$A$5001,"&lt;="&amp;$B274,BD!$Z$3:$Z$5001,"&lt;&gt;")=0,"",SUMIFS(BD!$Z$3:$Z$5001,BD!$B$3:$B$5001,F$243,BD!$A$3:$A$5001,_xlfn.MAXIFS(BD!$A$3:$A$5001,BD!$B$3:$B$5001,F$243,BD!$A$3:$A$5001,"&gt;="&amp;$C$7,BD!$A$3:$A$5001,"&lt;="&amp;$B274,BD!$Z$3:$Z$5001,"&lt;&gt;"))))</f>
        <v/>
      </c>
      <c r="G274" s="42" t="str">
        <f>IF(OR($B274="",$A274&gt;$B$9),"",IF(COUNTIFS(BD!$B$3:$B$5001,G$243,BD!$A$3:$A$5001,"&gt;="&amp;$C$7,BD!$A$3:$A$5001,"&lt;="&amp;$B274,BD!$Z$3:$Z$5001,"&lt;&gt;")=0,"",SUMIFS(BD!$Z$3:$Z$5001,BD!$B$3:$B$5001,G$243,BD!$A$3:$A$5001,_xlfn.MAXIFS(BD!$A$3:$A$5001,BD!$B$3:$B$5001,G$243,BD!$A$3:$A$5001,"&gt;="&amp;$C$7,BD!$A$3:$A$5001,"&lt;="&amp;$B274,BD!$Z$3:$Z$5001,"&lt;&gt;"))))</f>
        <v/>
      </c>
      <c r="H274" s="42" t="str">
        <f>IF(OR($B274="",$A274&gt;$B$9),"",IF(COUNTIFS(BD!$B$3:$B$5001,H$243,BD!$A$3:$A$5001,"&gt;="&amp;$C$7,BD!$A$3:$A$5001,"&lt;="&amp;$B274,BD!$Z$3:$Z$5001,"&lt;&gt;")=0,"",SUMIFS(BD!$Z$3:$Z$5001,BD!$B$3:$B$5001,H$243,BD!$A$3:$A$5001,_xlfn.MAXIFS(BD!$A$3:$A$5001,BD!$B$3:$B$5001,H$243,BD!$A$3:$A$5001,"&gt;="&amp;$C$7,BD!$A$3:$A$5001,"&lt;="&amp;$B274,BD!$Z$3:$Z$5001,"&lt;&gt;"))))</f>
        <v/>
      </c>
      <c r="I274" s="42" t="str">
        <f>IF(OR($B274="",$A274&gt;$B$9),"",IF(COUNTIFS(BD!$B$3:$B$5001,I$243,BD!$A$3:$A$5001,"&gt;="&amp;$C$7,BD!$A$3:$A$5001,"&lt;="&amp;$B274,BD!$Z$3:$Z$5001,"&lt;&gt;")=0,"",SUMIFS(BD!$Z$3:$Z$5001,BD!$B$3:$B$5001,I$243,BD!$A$3:$A$5001,_xlfn.MAXIFS(BD!$A$3:$A$5001,BD!$B$3:$B$5001,I$243,BD!$A$3:$A$5001,"&gt;="&amp;$C$7,BD!$A$3:$A$5001,"&lt;="&amp;$B274,BD!$Z$3:$Z$5001,"&lt;&gt;"))))</f>
        <v/>
      </c>
      <c r="J274" s="42" t="str">
        <f>IF(OR($B274="",$A274&gt;$B$9),"",IF(COUNTIFS(BD!$B$3:$B$5001,J$243,BD!$A$3:$A$5001,"&gt;="&amp;$C$7,BD!$A$3:$A$5001,"&lt;="&amp;$B274,BD!$Z$3:$Z$5001,"&lt;&gt;")=0,"",SUMIFS(BD!$Z$3:$Z$5001,BD!$B$3:$B$5001,J$243,BD!$A$3:$A$5001,_xlfn.MAXIFS(BD!$A$3:$A$5001,BD!$B$3:$B$5001,J$243,BD!$A$3:$A$5001,"&gt;="&amp;$C$7,BD!$A$3:$A$5001,"&lt;="&amp;$B274,BD!$Z$3:$Z$5001,"&lt;&gt;"))))</f>
        <v/>
      </c>
      <c r="K274" s="42" t="str">
        <f>IF(OR($B274="",$A274&gt;$B$9),"",IF(COUNTIFS(BD!$B$3:$B$5001,K$243,BD!$A$3:$A$5001,"&gt;="&amp;$C$7,BD!$A$3:$A$5001,"&lt;="&amp;$B274,BD!$Z$3:$Z$5001,"&lt;&gt;")=0,"",SUMIFS(BD!$Z$3:$Z$5001,BD!$B$3:$B$5001,K$243,BD!$A$3:$A$5001,_xlfn.MAXIFS(BD!$A$3:$A$5001,BD!$B$3:$B$5001,K$243,BD!$A$3:$A$5001,"&gt;="&amp;$C$7,BD!$A$3:$A$5001,"&lt;="&amp;$B274,BD!$Z$3:$Z$5001,"&lt;&gt;"))))</f>
        <v/>
      </c>
    </row>
    <row r="275">
      <c r="A275" s="43" t="inlineStr">
        <is>
          <t xml:space="preserve">Mês anterior (último)</t>
        </is>
      </c>
      <c r="C275" s="44" t="str">
        <f>IF(COUNTIFS(BD!$B$3:$B$5001,C$243,BD!$A$3:$A$5001,"&gt;="&amp;$C$8,BD!$A$3:$A$5001,"&lt;="&amp;$D$8,BD!$Z$3:$Z$5001,"&lt;&gt;")=0,"",SUMIFS(BD!$Z$3:$Z$5001,BD!$B$3:$B$5001,C$243,BD!$A$3:$A$5001,_xlfn.MAXIFS(BD!$A$3:$A$5001,BD!$B$3:$B$5001,C$243,BD!$A$3:$A$5001,"&gt;="&amp;$C$8,BD!$A$3:$A$5001,"&lt;="&amp;$D$8,BD!$Z$3:$Z$5001,"&lt;&gt;")))</f>
        <v/>
      </c>
      <c r="D275" s="44" t="str">
        <f>IF(COUNTIFS(BD!$B$3:$B$5001,D$243,BD!$A$3:$A$5001,"&gt;="&amp;$C$8,BD!$A$3:$A$5001,"&lt;="&amp;$D$8,BD!$Z$3:$Z$5001,"&lt;&gt;")=0,"",SUMIFS(BD!$Z$3:$Z$5001,BD!$B$3:$B$5001,D$243,BD!$A$3:$A$5001,_xlfn.MAXIFS(BD!$A$3:$A$5001,BD!$B$3:$B$5001,D$243,BD!$A$3:$A$5001,"&gt;="&amp;$C$8,BD!$A$3:$A$5001,"&lt;="&amp;$D$8,BD!$Z$3:$Z$5001,"&lt;&gt;")))</f>
        <v/>
      </c>
      <c r="E275" s="44" t="str">
        <f>IF(COUNTIFS(BD!$B$3:$B$5001,E$243,BD!$A$3:$A$5001,"&gt;="&amp;$C$8,BD!$A$3:$A$5001,"&lt;="&amp;$D$8,BD!$Z$3:$Z$5001,"&lt;&gt;")=0,"",SUMIFS(BD!$Z$3:$Z$5001,BD!$B$3:$B$5001,E$243,BD!$A$3:$A$5001,_xlfn.MAXIFS(BD!$A$3:$A$5001,BD!$B$3:$B$5001,E$243,BD!$A$3:$A$5001,"&gt;="&amp;$C$8,BD!$A$3:$A$5001,"&lt;="&amp;$D$8,BD!$Z$3:$Z$5001,"&lt;&gt;")))</f>
        <v/>
      </c>
      <c r="F275" s="44" t="str">
        <f>IF(COUNTIFS(BD!$B$3:$B$5001,F$243,BD!$A$3:$A$5001,"&gt;="&amp;$C$8,BD!$A$3:$A$5001,"&lt;="&amp;$D$8,BD!$Z$3:$Z$5001,"&lt;&gt;")=0,"",SUMIFS(BD!$Z$3:$Z$5001,BD!$B$3:$B$5001,F$243,BD!$A$3:$A$5001,_xlfn.MAXIFS(BD!$A$3:$A$5001,BD!$B$3:$B$5001,F$243,BD!$A$3:$A$5001,"&gt;="&amp;$C$8,BD!$A$3:$A$5001,"&lt;="&amp;$D$8,BD!$Z$3:$Z$5001,"&lt;&gt;")))</f>
        <v/>
      </c>
      <c r="G275" s="44" t="str">
        <f>IF(COUNTIFS(BD!$B$3:$B$5001,G$243,BD!$A$3:$A$5001,"&gt;="&amp;$C$8,BD!$A$3:$A$5001,"&lt;="&amp;$D$8,BD!$Z$3:$Z$5001,"&lt;&gt;")=0,"",SUMIFS(BD!$Z$3:$Z$5001,BD!$B$3:$B$5001,G$243,BD!$A$3:$A$5001,_xlfn.MAXIFS(BD!$A$3:$A$5001,BD!$B$3:$B$5001,G$243,BD!$A$3:$A$5001,"&gt;="&amp;$C$8,BD!$A$3:$A$5001,"&lt;="&amp;$D$8,BD!$Z$3:$Z$5001,"&lt;&gt;")))</f>
        <v/>
      </c>
      <c r="H275" s="44" t="str">
        <f>IF(COUNTIFS(BD!$B$3:$B$5001,H$243,BD!$A$3:$A$5001,"&gt;="&amp;$C$8,BD!$A$3:$A$5001,"&lt;="&amp;$D$8,BD!$Z$3:$Z$5001,"&lt;&gt;")=0,"",SUMIFS(BD!$Z$3:$Z$5001,BD!$B$3:$B$5001,H$243,BD!$A$3:$A$5001,_xlfn.MAXIFS(BD!$A$3:$A$5001,BD!$B$3:$B$5001,H$243,BD!$A$3:$A$5001,"&gt;="&amp;$C$8,BD!$A$3:$A$5001,"&lt;="&amp;$D$8,BD!$Z$3:$Z$5001,"&lt;&gt;")))</f>
        <v/>
      </c>
      <c r="I275" s="44" t="str">
        <f>IF(COUNTIFS(BD!$B$3:$B$5001,I$243,BD!$A$3:$A$5001,"&gt;="&amp;$C$8,BD!$A$3:$A$5001,"&lt;="&amp;$D$8,BD!$Z$3:$Z$5001,"&lt;&gt;")=0,"",SUMIFS(BD!$Z$3:$Z$5001,BD!$B$3:$B$5001,I$243,BD!$A$3:$A$5001,_xlfn.MAXIFS(BD!$A$3:$A$5001,BD!$B$3:$B$5001,I$243,BD!$A$3:$A$5001,"&gt;="&amp;$C$8,BD!$A$3:$A$5001,"&lt;="&amp;$D$8,BD!$Z$3:$Z$5001,"&lt;&gt;")))</f>
        <v/>
      </c>
      <c r="J275" s="44" t="str">
        <f>IF(COUNTIFS(BD!$B$3:$B$5001,J$243,BD!$A$3:$A$5001,"&gt;="&amp;$C$8,BD!$A$3:$A$5001,"&lt;="&amp;$D$8,BD!$Z$3:$Z$5001,"&lt;&gt;")=0,"",SUMIFS(BD!$Z$3:$Z$5001,BD!$B$3:$B$5001,J$243,BD!$A$3:$A$5001,_xlfn.MAXIFS(BD!$A$3:$A$5001,BD!$B$3:$B$5001,J$243,BD!$A$3:$A$5001,"&gt;="&amp;$C$8,BD!$A$3:$A$5001,"&lt;="&amp;$D$8,BD!$Z$3:$Z$5001,"&lt;&gt;")))</f>
        <v/>
      </c>
      <c r="K275" s="44" t="str">
        <f>IF(COUNTIFS(BD!$B$3:$B$5001,K$243,BD!$A$3:$A$5001,"&gt;="&amp;$C$8,BD!$A$3:$A$5001,"&lt;="&amp;$D$8,BD!$Z$3:$Z$5001,"&lt;&gt;")=0,"",SUMIFS(BD!$Z$3:$Z$5001,BD!$B$3:$B$5001,K$243,BD!$A$3:$A$5001,_xlfn.MAXIFS(BD!$A$3:$A$5001,BD!$B$3:$B$5001,K$243,BD!$A$3:$A$5001,"&gt;="&amp;$C$8,BD!$A$3:$A$5001,"&lt;="&amp;$D$8,BD!$Z$3:$Z$5001,"&lt;&gt;")))</f>
        <v/>
      </c>
    </row>
    <row r="276">
      <c r="A276" s="43" t="inlineStr">
        <is>
          <t xml:space="preserve">Depósito</t>
        </is>
      </c>
      <c r="C276" s="40" t="inlineStr">
        <is>
          <t xml:space="preserve">TPC</t>
        </is>
      </c>
      <c r="D276" s="40" t="inlineStr">
        <is>
          <t xml:space="preserve">TPC</t>
        </is>
      </c>
      <c r="E276" s="40" t="inlineStr">
        <is>
          <t xml:space="preserve">TPC</t>
        </is>
      </c>
      <c r="F276" s="40" t="inlineStr">
        <is>
          <t xml:space="preserve">TPC</t>
        </is>
      </c>
      <c r="G276" s="40" t="inlineStr">
        <is>
          <t xml:space="preserve">TPC</t>
        </is>
      </c>
      <c r="H276" s="40" t="inlineStr">
        <is>
          <t xml:space="preserve">TPC</t>
        </is>
      </c>
      <c r="I276" s="40" t="inlineStr">
        <is>
          <t xml:space="preserve">TPC</t>
        </is>
      </c>
      <c r="J276" s="40" t="inlineStr">
        <is>
          <t xml:space="preserve">TPC</t>
        </is>
      </c>
      <c r="K276" s="40" t="inlineStr">
        <is>
          <t xml:space="preserve">TPC</t>
        </is>
      </c>
    </row>
    <row r="280">
      <c r="A280" s="19" t="inlineStr">
        <is>
          <t xml:space="preserve">RESUMO POR CLIENTE — clientes visíveis pelo filtro do Consol Mensal</t>
        </is>
      </c>
    </row>
    <row r="281">
      <c r="A281" s="37" t="inlineStr">
        <is>
          <t xml:space="preserve">Cliente</t>
        </is>
      </c>
      <c r="B281" s="37" t="inlineStr">
        <is>
          <t xml:space="preserve">Depósito</t>
        </is>
      </c>
      <c r="C281" s="37" t="inlineStr">
        <is>
          <t xml:space="preserve">Entra?</t>
        </is>
      </c>
      <c r="D281" s="37" t="inlineStr">
        <is>
          <t xml:space="preserve">Ordem</t>
        </is>
      </c>
      <c r="F281" s="37" t="inlineStr">
        <is>
          <t xml:space="preserve">Posição</t>
        </is>
      </c>
      <c r="G281" s="37" t="inlineStr">
        <is>
          <t xml:space="preserve">Cliente visível</t>
        </is>
      </c>
      <c r="H281" s="37" t="inlineStr">
        <is>
          <t xml:space="preserve">Depósito visível</t>
        </is>
      </c>
    </row>
    <row r="282">
      <c r="A282" s="64" t="inlineStr">
        <is>
          <t xml:space="preserve">Alpargatas</t>
        </is>
      </c>
      <c r="B282" s="40" t="inlineStr">
        <is>
          <t xml:space="preserve">TPC</t>
        </is>
      </c>
      <c r="C282" s="40">
        <f>IF(OR($B$2="Todos",AND($C$2=2,$B282=$D$2),AND($C$2=1,$A282=$D$2)),1,0)</f>
        <v>1</v>
      </c>
      <c r="D282" s="40">
        <f>IF($C282=1,SUM($C$282:$C282),"")</f>
        <v>1</v>
      </c>
      <c r="F282" s="40">
        <v>1</v>
      </c>
      <c r="G282" s="64" t="str">
        <f>IFERROR(INDEX($A$282:$A$290,MATCH($F282,$D$282:$D$290,0)),"")</f>
        <v>Alpargatas</v>
      </c>
      <c r="H282" s="40" t="str">
        <f>IFERROR(INDEX($B$282:$B$290,MATCH($F282,$D$282:$D$290,0)),"")</f>
        <v>TPC</v>
      </c>
    </row>
    <row r="283">
      <c r="A283" s="64" t="inlineStr">
        <is>
          <t xml:space="preserve">Basf</t>
        </is>
      </c>
      <c r="B283" s="40" t="inlineStr">
        <is>
          <t xml:space="preserve">TPC</t>
        </is>
      </c>
      <c r="C283" s="40">
        <f>IF(OR($B$2="Todos",AND($C$2=2,$B283=$D$2),AND($C$2=1,$A283=$D$2)),1,0)</f>
        <v>1</v>
      </c>
      <c r="D283" s="40">
        <f>IF($C283=1,SUM($C$282:$C283),"")</f>
        <v>2</v>
      </c>
      <c r="F283" s="40">
        <v>2</v>
      </c>
      <c r="G283" s="64" t="str">
        <f>IFERROR(INDEX($A$282:$A$290,MATCH($F283,$D$282:$D$290,0)),"")</f>
        <v>Basf</v>
      </c>
      <c r="H283" s="40" t="str">
        <f>IFERROR(INDEX($B$282:$B$290,MATCH($F283,$D$282:$D$290,0)),"")</f>
        <v>TPC</v>
      </c>
    </row>
    <row r="284">
      <c r="A284" s="64" t="inlineStr">
        <is>
          <t xml:space="preserve">Beautybiz</t>
        </is>
      </c>
      <c r="B284" s="40" t="inlineStr">
        <is>
          <t xml:space="preserve">TPC</t>
        </is>
      </c>
      <c r="C284" s="40">
        <f>IF(OR($B$2="Todos",AND($C$2=2,$B284=$D$2),AND($C$2=1,$A284=$D$2)),1,0)</f>
        <v>1</v>
      </c>
      <c r="D284" s="40">
        <f>IF($C284=1,SUM($C$282:$C284),"")</f>
        <v>3</v>
      </c>
      <c r="F284" s="40">
        <v>3</v>
      </c>
      <c r="G284" s="64" t="str">
        <f>IFERROR(INDEX($A$282:$A$290,MATCH($F284,$D$282:$D$290,0)),"")</f>
        <v>Beautybiz</v>
      </c>
      <c r="H284" s="40" t="str">
        <f>IFERROR(INDEX($B$282:$B$290,MATCH($F284,$D$282:$D$290,0)),"")</f>
        <v>TPC</v>
      </c>
    </row>
    <row r="285">
      <c r="A285" s="64" t="inlineStr">
        <is>
          <t xml:space="preserve">Boticário</t>
        </is>
      </c>
      <c r="B285" s="40" t="inlineStr">
        <is>
          <t xml:space="preserve">TPC</t>
        </is>
      </c>
      <c r="C285" s="40">
        <f>IF(OR($B$2="Todos",AND($C$2=2,$B285=$D$2),AND($C$2=1,$A285=$D$2)),1,0)</f>
        <v>1</v>
      </c>
      <c r="D285" s="40">
        <f>IF($C285=1,SUM($C$282:$C285),"")</f>
        <v>4</v>
      </c>
      <c r="F285" s="40">
        <v>4</v>
      </c>
      <c r="G285" s="64" t="str">
        <f>IFERROR(INDEX($A$282:$A$290,MATCH($F285,$D$282:$D$290,0)),"")</f>
        <v>Boticário</v>
      </c>
      <c r="H285" s="40" t="str">
        <f>IFERROR(INDEX($B$282:$B$290,MATCH($F285,$D$282:$D$290,0)),"")</f>
        <v>TPC</v>
      </c>
    </row>
    <row r="286">
      <c r="A286" s="64" t="inlineStr">
        <is>
          <t xml:space="preserve">GE Vernova</t>
        </is>
      </c>
      <c r="B286" s="40" t="inlineStr">
        <is>
          <t xml:space="preserve">TPC</t>
        </is>
      </c>
      <c r="C286" s="40">
        <f>IF(OR($B$2="Todos",AND($C$2=2,$B286=$D$2),AND($C$2=1,$A286=$D$2)),1,0)</f>
        <v>1</v>
      </c>
      <c r="D286" s="40">
        <f>IF($C286=1,SUM($C$282:$C286),"")</f>
        <v>5</v>
      </c>
      <c r="F286" s="40">
        <v>5</v>
      </c>
      <c r="G286" s="64" t="str">
        <f>IFERROR(INDEX($A$282:$A$290,MATCH($F286,$D$282:$D$290,0)),"")</f>
        <v>GE Vernova</v>
      </c>
      <c r="H286" s="40" t="str">
        <f>IFERROR(INDEX($B$282:$B$290,MATCH($F286,$D$282:$D$290,0)),"")</f>
        <v>TPC</v>
      </c>
    </row>
    <row r="287">
      <c r="A287" s="64" t="inlineStr">
        <is>
          <t xml:space="preserve">Omnilife</t>
        </is>
      </c>
      <c r="B287" s="40" t="inlineStr">
        <is>
          <t xml:space="preserve">TPC</t>
        </is>
      </c>
      <c r="C287" s="40">
        <f>IF(OR($B$2="Todos",AND($C$2=2,$B287=$D$2),AND($C$2=1,$A287=$D$2)),1,0)</f>
        <v>1</v>
      </c>
      <c r="D287" s="40">
        <f>IF($C287=1,SUM($C$282:$C287),"")</f>
        <v>6</v>
      </c>
      <c r="F287" s="40">
        <v>6</v>
      </c>
      <c r="G287" s="64" t="str">
        <f>IFERROR(INDEX($A$282:$A$290,MATCH($F287,$D$282:$D$290,0)),"")</f>
        <v>Omnilife</v>
      </c>
      <c r="H287" s="40" t="str">
        <f>IFERROR(INDEX($B$282:$B$290,MATCH($F287,$D$282:$D$290,0)),"")</f>
        <v>TPC</v>
      </c>
    </row>
    <row r="288">
      <c r="A288" s="64" t="inlineStr">
        <is>
          <t xml:space="preserve">Supply</t>
        </is>
      </c>
      <c r="B288" s="40" t="inlineStr">
        <is>
          <t xml:space="preserve">TPC</t>
        </is>
      </c>
      <c r="C288" s="40">
        <f>IF(OR($B$2="Todos",AND($C$2=2,$B288=$D$2),AND($C$2=1,$A288=$D$2)),1,0)</f>
        <v>1</v>
      </c>
      <c r="D288" s="40">
        <f>IF($C288=1,SUM($C$282:$C288),"")</f>
        <v>7</v>
      </c>
      <c r="F288" s="40">
        <v>7</v>
      </c>
      <c r="G288" s="64" t="str">
        <f>IFERROR(INDEX($A$282:$A$290,MATCH($F288,$D$282:$D$290,0)),"")</f>
        <v>Supply</v>
      </c>
      <c r="H288" s="40" t="str">
        <f>IFERROR(INDEX($B$282:$B$290,MATCH($F288,$D$282:$D$290,0)),"")</f>
        <v>TPC</v>
      </c>
    </row>
    <row r="289">
      <c r="A289" s="64" t="inlineStr">
        <is>
          <t xml:space="preserve">Vedacit</t>
        </is>
      </c>
      <c r="B289" s="40" t="inlineStr">
        <is>
          <t xml:space="preserve">TPC</t>
        </is>
      </c>
      <c r="C289" s="40">
        <f>IF(OR($B$2="Todos",AND($C$2=2,$B289=$D$2),AND($C$2=1,$A289=$D$2)),1,0)</f>
        <v>1</v>
      </c>
      <c r="D289" s="40">
        <f>IF($C289=1,SUM($C$282:$C289),"")</f>
        <v>8</v>
      </c>
      <c r="F289" s="40">
        <v>8</v>
      </c>
      <c r="G289" s="64" t="str">
        <f>IFERROR(INDEX($A$282:$A$290,MATCH($F289,$D$282:$D$290,0)),"")</f>
        <v>Vedacit</v>
      </c>
      <c r="H289" s="40" t="str">
        <f>IFERROR(INDEX($B$282:$B$290,MATCH($F289,$D$282:$D$290,0)),"")</f>
        <v>TPC</v>
      </c>
    </row>
    <row r="290">
      <c r="A290" s="64" t="inlineStr">
        <is>
          <t xml:space="preserve">Vestas</t>
        </is>
      </c>
      <c r="B290" s="40" t="inlineStr">
        <is>
          <t xml:space="preserve">TPC</t>
        </is>
      </c>
      <c r="C290" s="40">
        <f>IF(OR($B$2="Todos",AND($C$2=2,$B290=$D$2),AND($C$2=1,$A290=$D$2)),1,0)</f>
        <v>1</v>
      </c>
      <c r="D290" s="40">
        <f>IF($C290=1,SUM($C$282:$C290),"")</f>
        <v>9</v>
      </c>
      <c r="F290" s="40">
        <v>9</v>
      </c>
      <c r="G290" s="64" t="str">
        <f>IFERROR(INDEX($A$282:$A$290,MATCH($F290,$D$282:$D$290,0)),"")</f>
        <v>Vestas</v>
      </c>
      <c r="H290" s="40" t="str">
        <f>IFERROR(INDEX($B$282:$B$290,MATCH($F290,$D$282:$D$290,0)),"")</f>
        <v>TPC</v>
      </c>
    </row>
    <row r="292">
      <c r="A292" s="19" t="inlineStr">
        <is>
          <t xml:space="preserve">INDICADORES MEDIDOS POR CLIENTE (1 = mede) — o quadro mostra "—" quando o cliente filtrado não mede</t>
        </is>
      </c>
    </row>
    <row r="293">
      <c r="A293" s="37" t="inlineStr">
        <is>
          <t xml:space="preserve">Indicador</t>
        </is>
      </c>
      <c r="B293" s="37" t="inlineStr">
        <is>
          <t xml:space="preserve">Mede (seleção)</t>
        </is>
      </c>
      <c r="C293" s="37" t="inlineStr">
        <is>
          <t xml:space="preserve">Alpargatas</t>
        </is>
      </c>
      <c r="D293" s="37" t="inlineStr">
        <is>
          <t xml:space="preserve">Basf</t>
        </is>
      </c>
      <c r="E293" s="37" t="inlineStr">
        <is>
          <t xml:space="preserve">Beautybiz</t>
        </is>
      </c>
      <c r="F293" s="37" t="inlineStr">
        <is>
          <t xml:space="preserve">Boticário</t>
        </is>
      </c>
      <c r="G293" s="37" t="inlineStr">
        <is>
          <t xml:space="preserve">GE Vernova</t>
        </is>
      </c>
      <c r="H293" s="37" t="inlineStr">
        <is>
          <t xml:space="preserve">Omnilife</t>
        </is>
      </c>
      <c r="I293" s="37" t="inlineStr">
        <is>
          <t xml:space="preserve">Supply</t>
        </is>
      </c>
      <c r="J293" s="37" t="inlineStr">
        <is>
          <t xml:space="preserve">Vedacit</t>
        </is>
      </c>
      <c r="K293" s="37" t="inlineStr">
        <is>
          <t xml:space="preserve">Vestas</t>
        </is>
      </c>
    </row>
    <row r="294">
      <c r="A294" s="64" t="inlineStr">
        <is>
          <t xml:space="preserve">IN · Veículos Recebidos</t>
        </is>
      </c>
      <c r="B294" s="79">
        <f>IF(OR($B$2="Todos",$C$2=2),1,IFERROR(INDEX($C$294:$K$294,MATCH($D$2,$C$293:$K$293,0)),1))</f>
        <v>1</v>
      </c>
      <c r="C294" s="40">
        <v>1</v>
      </c>
      <c r="D294" s="40">
        <v>1</v>
      </c>
      <c r="E294" s="40">
        <v>1</v>
      </c>
      <c r="F294" s="40">
        <v>1</v>
      </c>
      <c r="G294" s="40">
        <v>1</v>
      </c>
      <c r="H294" s="40">
        <v>1</v>
      </c>
      <c r="I294" s="40">
        <v>1</v>
      </c>
      <c r="J294" s="40">
        <v>1</v>
      </c>
      <c r="K294" s="40">
        <v>1</v>
      </c>
    </row>
    <row r="295">
      <c r="A295" s="64" t="inlineStr">
        <is>
          <t xml:space="preserve">IN · Pallets Movimentados</t>
        </is>
      </c>
      <c r="B295" s="79">
        <f>IF(OR($B$2="Todos",$C$2=2),1,IFERROR(INDEX($C$295:$K$295,MATCH($D$2,$C$293:$K$293,0)),1))</f>
        <v>1</v>
      </c>
      <c r="C295" s="40">
        <v>0</v>
      </c>
      <c r="D295" s="40">
        <v>1</v>
      </c>
      <c r="E295" s="40">
        <v>1</v>
      </c>
      <c r="F295" s="40">
        <v>0</v>
      </c>
      <c r="G295" s="40">
        <v>1</v>
      </c>
      <c r="H295" s="40">
        <v>1</v>
      </c>
      <c r="I295" s="40">
        <v>1</v>
      </c>
      <c r="J295" s="40">
        <v>1</v>
      </c>
      <c r="K295" s="40">
        <v>0</v>
      </c>
    </row>
    <row r="296">
      <c r="A296" s="64" t="inlineStr">
        <is>
          <t xml:space="preserve">IN · Toneladas Movimentadas</t>
        </is>
      </c>
      <c r="B296" s="79">
        <f>IF(OR($B$2="Todos",$C$2=2),1,IFERROR(INDEX($C$296:$K$296,MATCH($D$2,$C$293:$K$293,0)),1))</f>
        <v>1</v>
      </c>
      <c r="C296" s="40">
        <v>0</v>
      </c>
      <c r="D296" s="40">
        <v>1</v>
      </c>
      <c r="E296" s="40">
        <v>0</v>
      </c>
      <c r="F296" s="40">
        <v>0</v>
      </c>
      <c r="G296" s="40">
        <v>0</v>
      </c>
      <c r="H296" s="40">
        <v>0</v>
      </c>
      <c r="I296" s="40">
        <v>1</v>
      </c>
      <c r="J296" s="40">
        <v>0</v>
      </c>
      <c r="K296" s="40">
        <v>0</v>
      </c>
    </row>
    <row r="297">
      <c r="A297" s="64" t="inlineStr">
        <is>
          <t xml:space="preserve">IN · Linhas NF</t>
        </is>
      </c>
      <c r="B297" s="79">
        <f>IF(OR($B$2="Todos",$C$2=2),1,IFERROR(INDEX($C$297:$K$297,MATCH($D$2,$C$293:$K$293,0)),1))</f>
        <v>1</v>
      </c>
      <c r="C297" s="40">
        <v>0</v>
      </c>
      <c r="D297" s="40">
        <v>0</v>
      </c>
      <c r="E297" s="40">
        <v>0</v>
      </c>
      <c r="F297" s="40">
        <v>0</v>
      </c>
      <c r="G297" s="40">
        <v>1</v>
      </c>
      <c r="H297" s="40">
        <v>0</v>
      </c>
      <c r="I297" s="40">
        <v>0</v>
      </c>
      <c r="J297" s="40">
        <v>0</v>
      </c>
      <c r="K297" s="40">
        <v>1</v>
      </c>
    </row>
    <row r="298">
      <c r="A298" s="64" t="inlineStr">
        <is>
          <t xml:space="preserve">IN · Caixas Movimentadas</t>
        </is>
      </c>
      <c r="B298" s="79">
        <f>IF(OR($B$2="Todos",$C$2=2),1,IFERROR(INDEX($C$298:$K$298,MATCH($D$2,$C$293:$K$293,0)),1))</f>
        <v>1</v>
      </c>
      <c r="C298" s="40">
        <v>1</v>
      </c>
      <c r="D298" s="40">
        <v>0</v>
      </c>
      <c r="E298" s="40">
        <v>1</v>
      </c>
      <c r="F298" s="40">
        <v>0</v>
      </c>
      <c r="G298" s="40">
        <v>0</v>
      </c>
      <c r="H298" s="40">
        <v>0</v>
      </c>
      <c r="I298" s="40">
        <v>0</v>
      </c>
      <c r="J298" s="40">
        <v>0</v>
      </c>
      <c r="K298" s="40">
        <v>0</v>
      </c>
    </row>
    <row r="299">
      <c r="A299" s="64" t="inlineStr">
        <is>
          <t xml:space="preserve">IN · Peças Movimentadas</t>
        </is>
      </c>
      <c r="B299" s="79">
        <f>IF(OR($B$2="Todos",$C$2=2),1,IFERROR(INDEX($C$299:$K$299,MATCH($D$2,$C$293:$K$293,0)),1))</f>
        <v>1</v>
      </c>
      <c r="C299" s="40">
        <v>0</v>
      </c>
      <c r="D299" s="40">
        <v>0</v>
      </c>
      <c r="E299" s="40">
        <v>0</v>
      </c>
      <c r="F299" s="40">
        <v>0</v>
      </c>
      <c r="G299" s="40">
        <v>1</v>
      </c>
      <c r="H299" s="40">
        <v>0</v>
      </c>
      <c r="I299" s="40">
        <v>0</v>
      </c>
      <c r="J299" s="40">
        <v>0</v>
      </c>
      <c r="K299" s="40">
        <v>0</v>
      </c>
    </row>
    <row r="300">
      <c r="A300" s="64" t="inlineStr">
        <is>
          <t xml:space="preserve">IN · Itens Recebidos CX Mista</t>
        </is>
      </c>
      <c r="B300" s="79">
        <f>IF(OR($B$2="Todos",$C$2=2),1,IFERROR(INDEX($C$300:$K$300,MATCH($D$2,$C$293:$K$293,0)),1))</f>
        <v>1</v>
      </c>
      <c r="C300" s="40">
        <v>0</v>
      </c>
      <c r="D300" s="40">
        <v>0</v>
      </c>
      <c r="E300" s="40">
        <v>0</v>
      </c>
      <c r="F300" s="40">
        <v>1</v>
      </c>
      <c r="G300" s="40">
        <v>0</v>
      </c>
      <c r="H300" s="40">
        <v>0</v>
      </c>
      <c r="I300" s="40">
        <v>0</v>
      </c>
      <c r="J300" s="40">
        <v>0</v>
      </c>
      <c r="K300" s="40">
        <v>0</v>
      </c>
    </row>
    <row r="301">
      <c r="A301" s="64" t="inlineStr">
        <is>
          <t xml:space="preserve">IN · Caixas Fechadas</t>
        </is>
      </c>
      <c r="B301" s="79">
        <f>IF(OR($B$2="Todos",$C$2=2),1,IFERROR(INDEX($C$301:$K$301,MATCH($D$2,$C$293:$K$293,0)),1))</f>
        <v>1</v>
      </c>
      <c r="C301" s="40">
        <v>0</v>
      </c>
      <c r="D301" s="40">
        <v>0</v>
      </c>
      <c r="E301" s="40">
        <v>0</v>
      </c>
      <c r="F301" s="40">
        <v>1</v>
      </c>
      <c r="G301" s="40">
        <v>0</v>
      </c>
      <c r="H301" s="40">
        <v>0</v>
      </c>
      <c r="I301" s="40">
        <v>0</v>
      </c>
      <c r="J301" s="40">
        <v>0</v>
      </c>
      <c r="K301" s="40">
        <v>0</v>
      </c>
    </row>
    <row r="302">
      <c r="A302" s="64" t="inlineStr">
        <is>
          <t xml:space="preserve">IN · Caixas Mistas Recebidas</t>
        </is>
      </c>
      <c r="B302" s="79">
        <f>IF(OR($B$2="Todos",$C$2=2),1,IFERROR(INDEX($C$302:$K$302,MATCH($D$2,$C$293:$K$293,0)),1))</f>
        <v>1</v>
      </c>
      <c r="C302" s="40">
        <v>0</v>
      </c>
      <c r="D302" s="40">
        <v>0</v>
      </c>
      <c r="E302" s="40">
        <v>0</v>
      </c>
      <c r="F302" s="40">
        <v>1</v>
      </c>
      <c r="G302" s="40">
        <v>0</v>
      </c>
      <c r="H302" s="40">
        <v>0</v>
      </c>
      <c r="I302" s="40">
        <v>0</v>
      </c>
      <c r="J302" s="40">
        <v>0</v>
      </c>
      <c r="K302" s="40">
        <v>0</v>
      </c>
    </row>
    <row r="303">
      <c r="A303" s="64" t="inlineStr">
        <is>
          <t xml:space="preserve">OUT · Veículos Expedidos</t>
        </is>
      </c>
      <c r="B303" s="79">
        <f>IF(OR($B$2="Todos",$C$2=2),1,IFERROR(INDEX($C$303:$K$303,MATCH($D$2,$C$293:$K$293,0)),1))</f>
        <v>1</v>
      </c>
      <c r="C303" s="40">
        <v>1</v>
      </c>
      <c r="D303" s="40">
        <v>1</v>
      </c>
      <c r="E303" s="40">
        <v>1</v>
      </c>
      <c r="F303" s="40">
        <v>1</v>
      </c>
      <c r="G303" s="40">
        <v>1</v>
      </c>
      <c r="H303" s="40">
        <v>1</v>
      </c>
      <c r="I303" s="40">
        <v>1</v>
      </c>
      <c r="J303" s="40">
        <v>1</v>
      </c>
      <c r="K303" s="40">
        <v>1</v>
      </c>
    </row>
    <row r="304">
      <c r="A304" s="64" t="inlineStr">
        <is>
          <t xml:space="preserve">OUT · Pedidos Expedidos</t>
        </is>
      </c>
      <c r="B304" s="79">
        <f>IF(OR($B$2="Todos",$C$2=2),1,IFERROR(INDEX($C$304:$K$304,MATCH($D$2,$C$293:$K$293,0)),1))</f>
        <v>1</v>
      </c>
      <c r="C304" s="40">
        <v>0</v>
      </c>
      <c r="D304" s="40">
        <v>0</v>
      </c>
      <c r="E304" s="40">
        <v>1</v>
      </c>
      <c r="F304" s="40">
        <v>0</v>
      </c>
      <c r="G304" s="40">
        <v>0</v>
      </c>
      <c r="H304" s="40">
        <v>0</v>
      </c>
      <c r="I304" s="40">
        <v>0</v>
      </c>
      <c r="J304" s="40">
        <v>0</v>
      </c>
      <c r="K304" s="40">
        <v>0</v>
      </c>
    </row>
    <row r="305">
      <c r="A305" s="64" t="inlineStr">
        <is>
          <t xml:space="preserve">OUT · Pedidos Faturados</t>
        </is>
      </c>
      <c r="B305" s="79">
        <f>IF(OR($B$2="Todos",$C$2=2),1,IFERROR(INDEX($C$305:$K$305,MATCH($D$2,$C$293:$K$293,0)),1))</f>
        <v>1</v>
      </c>
      <c r="C305" s="40">
        <v>0</v>
      </c>
      <c r="D305" s="40">
        <v>0</v>
      </c>
      <c r="E305" s="40">
        <v>0</v>
      </c>
      <c r="F305" s="40">
        <v>1</v>
      </c>
      <c r="G305" s="40">
        <v>0</v>
      </c>
      <c r="H305" s="40">
        <v>0</v>
      </c>
      <c r="I305" s="40">
        <v>0</v>
      </c>
      <c r="J305" s="40">
        <v>0</v>
      </c>
      <c r="K305" s="40">
        <v>0</v>
      </c>
    </row>
    <row r="306">
      <c r="A306" s="64" t="inlineStr">
        <is>
          <t xml:space="preserve">OUT · Itens Expedidos</t>
        </is>
      </c>
      <c r="B306" s="79">
        <f>IF(OR($B$2="Todos",$C$2=2),1,IFERROR(INDEX($C$306:$K$306,MATCH($D$2,$C$293:$K$293,0)),1))</f>
        <v>1</v>
      </c>
      <c r="C306" s="40">
        <v>0</v>
      </c>
      <c r="D306" s="40">
        <v>0</v>
      </c>
      <c r="E306" s="40">
        <v>0</v>
      </c>
      <c r="F306" s="40">
        <v>1</v>
      </c>
      <c r="G306" s="40">
        <v>0</v>
      </c>
      <c r="H306" s="40">
        <v>0</v>
      </c>
      <c r="I306" s="40">
        <v>0</v>
      </c>
      <c r="J306" s="40">
        <v>0</v>
      </c>
      <c r="K306" s="40">
        <v>0</v>
      </c>
    </row>
    <row r="307">
      <c r="A307" s="64" t="inlineStr">
        <is>
          <t xml:space="preserve">OUT · Peças Movimentadas</t>
        </is>
      </c>
      <c r="B307" s="79">
        <f>IF(OR($B$2="Todos",$C$2=2),1,IFERROR(INDEX($C$307:$K$307,MATCH($D$2,$C$293:$K$293,0)),1))</f>
        <v>1</v>
      </c>
      <c r="C307" s="40">
        <v>0</v>
      </c>
      <c r="D307" s="40">
        <v>0</v>
      </c>
      <c r="E307" s="40">
        <v>0</v>
      </c>
      <c r="F307" s="40">
        <v>0</v>
      </c>
      <c r="G307" s="40">
        <v>1</v>
      </c>
      <c r="H307" s="40">
        <v>0</v>
      </c>
      <c r="I307" s="40">
        <v>0</v>
      </c>
      <c r="J307" s="40">
        <v>0</v>
      </c>
      <c r="K307" s="40">
        <v>0</v>
      </c>
    </row>
    <row r="308">
      <c r="A308" s="64" t="inlineStr">
        <is>
          <t xml:space="preserve">OUT · Linhas NF</t>
        </is>
      </c>
      <c r="B308" s="79">
        <f>IF(OR($B$2="Todos",$C$2=2),1,IFERROR(INDEX($C$308:$K$308,MATCH($D$2,$C$293:$K$293,0)),1))</f>
        <v>1</v>
      </c>
      <c r="C308" s="40">
        <v>0</v>
      </c>
      <c r="D308" s="40">
        <v>0</v>
      </c>
      <c r="E308" s="40">
        <v>0</v>
      </c>
      <c r="F308" s="40">
        <v>0</v>
      </c>
      <c r="G308" s="40">
        <v>1</v>
      </c>
      <c r="H308" s="40">
        <v>0</v>
      </c>
      <c r="I308" s="40">
        <v>0</v>
      </c>
      <c r="J308" s="40">
        <v>0</v>
      </c>
      <c r="K308" s="40">
        <v>1</v>
      </c>
    </row>
    <row r="309">
      <c r="A309" s="64" t="inlineStr">
        <is>
          <t xml:space="preserve">OUT · Caixas Expedidas</t>
        </is>
      </c>
      <c r="B309" s="79">
        <f>IF(OR($B$2="Todos",$C$2=2),1,IFERROR(INDEX($C$309:$K$309,MATCH($D$2,$C$293:$K$293,0)),1))</f>
        <v>1</v>
      </c>
      <c r="C309" s="40">
        <v>1</v>
      </c>
      <c r="D309" s="40">
        <v>0</v>
      </c>
      <c r="E309" s="40">
        <v>0</v>
      </c>
      <c r="F309" s="40">
        <v>0</v>
      </c>
      <c r="G309" s="40">
        <v>0</v>
      </c>
      <c r="H309" s="40">
        <v>0</v>
      </c>
      <c r="I309" s="40">
        <v>0</v>
      </c>
      <c r="J309" s="40">
        <v>0</v>
      </c>
      <c r="K309" s="40">
        <v>0</v>
      </c>
    </row>
    <row r="310">
      <c r="A310" s="64" t="inlineStr">
        <is>
          <t xml:space="preserve">OUT · Pallets Movimentados</t>
        </is>
      </c>
      <c r="B310" s="79">
        <f>IF(OR($B$2="Todos",$C$2=2),1,IFERROR(INDEX($C$310:$K$310,MATCH($D$2,$C$293:$K$293,0)),1))</f>
        <v>1</v>
      </c>
      <c r="C310" s="40">
        <v>0</v>
      </c>
      <c r="D310" s="40">
        <v>1</v>
      </c>
      <c r="E310" s="40">
        <v>1</v>
      </c>
      <c r="F310" s="40">
        <v>1</v>
      </c>
      <c r="G310" s="40">
        <v>1</v>
      </c>
      <c r="H310" s="40">
        <v>1</v>
      </c>
      <c r="I310" s="40">
        <v>1</v>
      </c>
      <c r="J310" s="40">
        <v>1</v>
      </c>
      <c r="K310" s="40">
        <v>0</v>
      </c>
    </row>
    <row r="311">
      <c r="A311" s="64" t="inlineStr">
        <is>
          <t xml:space="preserve">OUT · Toneladas Movimentadas</t>
        </is>
      </c>
      <c r="B311" s="79">
        <f>IF(OR($B$2="Todos",$C$2=2),1,IFERROR(INDEX($C$311:$K$311,MATCH($D$2,$C$293:$K$293,0)),1))</f>
        <v>1</v>
      </c>
      <c r="C311" s="40">
        <v>0</v>
      </c>
      <c r="D311" s="40">
        <v>1</v>
      </c>
      <c r="E311" s="40">
        <v>0</v>
      </c>
      <c r="F311" s="40">
        <v>0</v>
      </c>
      <c r="G311" s="40">
        <v>0</v>
      </c>
      <c r="H311" s="40">
        <v>0</v>
      </c>
      <c r="I311" s="40">
        <v>1</v>
      </c>
      <c r="J311" s="40">
        <v>0</v>
      </c>
      <c r="K311" s="40">
        <v>0</v>
      </c>
    </row>
    <row r="312">
      <c r="A312" s="64" t="inlineStr">
        <is>
          <t xml:space="preserve">NC · Incidentes</t>
        </is>
      </c>
      <c r="B312" s="79">
        <f>IF(OR($B$2="Todos",$C$2=2),1,IFERROR(INDEX($C$312:$K$312,MATCH($D$2,$C$293:$K$293,0)),1))</f>
        <v>1</v>
      </c>
      <c r="C312" s="40">
        <v>1</v>
      </c>
      <c r="D312" s="40">
        <v>1</v>
      </c>
      <c r="E312" s="40">
        <v>1</v>
      </c>
      <c r="F312" s="40">
        <v>1</v>
      </c>
      <c r="G312" s="40">
        <v>1</v>
      </c>
      <c r="H312" s="40">
        <v>1</v>
      </c>
      <c r="I312" s="40">
        <v>1</v>
      </c>
      <c r="J312" s="40">
        <v>1</v>
      </c>
      <c r="K312" s="40">
        <v>1</v>
      </c>
    </row>
    <row r="313">
      <c r="A313" s="64" t="inlineStr">
        <is>
          <t xml:space="preserve">NC · No show</t>
        </is>
      </c>
      <c r="B313" s="79">
        <f>IF(OR($B$2="Todos",$C$2=2),1,IFERROR(INDEX($C$313:$K$313,MATCH($D$2,$C$293:$K$293,0)),1))</f>
        <v>1</v>
      </c>
      <c r="C313" s="40">
        <v>1</v>
      </c>
      <c r="D313" s="40">
        <v>1</v>
      </c>
      <c r="E313" s="40">
        <v>1</v>
      </c>
      <c r="F313" s="40">
        <v>1</v>
      </c>
      <c r="G313" s="40">
        <v>1</v>
      </c>
      <c r="H313" s="40">
        <v>1</v>
      </c>
      <c r="I313" s="40">
        <v>1</v>
      </c>
      <c r="J313" s="40">
        <v>1</v>
      </c>
      <c r="K313" s="40">
        <v>1</v>
      </c>
    </row>
    <row r="314">
      <c r="A314" s="64" t="inlineStr">
        <is>
          <t xml:space="preserve">NC · Backlog</t>
        </is>
      </c>
      <c r="B314" s="79">
        <f>IF(OR($B$2="Todos",$C$2=2),1,IFERROR(INDEX($C$314:$K$314,MATCH($D$2,$C$293:$K$293,0)),1))</f>
        <v>1</v>
      </c>
      <c r="C314" s="40">
        <v>1</v>
      </c>
      <c r="D314" s="40">
        <v>1</v>
      </c>
      <c r="E314" s="40">
        <v>1</v>
      </c>
      <c r="F314" s="40">
        <v>1</v>
      </c>
      <c r="G314" s="40">
        <v>1</v>
      </c>
      <c r="H314" s="40">
        <v>1</v>
      </c>
      <c r="I314" s="40">
        <v>1</v>
      </c>
      <c r="J314" s="40">
        <v>1</v>
      </c>
      <c r="K314" s="40">
        <v>1</v>
      </c>
    </row>
    <row r="315">
      <c r="A315" s="64" t="inlineStr">
        <is>
          <t xml:space="preserve">OCUPAÇÃO (P.P) · Posições Disponíveis</t>
        </is>
      </c>
      <c r="B315" s="79">
        <f>IF(OR($B$2="Todos",$C$2=2),1,IFERROR(INDEX($C$315:$K$315,MATCH($D$2,$C$293:$K$293,0)),1))</f>
        <v>1</v>
      </c>
      <c r="C315" s="40">
        <v>1</v>
      </c>
      <c r="D315" s="40">
        <v>1</v>
      </c>
      <c r="E315" s="40">
        <v>1</v>
      </c>
      <c r="F315" s="40">
        <v>1</v>
      </c>
      <c r="G315" s="40">
        <v>1</v>
      </c>
      <c r="H315" s="40">
        <v>1</v>
      </c>
      <c r="I315" s="40">
        <v>1</v>
      </c>
      <c r="J315" s="40">
        <v>1</v>
      </c>
      <c r="K315" s="40">
        <v>1</v>
      </c>
    </row>
    <row r="316">
      <c r="A316" s="64" t="inlineStr">
        <is>
          <t xml:space="preserve">OCUPAÇÃO (P.P) · Posições Ocupadas</t>
        </is>
      </c>
      <c r="B316" s="79">
        <f>IF(OR($B$2="Todos",$C$2=2),1,IFERROR(INDEX($C$316:$K$316,MATCH($D$2,$C$293:$K$293,0)),1))</f>
        <v>1</v>
      </c>
      <c r="C316" s="40">
        <v>1</v>
      </c>
      <c r="D316" s="40">
        <v>1</v>
      </c>
      <c r="E316" s="40">
        <v>1</v>
      </c>
      <c r="F316" s="40">
        <v>1</v>
      </c>
      <c r="G316" s="40">
        <v>1</v>
      </c>
      <c r="H316" s="40">
        <v>1</v>
      </c>
      <c r="I316" s="40">
        <v>1</v>
      </c>
      <c r="J316" s="40">
        <v>1</v>
      </c>
      <c r="K316" s="40">
        <v>1</v>
      </c>
    </row>
    <row r="317">
      <c r="A317" s="64" t="inlineStr">
        <is>
          <t xml:space="preserve">OCUPAÇÃO (P.P) · Taxa de Ocupação</t>
        </is>
      </c>
      <c r="B317" s="79">
        <f>IF(OR($B$2="Todos",$C$2=2),1,IFERROR(INDEX($C$317:$K$317,MATCH($D$2,$C$293:$K$293,0)),1))</f>
        <v>1</v>
      </c>
      <c r="C317" s="40">
        <v>1</v>
      </c>
      <c r="D317" s="40">
        <v>1</v>
      </c>
      <c r="E317" s="40">
        <v>1</v>
      </c>
      <c r="F317" s="40">
        <v>1</v>
      </c>
      <c r="G317" s="40">
        <v>1</v>
      </c>
      <c r="H317" s="40">
        <v>1</v>
      </c>
      <c r="I317" s="40">
        <v>1</v>
      </c>
      <c r="J317" s="40">
        <v>1</v>
      </c>
      <c r="K317" s="40">
        <v>1</v>
      </c>
    </row>
    <row r="318">
      <c r="A318" s="64" t="inlineStr">
        <is>
          <t xml:space="preserve">GENTE · Efetivo Op.</t>
        </is>
      </c>
      <c r="B318" s="79">
        <f>IF(OR($B$2="Todos",$C$2=2),1,IFERROR(INDEX($C$318:$K$318,MATCH($D$2,$C$293:$K$293,0)),1))</f>
        <v>1</v>
      </c>
      <c r="C318" s="40">
        <v>1</v>
      </c>
      <c r="D318" s="40">
        <v>1</v>
      </c>
      <c r="E318" s="40">
        <v>1</v>
      </c>
      <c r="F318" s="40">
        <v>1</v>
      </c>
      <c r="G318" s="40">
        <v>1</v>
      </c>
      <c r="H318" s="40">
        <v>1</v>
      </c>
      <c r="I318" s="40">
        <v>1</v>
      </c>
      <c r="J318" s="40">
        <v>1</v>
      </c>
      <c r="K318" s="40">
        <v>1</v>
      </c>
    </row>
    <row r="319">
      <c r="A319" s="64" t="inlineStr">
        <is>
          <t xml:space="preserve">GENTE · Falta</t>
        </is>
      </c>
      <c r="B319" s="79">
        <f>IF(OR($B$2="Todos",$C$2=2),1,IFERROR(INDEX($C$319:$K$319,MATCH($D$2,$C$293:$K$293,0)),1))</f>
        <v>1</v>
      </c>
      <c r="C319" s="40">
        <v>1</v>
      </c>
      <c r="D319" s="40">
        <v>1</v>
      </c>
      <c r="E319" s="40">
        <v>1</v>
      </c>
      <c r="F319" s="40">
        <v>1</v>
      </c>
      <c r="G319" s="40">
        <v>1</v>
      </c>
      <c r="H319" s="40">
        <v>1</v>
      </c>
      <c r="I319" s="40">
        <v>1</v>
      </c>
      <c r="J319" s="40">
        <v>1</v>
      </c>
      <c r="K319" s="40">
        <v>1</v>
      </c>
    </row>
    <row r="320">
      <c r="A320" s="64" t="inlineStr">
        <is>
          <t xml:space="preserve">GENTE · Folga</t>
        </is>
      </c>
      <c r="B320" s="79">
        <f>IF(OR($B$2="Todos",$C$2=2),1,IFERROR(INDEX($C$320:$K$320,MATCH($D$2,$C$293:$K$293,0)),1))</f>
        <v>1</v>
      </c>
      <c r="C320" s="40">
        <v>1</v>
      </c>
      <c r="D320" s="40">
        <v>1</v>
      </c>
      <c r="E320" s="40">
        <v>1</v>
      </c>
      <c r="F320" s="40">
        <v>1</v>
      </c>
      <c r="G320" s="40">
        <v>1</v>
      </c>
      <c r="H320" s="40">
        <v>1</v>
      </c>
      <c r="I320" s="40">
        <v>1</v>
      </c>
      <c r="J320" s="40">
        <v>1</v>
      </c>
      <c r="K320" s="40">
        <v>1</v>
      </c>
    </row>
    <row r="321">
      <c r="A321" s="64" t="inlineStr">
        <is>
          <t xml:space="preserve">GENTE · Férias</t>
        </is>
      </c>
      <c r="B321" s="79">
        <f>IF(OR($B$2="Todos",$C$2=2),1,IFERROR(INDEX($C$321:$K$321,MATCH($D$2,$C$293:$K$293,0)),1))</f>
        <v>1</v>
      </c>
      <c r="C321" s="40">
        <v>1</v>
      </c>
      <c r="D321" s="40">
        <v>1</v>
      </c>
      <c r="E321" s="40">
        <v>1</v>
      </c>
      <c r="F321" s="40">
        <v>1</v>
      </c>
      <c r="G321" s="40">
        <v>1</v>
      </c>
      <c r="H321" s="40">
        <v>1</v>
      </c>
      <c r="I321" s="40">
        <v>1</v>
      </c>
      <c r="J321" s="40">
        <v>1</v>
      </c>
      <c r="K321" s="40">
        <v>1</v>
      </c>
    </row>
    <row r="322">
      <c r="A322" s="64" t="inlineStr">
        <is>
          <t xml:space="preserve">GENTE · Desligamento</t>
        </is>
      </c>
      <c r="B322" s="79">
        <f>IF(OR($B$2="Todos",$C$2=2),1,IFERROR(INDEX($C$322:$K$322,MATCH($D$2,$C$293:$K$293,0)),1))</f>
        <v>1</v>
      </c>
      <c r="C322" s="40">
        <v>1</v>
      </c>
      <c r="D322" s="40">
        <v>1</v>
      </c>
      <c r="E322" s="40">
        <v>1</v>
      </c>
      <c r="F322" s="40">
        <v>1</v>
      </c>
      <c r="G322" s="40">
        <v>1</v>
      </c>
      <c r="H322" s="40">
        <v>1</v>
      </c>
      <c r="I322" s="40">
        <v>1</v>
      </c>
      <c r="J322" s="40">
        <v>1</v>
      </c>
      <c r="K322" s="40">
        <v>1</v>
      </c>
    </row>
    <row r="323">
      <c r="A323" s="64" t="inlineStr">
        <is>
          <t xml:space="preserve">GENTE · Desvios Comportamentais</t>
        </is>
      </c>
      <c r="B323" s="79">
        <f>IF(OR($B$2="Todos",$C$2=2),1,IFERROR(INDEX($C$323:$K$323,MATCH($D$2,$C$293:$K$293,0)),1))</f>
        <v>1</v>
      </c>
      <c r="C323" s="40">
        <v>1</v>
      </c>
      <c r="D323" s="40">
        <v>1</v>
      </c>
      <c r="E323" s="40">
        <v>1</v>
      </c>
      <c r="F323" s="40">
        <v>1</v>
      </c>
      <c r="G323" s="40">
        <v>1</v>
      </c>
      <c r="H323" s="40">
        <v>1</v>
      </c>
      <c r="I323" s="40">
        <v>1</v>
      </c>
      <c r="J323" s="40">
        <v>1</v>
      </c>
      <c r="K323" s="40">
        <v>1</v>
      </c>
    </row>
    <row r="324">
      <c r="A324" s="64" t="inlineStr">
        <is>
          <t xml:space="preserve">GENTE · Acidentes CAF</t>
        </is>
      </c>
      <c r="B324" s="79">
        <f>IF(OR($B$2="Todos",$C$2=2),1,IFERROR(INDEX($C$324:$K$324,MATCH($D$2,$C$293:$K$293,0)),1))</f>
        <v>1</v>
      </c>
      <c r="C324" s="40">
        <v>1</v>
      </c>
      <c r="D324" s="40">
        <v>1</v>
      </c>
      <c r="E324" s="40">
        <v>1</v>
      </c>
      <c r="F324" s="40">
        <v>1</v>
      </c>
      <c r="G324" s="40">
        <v>1</v>
      </c>
      <c r="H324" s="40">
        <v>1</v>
      </c>
      <c r="I324" s="40">
        <v>1</v>
      </c>
      <c r="J324" s="40">
        <v>1</v>
      </c>
      <c r="K324" s="40">
        <v>1</v>
      </c>
    </row>
    <row r="325">
      <c r="A325" s="64" t="inlineStr">
        <is>
          <t xml:space="preserve">GENTE · Acidentes SAF</t>
        </is>
      </c>
      <c r="B325" s="79">
        <f>IF(OR($B$2="Todos",$C$2=2),1,IFERROR(INDEX($C$325:$K$325,MATCH($D$2,$C$293:$K$293,0)),1))</f>
        <v>1</v>
      </c>
      <c r="C325" s="40">
        <v>1</v>
      </c>
      <c r="D325" s="40">
        <v>1</v>
      </c>
      <c r="E325" s="40">
        <v>1</v>
      </c>
      <c r="F325" s="40">
        <v>1</v>
      </c>
      <c r="G325" s="40">
        <v>1</v>
      </c>
      <c r="H325" s="40">
        <v>1</v>
      </c>
      <c r="I325" s="40">
        <v>1</v>
      </c>
      <c r="J325" s="40">
        <v>1</v>
      </c>
      <c r="K325" s="40">
        <v>1</v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2026-10-01T22:33:44Z</dcterms:created>
</cp:coreProperties>
</file>